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ReliquidacionEFACT" sheetId="2" state="visible" r:id="rId2"/>
    <sheet xmlns:r="http://schemas.openxmlformats.org/officeDocument/2006/relationships" name="ResumenRetiros" sheetId="3" state="visible" r:id="rId3"/>
    <sheet xmlns:r="http://schemas.openxmlformats.org/officeDocument/2006/relationships" name="FactRealE" sheetId="4" state="visible" r:id="rId4"/>
    <sheet xmlns:r="http://schemas.openxmlformats.org/officeDocument/2006/relationships" name="FactRealP" sheetId="5" state="visible" r:id="rId5"/>
    <sheet xmlns:r="http://schemas.openxmlformats.org/officeDocument/2006/relationships" name="FACT_EMITIDA" sheetId="6" state="visible" r:id="rId6"/>
    <sheet xmlns:r="http://schemas.openxmlformats.org/officeDocument/2006/relationships" name="SIGGE_E" sheetId="7" state="visible" r:id="rId7"/>
    <sheet xmlns:r="http://schemas.openxmlformats.org/officeDocument/2006/relationships" name="SIGGE_P" sheetId="8" state="visible" r:id="rId8"/>
    <sheet xmlns:r="http://schemas.openxmlformats.org/officeDocument/2006/relationships" name="EFACT_CNE" sheetId="9" state="visible" r:id="rId9"/>
    <sheet xmlns:r="http://schemas.openxmlformats.org/officeDocument/2006/relationships" name="EfactCNE_BT" sheetId="10" state="visible" r:id="rId10"/>
    <sheet xmlns:r="http://schemas.openxmlformats.org/officeDocument/2006/relationships" name="CEN_Energia" sheetId="11" state="visible" r:id="rId11"/>
    <sheet xmlns:r="http://schemas.openxmlformats.org/officeDocument/2006/relationships" name="CEN_Potencia" sheetId="12" state="visible" r:id="rId12"/>
    <sheet xmlns:r="http://schemas.openxmlformats.org/officeDocument/2006/relationships" name="CEN_EnergiaBT" sheetId="13" state="visible" r:id="rId13"/>
    <sheet xmlns:r="http://schemas.openxmlformats.org/officeDocument/2006/relationships" name="EFACT_EST_CEN" sheetId="14" state="visible" r:id="rId14"/>
    <sheet xmlns:r="http://schemas.openxmlformats.org/officeDocument/2006/relationships" name="SIN_DATA" sheetId="15" state="visible" r:id="rId15"/>
    <sheet xmlns:r="http://schemas.openxmlformats.org/officeDocument/2006/relationships" name="INTERES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DD-MM-YYYY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165" fontId="0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6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/><Relationship Type="http://schemas.openxmlformats.org/officeDocument/2006/relationships/hyperlink" Target="https://www.bcn.cl/leychile/navegar?idNorma=1093605" TargetMode="External" Id="rId2"/><Relationship Type="http://schemas.openxmlformats.org/officeDocument/2006/relationships/hyperlink" Target="https://www.diariooficial.interior.gob.cl/publicaciones/2017/09/15/41861/01/1272697.pdf" TargetMode="External" Id="rId3"/><Relationship Type="http://schemas.openxmlformats.org/officeDocument/2006/relationships/hyperlink" Target="https://www.diariooficial.interior.gob.cl/publicaciones/2017/09/15/41861/01/1272697.pdf" TargetMode="External" Id="rId4"/><Relationship Type="http://schemas.openxmlformats.org/officeDocument/2006/relationships/hyperlink" Target="https://www.diariooficial.interior.gob.cl/publicaciones/2018/03/15/42008/01/1366088.pdf" TargetMode="External" Id="rId5"/><Relationship Type="http://schemas.openxmlformats.org/officeDocument/2006/relationships/hyperlink" Target="https://www.diariooficial.interior.gob.cl/publicaciones/2018/09/15/42159/01/1465375.pdf" TargetMode="External" Id="rId6"/><Relationship Type="http://schemas.openxmlformats.org/officeDocument/2006/relationships/hyperlink" Target="https://www.diariooficial.interior.gob.cl/publicaciones/2019/04/15/42331/01/1576341.pdf" TargetMode="External" Id="rId7"/><Relationship Type="http://schemas.openxmlformats.org/officeDocument/2006/relationships/hyperlink" Target="https://www.diariooficial.interior.gob.cl/publicaciones/2020/10/15/42780/01/1830437.pdf" TargetMode="External" Id="rId8"/><Relationship Type="http://schemas.openxmlformats.org/officeDocument/2006/relationships/hyperlink" Target="https://www.diariooficial.interior.gob.cl/publicaciones/2021/03/15/42905/01/1910115.pdf" TargetMode="External" Id="rId9"/><Relationship Type="http://schemas.openxmlformats.org/officeDocument/2006/relationships/hyperlink" Target="https://www.diariooficial.interior.gob.cl/publicaciones/2021/05/14/42954/01/1943780.pdf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EEPA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BS1C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(kWh)</t>
        </is>
      </c>
      <c r="E8" t="inlineStr">
        <is>
          <t>Monto Energía ($)</t>
        </is>
      </c>
      <c r="F8" t="inlineStr">
        <is>
          <t>$/kWh</t>
        </is>
      </c>
      <c r="G8" t="inlineStr">
        <is>
          <t>Potencia (kW)</t>
        </is>
      </c>
      <c r="H8" t="inlineStr">
        <is>
          <t>Monto Potencia ($)</t>
        </is>
      </c>
      <c r="I8" t="inlineStr">
        <is>
          <t>$/kW-mes</t>
        </is>
      </c>
      <c r="J8" t="inlineStr">
        <is>
          <t>Monto Total ($)</t>
        </is>
      </c>
      <c r="L8" t="inlineStr">
        <is>
          <t>ORIGEN DATA</t>
        </is>
      </c>
      <c r="M8" t="inlineStr">
        <is>
          <t>Energía (kWh)</t>
        </is>
      </c>
      <c r="N8" t="inlineStr">
        <is>
          <t>Monto Energía ($)</t>
        </is>
      </c>
      <c r="O8" t="inlineStr">
        <is>
          <t>$/kWh</t>
        </is>
      </c>
      <c r="P8" t="inlineStr">
        <is>
          <t>Potencia (kW)</t>
        </is>
      </c>
      <c r="Q8" t="inlineStr">
        <is>
          <t>Monto Potencia ($)</t>
        </is>
      </c>
      <c r="R8" t="inlineStr">
        <is>
          <t>$/kW-mes</t>
        </is>
      </c>
      <c r="S8" t="inlineStr">
        <is>
          <t>Monto Total ($)</t>
        </is>
      </c>
      <c r="U8" t="inlineStr">
        <is>
          <t>Mes</t>
        </is>
      </c>
      <c r="V8" t="inlineStr">
        <is>
          <t>Reliquidación mensual ($)</t>
        </is>
      </c>
      <c r="W8" t="inlineStr">
        <is>
          <t>Decreto PNP Reliquidación</t>
        </is>
      </c>
      <c r="X8" t="inlineStr">
        <is>
          <t>Fecha publicación Diario Oficial</t>
        </is>
      </c>
      <c r="Y8" t="inlineStr">
        <is>
          <t>Interés Anual</t>
        </is>
      </c>
      <c r="Z8" t="inlineStr">
        <is>
          <t>Fecha Facturación</t>
        </is>
      </c>
      <c r="AA8" t="inlineStr">
        <is>
          <t>Fecha Reliquidación</t>
        </is>
      </c>
      <c r="AB8" t="inlineStr">
        <is>
          <t>N° de días de intereses</t>
        </is>
      </c>
      <c r="AC8" t="inlineStr">
        <is>
          <t>Interés total según n° de días</t>
        </is>
      </c>
      <c r="AD8" t="inlineStr">
        <is>
          <t>Intereses ($)</t>
        </is>
      </c>
      <c r="AE8" t="inlineStr">
        <is>
          <t>Reliquidación Total ($)</t>
        </is>
      </c>
    </row>
    <row r="9">
      <c r="A9" t="n">
        <v>9</v>
      </c>
      <c r="B9" s="4" t="n">
        <v>44105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44105</v>
      </c>
      <c r="V9">
        <f>(S9-J9)</f>
        <v/>
      </c>
      <c r="W9" t="inlineStr">
        <is>
          <t>PNP_8T</t>
        </is>
      </c>
      <c r="X9" s="2" t="n">
        <v>44600</v>
      </c>
      <c r="Y9" t="n">
        <v>0.0648</v>
      </c>
      <c r="Z9" s="2" t="n">
        <v>44160</v>
      </c>
      <c r="AA9" s="2" t="n">
        <v>44651</v>
      </c>
      <c r="AB9">
        <f>(AA9-Z9)</f>
        <v/>
      </c>
      <c r="AC9">
        <f>(1+Y9)^(AB9/360)-1</f>
        <v/>
      </c>
      <c r="AD9">
        <f>(AC9*V9)</f>
        <v/>
      </c>
      <c r="AE9">
        <f>(V9+AD9)</f>
        <v/>
      </c>
    </row>
    <row r="10">
      <c r="A10" t="n">
        <v>10</v>
      </c>
      <c r="B10" s="4" t="n">
        <v>44136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44136</v>
      </c>
      <c r="V10">
        <f>(S10-J10)</f>
        <v/>
      </c>
      <c r="W10" t="inlineStr">
        <is>
          <t>PNP_8T</t>
        </is>
      </c>
      <c r="X10" s="2" t="n">
        <v>44600</v>
      </c>
      <c r="Y10" t="n">
        <v>0.0648</v>
      </c>
      <c r="Z10" s="2" t="n">
        <v>44190</v>
      </c>
      <c r="AA10" s="2" t="n">
        <v>44651</v>
      </c>
      <c r="AB10">
        <f>(AA10-Z10)</f>
        <v/>
      </c>
      <c r="AC10">
        <f>(1+Y10)^(AB10/360)-1</f>
        <v/>
      </c>
      <c r="AD10">
        <f>(AC10*V10)</f>
        <v/>
      </c>
      <c r="AE10">
        <f>(V10+AD10)</f>
        <v/>
      </c>
    </row>
    <row r="11">
      <c r="A11" t="n">
        <v>11</v>
      </c>
      <c r="B11" s="4" t="n">
        <v>44166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44166</v>
      </c>
      <c r="V11">
        <f>(S11-J11)</f>
        <v/>
      </c>
      <c r="W11" t="inlineStr">
        <is>
          <t>PNP_8T</t>
        </is>
      </c>
      <c r="X11" s="2" t="n">
        <v>44600</v>
      </c>
      <c r="Y11" t="n">
        <v>0.0648</v>
      </c>
      <c r="Z11" s="2" t="n">
        <v>44221</v>
      </c>
      <c r="AA11" s="2" t="n">
        <v>44651</v>
      </c>
      <c r="AB11">
        <f>(AA11-Z11)</f>
        <v/>
      </c>
      <c r="AC11">
        <f>(1+Y11)^(AB11/360)-1</f>
        <v/>
      </c>
      <c r="AD11">
        <f>(AC11*V11)</f>
        <v/>
      </c>
      <c r="AE11">
        <f>(V11+AD11)</f>
        <v/>
      </c>
    </row>
    <row r="12">
      <c r="A12" t="n">
        <v>12</v>
      </c>
      <c r="B12" s="4" t="n">
        <v>44197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44197</v>
      </c>
      <c r="V12">
        <f>(S12-J12)</f>
        <v/>
      </c>
      <c r="W12" t="inlineStr">
        <is>
          <t>PNP_8T</t>
        </is>
      </c>
      <c r="X12" s="2" t="n">
        <v>44600</v>
      </c>
      <c r="Y12" t="n">
        <v>0.0648</v>
      </c>
      <c r="Z12" s="2" t="n">
        <v>44252</v>
      </c>
      <c r="AA12" s="2" t="n">
        <v>44651</v>
      </c>
      <c r="AB12">
        <f>(AA12-Z12)</f>
        <v/>
      </c>
      <c r="AC12">
        <f>(1+Y12)^(AB12/360)-1</f>
        <v/>
      </c>
      <c r="AD12">
        <f>(AC12*V12)</f>
        <v/>
      </c>
      <c r="AE12">
        <f>(V12+AD12)</f>
        <v/>
      </c>
    </row>
    <row r="13">
      <c r="A13" t="n">
        <v>13</v>
      </c>
      <c r="B13" s="4" t="n">
        <v>44228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44228</v>
      </c>
      <c r="V13">
        <f>(S13-J13)</f>
        <v/>
      </c>
      <c r="W13" t="inlineStr">
        <is>
          <t>PNP_8T</t>
        </is>
      </c>
      <c r="X13" s="2" t="n">
        <v>44600</v>
      </c>
      <c r="Y13" t="n">
        <v>0.0648</v>
      </c>
      <c r="Z13" s="2" t="n">
        <v>44280</v>
      </c>
      <c r="AA13" s="2" t="n">
        <v>44651</v>
      </c>
      <c r="AB13">
        <f>(AA13-Z13)</f>
        <v/>
      </c>
      <c r="AC13">
        <f>(1+Y13)^(AB13/360)-1</f>
        <v/>
      </c>
      <c r="AD13">
        <f>(AC13*V13)</f>
        <v/>
      </c>
      <c r="AE13">
        <f>(V13+AD13)</f>
        <v/>
      </c>
    </row>
    <row r="14">
      <c r="A14" t="n">
        <v>14</v>
      </c>
      <c r="B14" s="4" t="n">
        <v>44256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44256</v>
      </c>
      <c r="V14">
        <f>(S14-J14)</f>
        <v/>
      </c>
      <c r="W14" t="inlineStr">
        <is>
          <t>PNP_8T</t>
        </is>
      </c>
      <c r="X14" s="2" t="n">
        <v>44600</v>
      </c>
      <c r="Y14" t="n">
        <v>0.0648</v>
      </c>
      <c r="Z14" s="2" t="n">
        <v>44311</v>
      </c>
      <c r="AA14" s="2" t="n">
        <v>44651</v>
      </c>
      <c r="AB14">
        <f>(AA14-Z14)</f>
        <v/>
      </c>
      <c r="AC14">
        <f>(1+Y14)^(AB14/360)-1</f>
        <v/>
      </c>
      <c r="AD14">
        <f>(AC14*V14)</f>
        <v/>
      </c>
      <c r="AE14">
        <f>(V14+AD14)</f>
        <v/>
      </c>
    </row>
    <row r="15">
      <c r="AD15" t="inlineStr">
        <is>
          <t>Reliquidación</t>
        </is>
      </c>
      <c r="AE15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EEPA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BS1C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SIGGE (kWh)</t>
        </is>
      </c>
      <c r="E8" t="inlineStr">
        <is>
          <t>Energía EFACT AT (kWh)</t>
        </is>
      </c>
      <c r="F8" t="inlineStr">
        <is>
          <t>Energía EFACT BT (kWh)</t>
        </is>
      </c>
      <c r="G8" t="inlineStr">
        <is>
          <t>Energía Coordinador AT (kWh)</t>
        </is>
      </c>
      <c r="H8" t="inlineStr">
        <is>
          <t>Energía Coordinador BT (kWh)</t>
        </is>
      </c>
    </row>
    <row r="9">
      <c r="A9" t="n">
        <v>9</v>
      </c>
      <c r="B9" s="4" t="n">
        <v>44105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4" t="n">
        <v>44136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4" t="n">
        <v>44166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4" t="n">
        <v>44197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4" t="n">
        <v>44228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4" t="n">
        <v>44256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  <c r="M1" s="1" t="inlineStr">
        <is>
          <t>TotalUSD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  <c r="M1" s="1" t="inlineStr">
        <is>
          <t>TotalUSD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01-01-2021</t>
        </is>
      </c>
      <c r="B2" t="inlineStr">
        <is>
          <t>01-01-2021</t>
        </is>
      </c>
      <c r="C2" t="inlineStr">
        <is>
          <t>Licitación Caren y EEPA (SIC 2013/03-2) BS1C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BS1C: Potencia ene 2021</t>
        </is>
      </c>
      <c r="G2" t="inlineStr">
        <is>
          <t>2021-02-17 15:28:09</t>
        </is>
      </c>
      <c r="H2" t="n">
        <v>33</v>
      </c>
      <c r="I2" t="n">
        <v>17615</v>
      </c>
      <c r="J2" t="inlineStr">
        <is>
          <t>s</t>
        </is>
      </c>
      <c r="K2" t="inlineStr">
        <is>
          <t>s</t>
        </is>
      </c>
      <c r="L2" t="inlineStr">
        <is>
          <t>BS1C</t>
        </is>
      </c>
      <c r="M2" t="inlineStr">
        <is>
          <t>Caren</t>
        </is>
      </c>
      <c r="N2" t="inlineStr">
        <is>
          <t>EEPA</t>
        </is>
      </c>
      <c r="O2" t="inlineStr">
        <is>
          <t>2013/03-2</t>
        </is>
      </c>
      <c r="P2" t="inlineStr">
        <is>
          <t>EEPA</t>
        </is>
      </c>
      <c r="Q2" t="n">
        <v>1</v>
      </c>
      <c r="R2" t="inlineStr">
        <is>
          <t>A.JAHUEL 220</t>
        </is>
      </c>
      <c r="U2" t="n">
        <v>2.476303</v>
      </c>
      <c r="V2" t="n">
        <v>15049</v>
      </c>
      <c r="W2" t="n">
        <v>6077.195</v>
      </c>
    </row>
    <row r="3">
      <c r="A3" t="inlineStr">
        <is>
          <t>01-01-2021</t>
        </is>
      </c>
      <c r="B3" t="inlineStr">
        <is>
          <t>01-01-2021</t>
        </is>
      </c>
      <c r="C3" t="inlineStr">
        <is>
          <t>Licitación Caren y EEPA (SIC 2013/03-2) BS1C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BS1C: Energía ene 2021</t>
        </is>
      </c>
      <c r="G3" t="inlineStr">
        <is>
          <t>2021-02-17 15:28:09</t>
        </is>
      </c>
      <c r="H3" t="n">
        <v>33</v>
      </c>
      <c r="I3" t="n">
        <v>17615</v>
      </c>
      <c r="J3" t="inlineStr">
        <is>
          <t>s</t>
        </is>
      </c>
      <c r="K3" t="inlineStr">
        <is>
          <t>s</t>
        </is>
      </c>
      <c r="L3" t="inlineStr">
        <is>
          <t>BS1C</t>
        </is>
      </c>
      <c r="M3" t="inlineStr">
        <is>
          <t>Caren</t>
        </is>
      </c>
      <c r="N3" t="inlineStr">
        <is>
          <t>EEPA</t>
        </is>
      </c>
      <c r="O3" t="inlineStr">
        <is>
          <t>2013/03-2</t>
        </is>
      </c>
      <c r="P3" t="inlineStr">
        <is>
          <t>EEPA</t>
        </is>
      </c>
      <c r="Q3" t="n">
        <v>1</v>
      </c>
      <c r="R3" t="inlineStr">
        <is>
          <t>A.JAHUEL 220</t>
        </is>
      </c>
      <c r="S3" t="n">
        <v>938.308591</v>
      </c>
      <c r="T3" t="n">
        <v>66818</v>
      </c>
      <c r="W3" t="n">
        <v>71.211</v>
      </c>
    </row>
    <row r="4">
      <c r="A4" t="inlineStr">
        <is>
          <t>01-01-2021</t>
        </is>
      </c>
      <c r="B4" t="inlineStr">
        <is>
          <t>01-01-2021</t>
        </is>
      </c>
      <c r="C4" t="inlineStr">
        <is>
          <t>Licitación Caren y EEPA (SIC 2013/03-2) BS1C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BS1C: Potencia ene 2021</t>
        </is>
      </c>
      <c r="G4" t="inlineStr">
        <is>
          <t>2021-02-17 15:28:09</t>
        </is>
      </c>
      <c r="H4" t="n">
        <v>33</v>
      </c>
      <c r="I4" t="n">
        <v>17615</v>
      </c>
      <c r="J4" t="inlineStr">
        <is>
          <t>s</t>
        </is>
      </c>
      <c r="K4" t="inlineStr">
        <is>
          <t>s</t>
        </is>
      </c>
      <c r="L4" t="inlineStr">
        <is>
          <t>BS1C</t>
        </is>
      </c>
      <c r="M4" t="inlineStr">
        <is>
          <t>Caren</t>
        </is>
      </c>
      <c r="N4" t="inlineStr">
        <is>
          <t>EEPA</t>
        </is>
      </c>
      <c r="O4" t="inlineStr">
        <is>
          <t>2013/03-2</t>
        </is>
      </c>
      <c r="P4" t="inlineStr">
        <is>
          <t>EEPA</t>
        </is>
      </c>
      <c r="Q4" t="n">
        <v>2</v>
      </c>
      <c r="R4" t="inlineStr">
        <is>
          <t>C.CHENA 220</t>
        </is>
      </c>
      <c r="U4" t="n">
        <v>0.877586</v>
      </c>
      <c r="V4" t="n">
        <v>5389</v>
      </c>
      <c r="W4" t="n">
        <v>6140.897</v>
      </c>
    </row>
    <row r="5">
      <c r="A5" t="inlineStr">
        <is>
          <t>01-01-2021</t>
        </is>
      </c>
      <c r="B5" t="inlineStr">
        <is>
          <t>01-01-2021</t>
        </is>
      </c>
      <c r="C5" t="inlineStr">
        <is>
          <t>Licitación Caren y EEPA (SIC 2013/03-2) BS1C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BS1C: Energía ene 2021</t>
        </is>
      </c>
      <c r="G5" t="inlineStr">
        <is>
          <t>2021-02-17 15:28:09</t>
        </is>
      </c>
      <c r="H5" t="n">
        <v>33</v>
      </c>
      <c r="I5" t="n">
        <v>17615</v>
      </c>
      <c r="J5" t="inlineStr">
        <is>
          <t>s</t>
        </is>
      </c>
      <c r="K5" t="inlineStr">
        <is>
          <t>s</t>
        </is>
      </c>
      <c r="L5" t="inlineStr">
        <is>
          <t>BS1C</t>
        </is>
      </c>
      <c r="M5" t="inlineStr">
        <is>
          <t>Caren</t>
        </is>
      </c>
      <c r="N5" t="inlineStr">
        <is>
          <t>EEPA</t>
        </is>
      </c>
      <c r="O5" t="inlineStr">
        <is>
          <t>2013/03-2</t>
        </is>
      </c>
      <c r="P5" t="inlineStr">
        <is>
          <t>EEPA</t>
        </is>
      </c>
      <c r="Q5" t="n">
        <v>2</v>
      </c>
      <c r="R5" t="inlineStr">
        <is>
          <t>C.CHENA 220</t>
        </is>
      </c>
      <c r="S5" t="n">
        <v>334.246008</v>
      </c>
      <c r="T5" t="n">
        <v>24194</v>
      </c>
      <c r="W5" t="n">
        <v>72.38500000000001</v>
      </c>
    </row>
    <row r="6">
      <c r="A6" t="inlineStr">
        <is>
          <t>01-01-2021</t>
        </is>
      </c>
      <c r="B6" t="inlineStr">
        <is>
          <t>01-01-2021</t>
        </is>
      </c>
      <c r="C6" t="inlineStr">
        <is>
          <t>Licitación Caren y EEPA (SIC 2013/03-2) BS1C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BS1C: Potencia ene 2021</t>
        </is>
      </c>
      <c r="G6" t="inlineStr">
        <is>
          <t>2021-02-17 15:28:09</t>
        </is>
      </c>
      <c r="H6" t="n">
        <v>33</v>
      </c>
      <c r="I6" t="n">
        <v>17615</v>
      </c>
      <c r="J6" t="inlineStr">
        <is>
          <t>s</t>
        </is>
      </c>
      <c r="K6" t="inlineStr">
        <is>
          <t>s</t>
        </is>
      </c>
      <c r="L6" t="inlineStr">
        <is>
          <t>BS1C</t>
        </is>
      </c>
      <c r="M6" t="inlineStr">
        <is>
          <t>Caren</t>
        </is>
      </c>
      <c r="N6" t="inlineStr">
        <is>
          <t>EEPA</t>
        </is>
      </c>
      <c r="O6" t="inlineStr">
        <is>
          <t>2013/03-2</t>
        </is>
      </c>
      <c r="P6" t="inlineStr">
        <is>
          <t>EEPA</t>
        </is>
      </c>
      <c r="Q6" t="n">
        <v>3</v>
      </c>
      <c r="R6" t="inlineStr">
        <is>
          <t>C.NAVIA 220</t>
        </is>
      </c>
      <c r="U6" t="n">
        <v>1.208135</v>
      </c>
      <c r="V6" t="n">
        <v>7411</v>
      </c>
      <c r="W6" t="n">
        <v>6134.224</v>
      </c>
    </row>
    <row r="7">
      <c r="A7" t="inlineStr">
        <is>
          <t>01-01-2021</t>
        </is>
      </c>
      <c r="B7" t="inlineStr">
        <is>
          <t>01-01-2021</t>
        </is>
      </c>
      <c r="C7" t="inlineStr">
        <is>
          <t>Licitación Caren y EEPA (SIC 2013/03-2) BS1C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BS1C: Energía ene 2021</t>
        </is>
      </c>
      <c r="G7" t="inlineStr">
        <is>
          <t>2021-02-17 15:28:09</t>
        </is>
      </c>
      <c r="H7" t="n">
        <v>33</v>
      </c>
      <c r="I7" t="n">
        <v>17615</v>
      </c>
      <c r="J7" t="inlineStr">
        <is>
          <t>s</t>
        </is>
      </c>
      <c r="K7" t="inlineStr">
        <is>
          <t>s</t>
        </is>
      </c>
      <c r="L7" t="inlineStr">
        <is>
          <t>BS1C</t>
        </is>
      </c>
      <c r="M7" t="inlineStr">
        <is>
          <t>Caren</t>
        </is>
      </c>
      <c r="N7" t="inlineStr">
        <is>
          <t>EEPA</t>
        </is>
      </c>
      <c r="O7" t="inlineStr">
        <is>
          <t>2013/03-2</t>
        </is>
      </c>
      <c r="P7" t="inlineStr">
        <is>
          <t>EEPA</t>
        </is>
      </c>
      <c r="Q7" t="n">
        <v>3</v>
      </c>
      <c r="R7" t="inlineStr">
        <is>
          <t>C.NAVIA 220</t>
        </is>
      </c>
      <c r="S7" t="n">
        <v>460.905603</v>
      </c>
      <c r="T7" t="n">
        <v>33570</v>
      </c>
      <c r="W7" t="n">
        <v>72.834</v>
      </c>
    </row>
    <row r="8">
      <c r="A8" t="inlineStr">
        <is>
          <t>01-01-2021</t>
        </is>
      </c>
      <c r="B8" t="inlineStr">
        <is>
          <t>01-01-2021</t>
        </is>
      </c>
      <c r="C8" t="inlineStr">
        <is>
          <t>Licitación Caren y EEPA (SIC 2013/03-2) BS1C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BS1C: Potencia ene 2021</t>
        </is>
      </c>
      <c r="G8" t="inlineStr">
        <is>
          <t>2021-02-17 15:28:09</t>
        </is>
      </c>
      <c r="H8" t="n">
        <v>33</v>
      </c>
      <c r="I8" t="n">
        <v>17615</v>
      </c>
      <c r="J8" t="inlineStr">
        <is>
          <t>s</t>
        </is>
      </c>
      <c r="K8" t="inlineStr">
        <is>
          <t>s</t>
        </is>
      </c>
      <c r="L8" t="inlineStr">
        <is>
          <t>BS1C</t>
        </is>
      </c>
      <c r="M8" t="inlineStr">
        <is>
          <t>Caren</t>
        </is>
      </c>
      <c r="N8" t="inlineStr">
        <is>
          <t>EEPA</t>
        </is>
      </c>
      <c r="O8" t="inlineStr">
        <is>
          <t>2013/03-2</t>
        </is>
      </c>
      <c r="P8" t="inlineStr">
        <is>
          <t>EEPA</t>
        </is>
      </c>
      <c r="Q8" t="n">
        <v>4</v>
      </c>
      <c r="R8" t="inlineStr">
        <is>
          <t>POLPAICO 220</t>
        </is>
      </c>
      <c r="U8" t="n">
        <v>0.681254</v>
      </c>
      <c r="V8" t="n">
        <v>4133</v>
      </c>
      <c r="W8" t="n">
        <v>6066.882</v>
      </c>
    </row>
    <row r="9">
      <c r="A9" t="inlineStr">
        <is>
          <t>01-01-2021</t>
        </is>
      </c>
      <c r="B9" t="inlineStr">
        <is>
          <t>01-01-2021</t>
        </is>
      </c>
      <c r="C9" t="inlineStr">
        <is>
          <t>Licitación Caren y EEPA (SIC 2013/03-2) BS1C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BS1C: Energía ene 2021</t>
        </is>
      </c>
      <c r="G9" t="inlineStr">
        <is>
          <t>2021-02-17 15:28:09</t>
        </is>
      </c>
      <c r="H9" t="n">
        <v>33</v>
      </c>
      <c r="I9" t="n">
        <v>17615</v>
      </c>
      <c r="J9" t="inlineStr">
        <is>
          <t>s</t>
        </is>
      </c>
      <c r="K9" t="inlineStr">
        <is>
          <t>s</t>
        </is>
      </c>
      <c r="L9" t="inlineStr">
        <is>
          <t>BS1C</t>
        </is>
      </c>
      <c r="M9" t="inlineStr">
        <is>
          <t>Caren</t>
        </is>
      </c>
      <c r="N9" t="inlineStr">
        <is>
          <t>EEPA</t>
        </is>
      </c>
      <c r="O9" t="inlineStr">
        <is>
          <t>2013/03-2</t>
        </is>
      </c>
      <c r="P9" t="inlineStr">
        <is>
          <t>EEPA</t>
        </is>
      </c>
      <c r="Q9" t="n">
        <v>4</v>
      </c>
      <c r="R9" t="inlineStr">
        <is>
          <t>POLPAICO 220</t>
        </is>
      </c>
      <c r="S9" t="n">
        <v>260.160533</v>
      </c>
      <c r="T9" t="n">
        <v>18853</v>
      </c>
      <c r="W9" t="n">
        <v>72.465</v>
      </c>
    </row>
    <row r="10">
      <c r="A10" t="inlineStr">
        <is>
          <t>01-01-2021</t>
        </is>
      </c>
      <c r="B10" t="inlineStr">
        <is>
          <t>01-01-2021</t>
        </is>
      </c>
      <c r="C10" t="inlineStr">
        <is>
          <t>Licitación Caren y EEPA (SIC 2013/03-2) BS1C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BS1C: Potencia ene 2021</t>
        </is>
      </c>
      <c r="G10" t="inlineStr">
        <is>
          <t>2021-02-17 15:28:09</t>
        </is>
      </c>
      <c r="H10" t="n">
        <v>33</v>
      </c>
      <c r="I10" t="n">
        <v>17615</v>
      </c>
      <c r="J10" t="inlineStr">
        <is>
          <t>s</t>
        </is>
      </c>
      <c r="K10" t="inlineStr">
        <is>
          <t>s</t>
        </is>
      </c>
      <c r="L10" t="inlineStr">
        <is>
          <t>BS1C</t>
        </is>
      </c>
      <c r="M10" t="inlineStr">
        <is>
          <t>Caren</t>
        </is>
      </c>
      <c r="N10" t="inlineStr">
        <is>
          <t>EEPA</t>
        </is>
      </c>
      <c r="O10" t="inlineStr">
        <is>
          <t>2013/03-2</t>
        </is>
      </c>
      <c r="P10" t="inlineStr">
        <is>
          <t>EEPA</t>
        </is>
      </c>
      <c r="Q10" t="n">
        <v>5</v>
      </c>
      <c r="R10" t="inlineStr">
        <is>
          <t>QUILLOTA 220</t>
        </is>
      </c>
      <c r="U10" t="n">
        <v>0.006405</v>
      </c>
      <c r="V10" t="n">
        <v>39</v>
      </c>
      <c r="W10" t="n">
        <v>6142.111</v>
      </c>
    </row>
    <row r="11">
      <c r="A11" t="inlineStr">
        <is>
          <t>01-01-2021</t>
        </is>
      </c>
      <c r="B11" t="inlineStr">
        <is>
          <t>01-01-2021</t>
        </is>
      </c>
      <c r="C11" t="inlineStr">
        <is>
          <t>Licitación Caren y EEPA (SIC 2013/03-2) BS1C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BS1C: Energía ene 2021</t>
        </is>
      </c>
      <c r="G11" t="inlineStr">
        <is>
          <t>2021-02-17 15:28:09</t>
        </is>
      </c>
      <c r="H11" t="n">
        <v>33</v>
      </c>
      <c r="I11" t="n">
        <v>17615</v>
      </c>
      <c r="J11" t="inlineStr">
        <is>
          <t>s</t>
        </is>
      </c>
      <c r="K11" t="inlineStr">
        <is>
          <t>s</t>
        </is>
      </c>
      <c r="L11" t="inlineStr">
        <is>
          <t>BS1C</t>
        </is>
      </c>
      <c r="M11" t="inlineStr">
        <is>
          <t>Caren</t>
        </is>
      </c>
      <c r="N11" t="inlineStr">
        <is>
          <t>EEPA</t>
        </is>
      </c>
      <c r="O11" t="inlineStr">
        <is>
          <t>2013/03-2</t>
        </is>
      </c>
      <c r="P11" t="inlineStr">
        <is>
          <t>EEPA</t>
        </is>
      </c>
      <c r="Q11" t="n">
        <v>5</v>
      </c>
      <c r="R11" t="inlineStr">
        <is>
          <t>QUILLOTA 220</t>
        </is>
      </c>
      <c r="S11" t="n">
        <v>2.45615</v>
      </c>
      <c r="T11" t="n">
        <v>179</v>
      </c>
      <c r="W11" t="n">
        <v>73.023</v>
      </c>
    </row>
    <row r="12">
      <c r="A12" t="inlineStr">
        <is>
          <t>01-02-2021</t>
        </is>
      </c>
      <c r="B12" t="inlineStr">
        <is>
          <t>01-02-2021</t>
        </is>
      </c>
      <c r="C12" t="inlineStr">
        <is>
          <t>Licitación Caren y EEPA (SIC 2013/03-2) BS1C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BS1C: Potencia feb 2021</t>
        </is>
      </c>
      <c r="G12" t="inlineStr">
        <is>
          <t>2021-03-09 10:30:07</t>
        </is>
      </c>
      <c r="H12" t="n">
        <v>33</v>
      </c>
      <c r="I12" t="n">
        <v>17689</v>
      </c>
      <c r="J12" t="inlineStr">
        <is>
          <t>s</t>
        </is>
      </c>
      <c r="K12" t="inlineStr">
        <is>
          <t>s</t>
        </is>
      </c>
      <c r="L12" t="inlineStr">
        <is>
          <t>BS1C</t>
        </is>
      </c>
      <c r="M12" t="inlineStr">
        <is>
          <t>Caren</t>
        </is>
      </c>
      <c r="N12" t="inlineStr">
        <is>
          <t>EEPA</t>
        </is>
      </c>
      <c r="O12" t="inlineStr">
        <is>
          <t>2013/03-2</t>
        </is>
      </c>
      <c r="P12" t="inlineStr">
        <is>
          <t>EEPA</t>
        </is>
      </c>
      <c r="Q12" t="n">
        <v>1</v>
      </c>
      <c r="R12" t="inlineStr">
        <is>
          <t>A.JAHUEL 220</t>
        </is>
      </c>
      <c r="U12" t="n">
        <v>2.011165</v>
      </c>
      <c r="V12" t="n">
        <v>12222</v>
      </c>
      <c r="W12" t="n">
        <v>6077.195</v>
      </c>
    </row>
    <row r="13">
      <c r="A13" t="inlineStr">
        <is>
          <t>01-02-2021</t>
        </is>
      </c>
      <c r="B13" t="inlineStr">
        <is>
          <t>01-02-2021</t>
        </is>
      </c>
      <c r="C13" t="inlineStr">
        <is>
          <t>Licitación Caren y EEPA (SIC 2013/03-2) BS1C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BS1C: Energía feb 2021</t>
        </is>
      </c>
      <c r="G13" t="inlineStr">
        <is>
          <t>2021-03-09 10:30:07</t>
        </is>
      </c>
      <c r="H13" t="n">
        <v>33</v>
      </c>
      <c r="I13" t="n">
        <v>17689</v>
      </c>
      <c r="J13" t="inlineStr">
        <is>
          <t>s</t>
        </is>
      </c>
      <c r="K13" t="inlineStr">
        <is>
          <t>s</t>
        </is>
      </c>
      <c r="L13" t="inlineStr">
        <is>
          <t>BS1C</t>
        </is>
      </c>
      <c r="M13" t="inlineStr">
        <is>
          <t>Caren</t>
        </is>
      </c>
      <c r="N13" t="inlineStr">
        <is>
          <t>EEPA</t>
        </is>
      </c>
      <c r="O13" t="inlineStr">
        <is>
          <t>2013/03-2</t>
        </is>
      </c>
      <c r="P13" t="inlineStr">
        <is>
          <t>EEPA</t>
        </is>
      </c>
      <c r="Q13" t="n">
        <v>1</v>
      </c>
      <c r="R13" t="inlineStr">
        <is>
          <t>A.JAHUEL 220</t>
        </is>
      </c>
      <c r="S13" t="n">
        <v>661.900044</v>
      </c>
      <c r="T13" t="n">
        <v>47135</v>
      </c>
      <c r="W13" t="n">
        <v>71.211</v>
      </c>
    </row>
    <row r="14">
      <c r="A14" t="inlineStr">
        <is>
          <t>01-02-2021</t>
        </is>
      </c>
      <c r="B14" t="inlineStr">
        <is>
          <t>01-02-2021</t>
        </is>
      </c>
      <c r="C14" t="inlineStr">
        <is>
          <t>Licitación Caren y EEPA (SIC 2013/03-2) BS1C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BS1C: Potencia feb 2021</t>
        </is>
      </c>
      <c r="G14" t="inlineStr">
        <is>
          <t>2021-03-09 10:30:07</t>
        </is>
      </c>
      <c r="H14" t="n">
        <v>33</v>
      </c>
      <c r="I14" t="n">
        <v>17689</v>
      </c>
      <c r="J14" t="inlineStr">
        <is>
          <t>s</t>
        </is>
      </c>
      <c r="K14" t="inlineStr">
        <is>
          <t>s</t>
        </is>
      </c>
      <c r="L14" t="inlineStr">
        <is>
          <t>BS1C</t>
        </is>
      </c>
      <c r="M14" t="inlineStr">
        <is>
          <t>Caren</t>
        </is>
      </c>
      <c r="N14" t="inlineStr">
        <is>
          <t>EEPA</t>
        </is>
      </c>
      <c r="O14" t="inlineStr">
        <is>
          <t>2013/03-2</t>
        </is>
      </c>
      <c r="P14" t="inlineStr">
        <is>
          <t>EEPA</t>
        </is>
      </c>
      <c r="Q14" t="n">
        <v>2</v>
      </c>
      <c r="R14" t="inlineStr">
        <is>
          <t>C.CHENA 220</t>
        </is>
      </c>
      <c r="U14" t="n">
        <v>1.99918</v>
      </c>
      <c r="V14" t="n">
        <v>12277</v>
      </c>
      <c r="W14" t="n">
        <v>6140.897</v>
      </c>
    </row>
    <row r="15">
      <c r="A15" t="inlineStr">
        <is>
          <t>01-02-2021</t>
        </is>
      </c>
      <c r="B15" t="inlineStr">
        <is>
          <t>01-02-2021</t>
        </is>
      </c>
      <c r="C15" t="inlineStr">
        <is>
          <t>Licitación Caren y EEPA (SIC 2013/03-2) BS1C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BS1C: Energía feb 2021</t>
        </is>
      </c>
      <c r="G15" t="inlineStr">
        <is>
          <t>2021-03-09 10:30:07</t>
        </is>
      </c>
      <c r="H15" t="n">
        <v>33</v>
      </c>
      <c r="I15" t="n">
        <v>17689</v>
      </c>
      <c r="J15" t="inlineStr">
        <is>
          <t>s</t>
        </is>
      </c>
      <c r="K15" t="inlineStr">
        <is>
          <t>s</t>
        </is>
      </c>
      <c r="L15" t="inlineStr">
        <is>
          <t>BS1C</t>
        </is>
      </c>
      <c r="M15" t="inlineStr">
        <is>
          <t>Caren</t>
        </is>
      </c>
      <c r="N15" t="inlineStr">
        <is>
          <t>EEPA</t>
        </is>
      </c>
      <c r="O15" t="inlineStr">
        <is>
          <t>2013/03-2</t>
        </is>
      </c>
      <c r="P15" t="inlineStr">
        <is>
          <t>EEPA</t>
        </is>
      </c>
      <c r="Q15" t="n">
        <v>2</v>
      </c>
      <c r="R15" t="inlineStr">
        <is>
          <t>C.CHENA 220</t>
        </is>
      </c>
      <c r="S15" t="n">
        <v>658.375515</v>
      </c>
      <c r="T15" t="n">
        <v>47657</v>
      </c>
      <c r="W15" t="n">
        <v>72.38500000000001</v>
      </c>
    </row>
    <row r="16">
      <c r="A16" t="inlineStr">
        <is>
          <t>01-02-2021</t>
        </is>
      </c>
      <c r="B16" t="inlineStr">
        <is>
          <t>01-02-2021</t>
        </is>
      </c>
      <c r="C16" t="inlineStr">
        <is>
          <t>Licitación Caren y EEPA (SIC 2013/03-2) BS1C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BS1C: Potencia feb 2021</t>
        </is>
      </c>
      <c r="G16" t="inlineStr">
        <is>
          <t>2021-03-09 10:30:07</t>
        </is>
      </c>
      <c r="H16" t="n">
        <v>33</v>
      </c>
      <c r="I16" t="n">
        <v>17689</v>
      </c>
      <c r="J16" t="inlineStr">
        <is>
          <t>s</t>
        </is>
      </c>
      <c r="K16" t="inlineStr">
        <is>
          <t>s</t>
        </is>
      </c>
      <c r="L16" t="inlineStr">
        <is>
          <t>BS1C</t>
        </is>
      </c>
      <c r="M16" t="inlineStr">
        <is>
          <t>Caren</t>
        </is>
      </c>
      <c r="N16" t="inlineStr">
        <is>
          <t>EEPA</t>
        </is>
      </c>
      <c r="O16" t="inlineStr">
        <is>
          <t>2013/03-2</t>
        </is>
      </c>
      <c r="P16" t="inlineStr">
        <is>
          <t>EEPA</t>
        </is>
      </c>
      <c r="Q16" t="n">
        <v>3</v>
      </c>
      <c r="R16" t="inlineStr">
        <is>
          <t>C.NAVIA 220</t>
        </is>
      </c>
      <c r="U16" t="n">
        <v>0.705534</v>
      </c>
      <c r="V16" t="n">
        <v>4328</v>
      </c>
      <c r="W16" t="n">
        <v>6134.224</v>
      </c>
    </row>
    <row r="17">
      <c r="A17" t="inlineStr">
        <is>
          <t>01-02-2021</t>
        </is>
      </c>
      <c r="B17" t="inlineStr">
        <is>
          <t>01-02-2021</t>
        </is>
      </c>
      <c r="C17" t="inlineStr">
        <is>
          <t>Licitación Caren y EEPA (SIC 2013/03-2) BS1C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BS1C: Energía feb 2021</t>
        </is>
      </c>
      <c r="G17" t="inlineStr">
        <is>
          <t>2021-03-09 10:30:07</t>
        </is>
      </c>
      <c r="H17" t="n">
        <v>33</v>
      </c>
      <c r="I17" t="n">
        <v>17689</v>
      </c>
      <c r="J17" t="inlineStr">
        <is>
          <t>s</t>
        </is>
      </c>
      <c r="K17" t="inlineStr">
        <is>
          <t>s</t>
        </is>
      </c>
      <c r="L17" t="inlineStr">
        <is>
          <t>BS1C</t>
        </is>
      </c>
      <c r="M17" t="inlineStr">
        <is>
          <t>Caren</t>
        </is>
      </c>
      <c r="N17" t="inlineStr">
        <is>
          <t>EEPA</t>
        </is>
      </c>
      <c r="O17" t="inlineStr">
        <is>
          <t>2013/03-2</t>
        </is>
      </c>
      <c r="P17" t="inlineStr">
        <is>
          <t>EEPA</t>
        </is>
      </c>
      <c r="Q17" t="n">
        <v>3</v>
      </c>
      <c r="R17" t="inlineStr">
        <is>
          <t>C.NAVIA 220</t>
        </is>
      </c>
      <c r="S17" t="n">
        <v>232.455349</v>
      </c>
      <c r="T17" t="n">
        <v>16931</v>
      </c>
      <c r="W17" t="n">
        <v>72.834</v>
      </c>
    </row>
    <row r="18">
      <c r="A18" t="inlineStr">
        <is>
          <t>01-02-2021</t>
        </is>
      </c>
      <c r="B18" t="inlineStr">
        <is>
          <t>01-02-2021</t>
        </is>
      </c>
      <c r="C18" t="inlineStr">
        <is>
          <t>Licitación Caren y EEPA (SIC 2013/03-2) BS1C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BS1C: Potencia feb 2021</t>
        </is>
      </c>
      <c r="G18" t="inlineStr">
        <is>
          <t>2021-03-09 10:30:07</t>
        </is>
      </c>
      <c r="H18" t="n">
        <v>33</v>
      </c>
      <c r="I18" t="n">
        <v>17689</v>
      </c>
      <c r="J18" t="inlineStr">
        <is>
          <t>s</t>
        </is>
      </c>
      <c r="K18" t="inlineStr">
        <is>
          <t>s</t>
        </is>
      </c>
      <c r="L18" t="inlineStr">
        <is>
          <t>BS1C</t>
        </is>
      </c>
      <c r="M18" t="inlineStr">
        <is>
          <t>Caren</t>
        </is>
      </c>
      <c r="N18" t="inlineStr">
        <is>
          <t>EEPA</t>
        </is>
      </c>
      <c r="O18" t="inlineStr">
        <is>
          <t>2013/03-2</t>
        </is>
      </c>
      <c r="P18" t="inlineStr">
        <is>
          <t>EEPA</t>
        </is>
      </c>
      <c r="Q18" t="n">
        <v>4</v>
      </c>
      <c r="R18" t="inlineStr">
        <is>
          <t>POLPAICO 220</t>
        </is>
      </c>
      <c r="U18" t="n">
        <v>0.530672</v>
      </c>
      <c r="V18" t="n">
        <v>3220</v>
      </c>
      <c r="W18" t="n">
        <v>6066.882</v>
      </c>
    </row>
    <row r="19">
      <c r="A19" t="inlineStr">
        <is>
          <t>01-02-2021</t>
        </is>
      </c>
      <c r="B19" t="inlineStr">
        <is>
          <t>01-02-2021</t>
        </is>
      </c>
      <c r="C19" t="inlineStr">
        <is>
          <t>Licitación Caren y EEPA (SIC 2013/03-2) BS1C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BS1C: Energía feb 2021</t>
        </is>
      </c>
      <c r="G19" t="inlineStr">
        <is>
          <t>2021-03-09 10:30:07</t>
        </is>
      </c>
      <c r="H19" t="n">
        <v>33</v>
      </c>
      <c r="I19" t="n">
        <v>17689</v>
      </c>
      <c r="J19" t="inlineStr">
        <is>
          <t>s</t>
        </is>
      </c>
      <c r="K19" t="inlineStr">
        <is>
          <t>s</t>
        </is>
      </c>
      <c r="L19" t="inlineStr">
        <is>
          <t>BS1C</t>
        </is>
      </c>
      <c r="M19" t="inlineStr">
        <is>
          <t>Caren</t>
        </is>
      </c>
      <c r="N19" t="inlineStr">
        <is>
          <t>EEPA</t>
        </is>
      </c>
      <c r="O19" t="inlineStr">
        <is>
          <t>2013/03-2</t>
        </is>
      </c>
      <c r="P19" t="inlineStr">
        <is>
          <t>EEPA</t>
        </is>
      </c>
      <c r="Q19" t="n">
        <v>4</v>
      </c>
      <c r="R19" t="inlineStr">
        <is>
          <t>POLPAICO 220</t>
        </is>
      </c>
      <c r="S19" t="n">
        <v>174.852935</v>
      </c>
      <c r="T19" t="n">
        <v>12671</v>
      </c>
      <c r="W19" t="n">
        <v>72.465</v>
      </c>
    </row>
    <row r="20">
      <c r="A20" t="inlineStr">
        <is>
          <t>01-02-2021</t>
        </is>
      </c>
      <c r="B20" t="inlineStr">
        <is>
          <t>01-02-2021</t>
        </is>
      </c>
      <c r="C20" t="inlineStr">
        <is>
          <t>Licitación Caren y EEPA (SIC 2013/03-2) BS1C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BS1C: Potencia feb 2021</t>
        </is>
      </c>
      <c r="G20" t="inlineStr">
        <is>
          <t>2021-03-09 10:30:07</t>
        </is>
      </c>
      <c r="H20" t="n">
        <v>33</v>
      </c>
      <c r="I20" t="n">
        <v>17689</v>
      </c>
      <c r="J20" t="inlineStr">
        <is>
          <t>s</t>
        </is>
      </c>
      <c r="K20" t="inlineStr">
        <is>
          <t>s</t>
        </is>
      </c>
      <c r="L20" t="inlineStr">
        <is>
          <t>BS1C</t>
        </is>
      </c>
      <c r="M20" t="inlineStr">
        <is>
          <t>Caren</t>
        </is>
      </c>
      <c r="N20" t="inlineStr">
        <is>
          <t>EEPA</t>
        </is>
      </c>
      <c r="O20" t="inlineStr">
        <is>
          <t>2013/03-2</t>
        </is>
      </c>
      <c r="P20" t="inlineStr">
        <is>
          <t>EEPA</t>
        </is>
      </c>
      <c r="Q20" t="n">
        <v>5</v>
      </c>
      <c r="R20" t="inlineStr">
        <is>
          <t>QUILLOTA 220</t>
        </is>
      </c>
      <c r="U20" t="n">
        <v>0.003131</v>
      </c>
      <c r="V20" t="n">
        <v>19</v>
      </c>
      <c r="W20" t="n">
        <v>6142.111</v>
      </c>
    </row>
    <row r="21">
      <c r="A21" t="inlineStr">
        <is>
          <t>01-02-2021</t>
        </is>
      </c>
      <c r="B21" t="inlineStr">
        <is>
          <t>01-02-2021</t>
        </is>
      </c>
      <c r="C21" t="inlineStr">
        <is>
          <t>Licitación Caren y EEPA (SIC 2013/03-2) BS1C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BS1C: Energía feb 2021</t>
        </is>
      </c>
      <c r="G21" t="inlineStr">
        <is>
          <t>2021-03-09 10:30:07</t>
        </is>
      </c>
      <c r="H21" t="n">
        <v>33</v>
      </c>
      <c r="I21" t="n">
        <v>17689</v>
      </c>
      <c r="J21" t="inlineStr">
        <is>
          <t>s</t>
        </is>
      </c>
      <c r="K21" t="inlineStr">
        <is>
          <t>s</t>
        </is>
      </c>
      <c r="L21" t="inlineStr">
        <is>
          <t>BS1C</t>
        </is>
      </c>
      <c r="M21" t="inlineStr">
        <is>
          <t>Caren</t>
        </is>
      </c>
      <c r="N21" t="inlineStr">
        <is>
          <t>EEPA</t>
        </is>
      </c>
      <c r="O21" t="inlineStr">
        <is>
          <t>2013/03-2</t>
        </is>
      </c>
      <c r="P21" t="inlineStr">
        <is>
          <t>EEPA</t>
        </is>
      </c>
      <c r="Q21" t="n">
        <v>5</v>
      </c>
      <c r="R21" t="inlineStr">
        <is>
          <t>QUILLOTA 220</t>
        </is>
      </c>
      <c r="S21" t="n">
        <v>1.030611</v>
      </c>
      <c r="T21" t="n">
        <v>75</v>
      </c>
      <c r="W21" t="n">
        <v>73.023</v>
      </c>
    </row>
    <row r="22">
      <c r="A22" t="inlineStr">
        <is>
          <t>01-03-2021</t>
        </is>
      </c>
      <c r="B22" t="inlineStr">
        <is>
          <t>01-03-2021</t>
        </is>
      </c>
      <c r="C22" t="inlineStr">
        <is>
          <t>Licitación Caren y EEPA (SIC 2013/03-2) BS1C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BS1C: Potencia mar 2021</t>
        </is>
      </c>
      <c r="G22" t="inlineStr">
        <is>
          <t>2021-04-12 21:41:33</t>
        </is>
      </c>
      <c r="H22" t="n">
        <v>33</v>
      </c>
      <c r="I22" t="n">
        <v>18315</v>
      </c>
      <c r="J22" t="inlineStr">
        <is>
          <t>s</t>
        </is>
      </c>
      <c r="K22" t="inlineStr">
        <is>
          <t>s</t>
        </is>
      </c>
      <c r="L22" t="inlineStr">
        <is>
          <t>BS1C</t>
        </is>
      </c>
      <c r="M22" t="inlineStr">
        <is>
          <t>Caren</t>
        </is>
      </c>
      <c r="N22" t="inlineStr">
        <is>
          <t>EEPA</t>
        </is>
      </c>
      <c r="O22" t="inlineStr">
        <is>
          <t>2013/03-2</t>
        </is>
      </c>
      <c r="P22" t="inlineStr">
        <is>
          <t>EEPA</t>
        </is>
      </c>
      <c r="Q22" t="n">
        <v>1</v>
      </c>
      <c r="R22" t="inlineStr">
        <is>
          <t>A.JAHUEL 220</t>
        </is>
      </c>
      <c r="U22" t="n">
        <v>2.012111</v>
      </c>
      <c r="V22" t="n">
        <v>12192</v>
      </c>
      <c r="W22" t="n">
        <v>6059.257</v>
      </c>
    </row>
    <row r="23">
      <c r="A23" t="inlineStr">
        <is>
          <t>01-03-2021</t>
        </is>
      </c>
      <c r="B23" t="inlineStr">
        <is>
          <t>01-03-2021</t>
        </is>
      </c>
      <c r="C23" t="inlineStr">
        <is>
          <t>Licitación Caren y EEPA (SIC 2013/03-2) BS1C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BS1C: Energía mar 2021</t>
        </is>
      </c>
      <c r="G23" t="inlineStr">
        <is>
          <t>2021-04-12 21:41:33</t>
        </is>
      </c>
      <c r="H23" t="n">
        <v>33</v>
      </c>
      <c r="I23" t="n">
        <v>18315</v>
      </c>
      <c r="J23" t="inlineStr">
        <is>
          <t>s</t>
        </is>
      </c>
      <c r="K23" t="inlineStr">
        <is>
          <t>s</t>
        </is>
      </c>
      <c r="L23" t="inlineStr">
        <is>
          <t>BS1C</t>
        </is>
      </c>
      <c r="M23" t="inlineStr">
        <is>
          <t>Caren</t>
        </is>
      </c>
      <c r="N23" t="inlineStr">
        <is>
          <t>EEPA</t>
        </is>
      </c>
      <c r="O23" t="inlineStr">
        <is>
          <t>2013/03-2</t>
        </is>
      </c>
      <c r="P23" t="inlineStr">
        <is>
          <t>EEPA</t>
        </is>
      </c>
      <c r="Q23" t="n">
        <v>1</v>
      </c>
      <c r="R23" t="inlineStr">
        <is>
          <t>A.JAHUEL 220</t>
        </is>
      </c>
      <c r="S23" t="n">
        <v>764.407597</v>
      </c>
      <c r="T23" t="n">
        <v>61416</v>
      </c>
      <c r="W23" t="n">
        <v>80.345</v>
      </c>
    </row>
    <row r="24">
      <c r="A24" t="inlineStr">
        <is>
          <t>01-03-2021</t>
        </is>
      </c>
      <c r="B24" t="inlineStr">
        <is>
          <t>01-03-2021</t>
        </is>
      </c>
      <c r="C24" t="inlineStr">
        <is>
          <t>Licitación Caren y EEPA (SIC 2013/03-2) BS1C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BS1C: Potencia mar 2021</t>
        </is>
      </c>
      <c r="G24" t="inlineStr">
        <is>
          <t>2021-04-12 21:41:33</t>
        </is>
      </c>
      <c r="H24" t="n">
        <v>33</v>
      </c>
      <c r="I24" t="n">
        <v>18315</v>
      </c>
      <c r="J24" t="inlineStr">
        <is>
          <t>s</t>
        </is>
      </c>
      <c r="K24" t="inlineStr">
        <is>
          <t>s</t>
        </is>
      </c>
      <c r="L24" t="inlineStr">
        <is>
          <t>BS1C</t>
        </is>
      </c>
      <c r="M24" t="inlineStr">
        <is>
          <t>Caren</t>
        </is>
      </c>
      <c r="N24" t="inlineStr">
        <is>
          <t>EEPA</t>
        </is>
      </c>
      <c r="O24" t="inlineStr">
        <is>
          <t>2013/03-2</t>
        </is>
      </c>
      <c r="P24" t="inlineStr">
        <is>
          <t>EEPA</t>
        </is>
      </c>
      <c r="Q24" t="n">
        <v>2</v>
      </c>
      <c r="R24" t="inlineStr">
        <is>
          <t>C.CHENA 220</t>
        </is>
      </c>
      <c r="U24" t="n">
        <v>1.998838</v>
      </c>
      <c r="V24" t="n">
        <v>12225</v>
      </c>
      <c r="W24" t="n">
        <v>6116.009</v>
      </c>
    </row>
    <row r="25">
      <c r="A25" t="inlineStr">
        <is>
          <t>01-03-2021</t>
        </is>
      </c>
      <c r="B25" t="inlineStr">
        <is>
          <t>01-03-2021</t>
        </is>
      </c>
      <c r="C25" t="inlineStr">
        <is>
          <t>Licitación Caren y EEPA (SIC 2013/03-2) BS1C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BS1C: Energía mar 2021</t>
        </is>
      </c>
      <c r="G25" t="inlineStr">
        <is>
          <t>2021-04-12 21:41:33</t>
        </is>
      </c>
      <c r="H25" t="n">
        <v>33</v>
      </c>
      <c r="I25" t="n">
        <v>18315</v>
      </c>
      <c r="J25" t="inlineStr">
        <is>
          <t>s</t>
        </is>
      </c>
      <c r="K25" t="inlineStr">
        <is>
          <t>s</t>
        </is>
      </c>
      <c r="L25" t="inlineStr">
        <is>
          <t>BS1C</t>
        </is>
      </c>
      <c r="M25" t="inlineStr">
        <is>
          <t>Caren</t>
        </is>
      </c>
      <c r="N25" t="inlineStr">
        <is>
          <t>EEPA</t>
        </is>
      </c>
      <c r="O25" t="inlineStr">
        <is>
          <t>2013/03-2</t>
        </is>
      </c>
      <c r="P25" t="inlineStr">
        <is>
          <t>EEPA</t>
        </is>
      </c>
      <c r="Q25" t="n">
        <v>2</v>
      </c>
      <c r="R25" t="inlineStr">
        <is>
          <t>C.CHENA 220</t>
        </is>
      </c>
      <c r="S25" t="n">
        <v>762.304728</v>
      </c>
      <c r="T25" t="n">
        <v>62296</v>
      </c>
      <c r="W25" t="n">
        <v>81.72</v>
      </c>
    </row>
    <row r="26">
      <c r="A26" t="inlineStr">
        <is>
          <t>01-03-2021</t>
        </is>
      </c>
      <c r="B26" t="inlineStr">
        <is>
          <t>01-03-2021</t>
        </is>
      </c>
      <c r="C26" t="inlineStr">
        <is>
          <t>Licitación Caren y EEPA (SIC 2013/03-2) BS1C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BS1C: Potencia mar 2021</t>
        </is>
      </c>
      <c r="G26" t="inlineStr">
        <is>
          <t>2021-04-12 21:41:33</t>
        </is>
      </c>
      <c r="H26" t="n">
        <v>33</v>
      </c>
      <c r="I26" t="n">
        <v>18315</v>
      </c>
      <c r="J26" t="inlineStr">
        <is>
          <t>s</t>
        </is>
      </c>
      <c r="K26" t="inlineStr">
        <is>
          <t>s</t>
        </is>
      </c>
      <c r="L26" t="inlineStr">
        <is>
          <t>BS1C</t>
        </is>
      </c>
      <c r="M26" t="inlineStr">
        <is>
          <t>Caren</t>
        </is>
      </c>
      <c r="N26" t="inlineStr">
        <is>
          <t>EEPA</t>
        </is>
      </c>
      <c r="O26" t="inlineStr">
        <is>
          <t>2013/03-2</t>
        </is>
      </c>
      <c r="P26" t="inlineStr">
        <is>
          <t>EEPA</t>
        </is>
      </c>
      <c r="Q26" t="n">
        <v>3</v>
      </c>
      <c r="R26" t="inlineStr">
        <is>
          <t>C.NAVIA 220</t>
        </is>
      </c>
      <c r="U26" t="n">
        <v>0.705214</v>
      </c>
      <c r="V26" t="n">
        <v>4307</v>
      </c>
      <c r="W26" t="n">
        <v>6106.953</v>
      </c>
    </row>
    <row r="27">
      <c r="A27" t="inlineStr">
        <is>
          <t>01-03-2021</t>
        </is>
      </c>
      <c r="B27" t="inlineStr">
        <is>
          <t>01-03-2021</t>
        </is>
      </c>
      <c r="C27" t="inlineStr">
        <is>
          <t>Licitación Caren y EEPA (SIC 2013/03-2) BS1C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BS1C: Energía mar 2021</t>
        </is>
      </c>
      <c r="G27" t="inlineStr">
        <is>
          <t>2021-04-12 21:41:33</t>
        </is>
      </c>
      <c r="H27" t="n">
        <v>33</v>
      </c>
      <c r="I27" t="n">
        <v>18315</v>
      </c>
      <c r="J27" t="inlineStr">
        <is>
          <t>s</t>
        </is>
      </c>
      <c r="K27" t="inlineStr">
        <is>
          <t>s</t>
        </is>
      </c>
      <c r="L27" t="inlineStr">
        <is>
          <t>BS1C</t>
        </is>
      </c>
      <c r="M27" t="inlineStr">
        <is>
          <t>Caren</t>
        </is>
      </c>
      <c r="N27" t="inlineStr">
        <is>
          <t>EEPA</t>
        </is>
      </c>
      <c r="O27" t="inlineStr">
        <is>
          <t>2013/03-2</t>
        </is>
      </c>
      <c r="P27" t="inlineStr">
        <is>
          <t>EEPA</t>
        </is>
      </c>
      <c r="Q27" t="n">
        <v>3</v>
      </c>
      <c r="R27" t="inlineStr">
        <is>
          <t>C.NAVIA 220</t>
        </is>
      </c>
      <c r="S27" t="n">
        <v>269.417258</v>
      </c>
      <c r="T27" t="n">
        <v>22258</v>
      </c>
      <c r="W27" t="n">
        <v>82.617</v>
      </c>
    </row>
    <row r="28">
      <c r="A28" t="inlineStr">
        <is>
          <t>01-03-2021</t>
        </is>
      </c>
      <c r="B28" t="inlineStr">
        <is>
          <t>01-03-2021</t>
        </is>
      </c>
      <c r="C28" t="inlineStr">
        <is>
          <t>Licitación Caren y EEPA (SIC 2013/03-2) BS1C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BS1C: Potencia mar 2021</t>
        </is>
      </c>
      <c r="G28" t="inlineStr">
        <is>
          <t>2021-04-12 21:41:33</t>
        </is>
      </c>
      <c r="H28" t="n">
        <v>33</v>
      </c>
      <c r="I28" t="n">
        <v>18315</v>
      </c>
      <c r="J28" t="inlineStr">
        <is>
          <t>s</t>
        </is>
      </c>
      <c r="K28" t="inlineStr">
        <is>
          <t>s</t>
        </is>
      </c>
      <c r="L28" t="inlineStr">
        <is>
          <t>BS1C</t>
        </is>
      </c>
      <c r="M28" t="inlineStr">
        <is>
          <t>Caren</t>
        </is>
      </c>
      <c r="N28" t="inlineStr">
        <is>
          <t>EEPA</t>
        </is>
      </c>
      <c r="O28" t="inlineStr">
        <is>
          <t>2013/03-2</t>
        </is>
      </c>
      <c r="P28" t="inlineStr">
        <is>
          <t>EEPA</t>
        </is>
      </c>
      <c r="Q28" t="n">
        <v>4</v>
      </c>
      <c r="R28" t="inlineStr">
        <is>
          <t>POLPAICO 220</t>
        </is>
      </c>
      <c r="U28" t="n">
        <v>0.530392</v>
      </c>
      <c r="V28" t="n">
        <v>3202</v>
      </c>
      <c r="W28" t="n">
        <v>6037.522</v>
      </c>
    </row>
    <row r="29">
      <c r="A29" t="inlineStr">
        <is>
          <t>01-03-2021</t>
        </is>
      </c>
      <c r="B29" t="inlineStr">
        <is>
          <t>01-03-2021</t>
        </is>
      </c>
      <c r="C29" t="inlineStr">
        <is>
          <t>Licitación Caren y EEPA (SIC 2013/03-2) BS1C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BS1C: Energía mar 2021</t>
        </is>
      </c>
      <c r="G29" t="inlineStr">
        <is>
          <t>2021-04-12 21:41:33</t>
        </is>
      </c>
      <c r="H29" t="n">
        <v>33</v>
      </c>
      <c r="I29" t="n">
        <v>18315</v>
      </c>
      <c r="J29" t="inlineStr">
        <is>
          <t>s</t>
        </is>
      </c>
      <c r="K29" t="inlineStr">
        <is>
          <t>s</t>
        </is>
      </c>
      <c r="L29" t="inlineStr">
        <is>
          <t>BS1C</t>
        </is>
      </c>
      <c r="M29" t="inlineStr">
        <is>
          <t>Caren</t>
        </is>
      </c>
      <c r="N29" t="inlineStr">
        <is>
          <t>EEPA</t>
        </is>
      </c>
      <c r="O29" t="inlineStr">
        <is>
          <t>2013/03-2</t>
        </is>
      </c>
      <c r="P29" t="inlineStr">
        <is>
          <t>EEPA</t>
        </is>
      </c>
      <c r="Q29" t="n">
        <v>4</v>
      </c>
      <c r="R29" t="inlineStr">
        <is>
          <t>POLPAICO 220</t>
        </is>
      </c>
      <c r="S29" t="n">
        <v>202.71841</v>
      </c>
      <c r="T29" t="n">
        <v>16688</v>
      </c>
      <c r="W29" t="n">
        <v>82.321</v>
      </c>
    </row>
    <row r="30">
      <c r="A30" t="inlineStr">
        <is>
          <t>01-03-2021</t>
        </is>
      </c>
      <c r="B30" t="inlineStr">
        <is>
          <t>01-03-2021</t>
        </is>
      </c>
      <c r="C30" t="inlineStr">
        <is>
          <t>Licitación Caren y EEPA (SIC 2013/03-2) BS1C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BS1C: Potencia mar 2021</t>
        </is>
      </c>
      <c r="G30" t="inlineStr">
        <is>
          <t>2021-04-12 21:41:33</t>
        </is>
      </c>
      <c r="H30" t="n">
        <v>33</v>
      </c>
      <c r="I30" t="n">
        <v>18315</v>
      </c>
      <c r="J30" t="inlineStr">
        <is>
          <t>s</t>
        </is>
      </c>
      <c r="K30" t="inlineStr">
        <is>
          <t>s</t>
        </is>
      </c>
      <c r="L30" t="inlineStr">
        <is>
          <t>BS1C</t>
        </is>
      </c>
      <c r="M30" t="inlineStr">
        <is>
          <t>Caren</t>
        </is>
      </c>
      <c r="N30" t="inlineStr">
        <is>
          <t>EEPA</t>
        </is>
      </c>
      <c r="O30" t="inlineStr">
        <is>
          <t>2013/03-2</t>
        </is>
      </c>
      <c r="P30" t="inlineStr">
        <is>
          <t>EEPA</t>
        </is>
      </c>
      <c r="Q30" t="n">
        <v>5</v>
      </c>
      <c r="R30" t="inlineStr">
        <is>
          <t>QUILLOTA 220</t>
        </is>
      </c>
      <c r="U30" t="n">
        <v>0.003128</v>
      </c>
      <c r="V30" t="n">
        <v>19</v>
      </c>
      <c r="W30" t="n">
        <v>6125.066</v>
      </c>
    </row>
    <row r="31">
      <c r="A31" t="inlineStr">
        <is>
          <t>01-03-2021</t>
        </is>
      </c>
      <c r="B31" t="inlineStr">
        <is>
          <t>01-03-2021</t>
        </is>
      </c>
      <c r="C31" t="inlineStr">
        <is>
          <t>Licitación Caren y EEPA (SIC 2013/03-2) BS1C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BS1C: Energía mar 2021</t>
        </is>
      </c>
      <c r="G31" t="inlineStr">
        <is>
          <t>2021-04-12 21:41:33</t>
        </is>
      </c>
      <c r="H31" t="n">
        <v>33</v>
      </c>
      <c r="I31" t="n">
        <v>18315</v>
      </c>
      <c r="J31" t="inlineStr">
        <is>
          <t>s</t>
        </is>
      </c>
      <c r="K31" t="inlineStr">
        <is>
          <t>s</t>
        </is>
      </c>
      <c r="L31" t="inlineStr">
        <is>
          <t>BS1C</t>
        </is>
      </c>
      <c r="M31" t="inlineStr">
        <is>
          <t>Caren</t>
        </is>
      </c>
      <c r="N31" t="inlineStr">
        <is>
          <t>EEPA</t>
        </is>
      </c>
      <c r="O31" t="inlineStr">
        <is>
          <t>2013/03-2</t>
        </is>
      </c>
      <c r="P31" t="inlineStr">
        <is>
          <t>EEPA</t>
        </is>
      </c>
      <c r="Q31" t="n">
        <v>5</v>
      </c>
      <c r="R31" t="inlineStr">
        <is>
          <t>QUILLOTA 220</t>
        </is>
      </c>
      <c r="S31" t="n">
        <v>1.197137</v>
      </c>
      <c r="T31" t="n">
        <v>100</v>
      </c>
      <c r="W31" t="n">
        <v>83.119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01-01-2021</t>
        </is>
      </c>
      <c r="B2" t="inlineStr">
        <is>
          <t>01-01-2021</t>
        </is>
      </c>
      <c r="C2" t="inlineStr">
        <is>
          <t>Licitación Caren y EEPA (SIC 2013/03-2) BS1C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BS1C: Energía ene 2021</t>
        </is>
      </c>
      <c r="G2" t="inlineStr">
        <is>
          <t>2021-02-17 15:28:09</t>
        </is>
      </c>
      <c r="H2" t="n">
        <v>33</v>
      </c>
      <c r="I2" t="n">
        <v>17615</v>
      </c>
      <c r="J2" t="inlineStr">
        <is>
          <t>s</t>
        </is>
      </c>
      <c r="K2" t="inlineStr">
        <is>
          <t>s</t>
        </is>
      </c>
      <c r="L2" t="inlineStr">
        <is>
          <t>BS1C</t>
        </is>
      </c>
      <c r="M2" t="inlineStr">
        <is>
          <t>Caren</t>
        </is>
      </c>
      <c r="N2" t="inlineStr">
        <is>
          <t>EEPA</t>
        </is>
      </c>
      <c r="O2" t="inlineStr">
        <is>
          <t>2013/03-2</t>
        </is>
      </c>
      <c r="P2" t="inlineStr">
        <is>
          <t>EEPA</t>
        </is>
      </c>
      <c r="Q2" t="n">
        <v>1</v>
      </c>
      <c r="R2" t="inlineStr">
        <is>
          <t>A.JAHUEL 220</t>
        </is>
      </c>
      <c r="S2" t="n">
        <v>938.308591</v>
      </c>
      <c r="T2" t="n">
        <v>66818</v>
      </c>
      <c r="W2" t="n">
        <v>71.211</v>
      </c>
    </row>
    <row r="3">
      <c r="A3" t="inlineStr">
        <is>
          <t>01-01-2021</t>
        </is>
      </c>
      <c r="B3" t="inlineStr">
        <is>
          <t>01-01-2021</t>
        </is>
      </c>
      <c r="C3" t="inlineStr">
        <is>
          <t>Licitación Caren y EEPA (SIC 2013/03-2) BS1C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BS1C: Energía ene 2021</t>
        </is>
      </c>
      <c r="G3" t="inlineStr">
        <is>
          <t>2021-02-17 15:28:09</t>
        </is>
      </c>
      <c r="H3" t="n">
        <v>33</v>
      </c>
      <c r="I3" t="n">
        <v>17615</v>
      </c>
      <c r="J3" t="inlineStr">
        <is>
          <t>s</t>
        </is>
      </c>
      <c r="K3" t="inlineStr">
        <is>
          <t>s</t>
        </is>
      </c>
      <c r="L3" t="inlineStr">
        <is>
          <t>BS1C</t>
        </is>
      </c>
      <c r="M3" t="inlineStr">
        <is>
          <t>Caren</t>
        </is>
      </c>
      <c r="N3" t="inlineStr">
        <is>
          <t>EEPA</t>
        </is>
      </c>
      <c r="O3" t="inlineStr">
        <is>
          <t>2013/03-2</t>
        </is>
      </c>
      <c r="P3" t="inlineStr">
        <is>
          <t>EEPA</t>
        </is>
      </c>
      <c r="Q3" t="n">
        <v>2</v>
      </c>
      <c r="R3" t="inlineStr">
        <is>
          <t>C.CHENA 220</t>
        </is>
      </c>
      <c r="S3" t="n">
        <v>334.246008</v>
      </c>
      <c r="T3" t="n">
        <v>24194</v>
      </c>
      <c r="W3" t="n">
        <v>72.38500000000001</v>
      </c>
    </row>
    <row r="4">
      <c r="A4" t="inlineStr">
        <is>
          <t>01-01-2021</t>
        </is>
      </c>
      <c r="B4" t="inlineStr">
        <is>
          <t>01-01-2021</t>
        </is>
      </c>
      <c r="C4" t="inlineStr">
        <is>
          <t>Licitación Caren y EEPA (SIC 2013/03-2) BS1C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BS1C: Energía ene 2021</t>
        </is>
      </c>
      <c r="G4" t="inlineStr">
        <is>
          <t>2021-02-17 15:28:09</t>
        </is>
      </c>
      <c r="H4" t="n">
        <v>33</v>
      </c>
      <c r="I4" t="n">
        <v>17615</v>
      </c>
      <c r="J4" t="inlineStr">
        <is>
          <t>s</t>
        </is>
      </c>
      <c r="K4" t="inlineStr">
        <is>
          <t>s</t>
        </is>
      </c>
      <c r="L4" t="inlineStr">
        <is>
          <t>BS1C</t>
        </is>
      </c>
      <c r="M4" t="inlineStr">
        <is>
          <t>Caren</t>
        </is>
      </c>
      <c r="N4" t="inlineStr">
        <is>
          <t>EEPA</t>
        </is>
      </c>
      <c r="O4" t="inlineStr">
        <is>
          <t>2013/03-2</t>
        </is>
      </c>
      <c r="P4" t="inlineStr">
        <is>
          <t>EEPA</t>
        </is>
      </c>
      <c r="Q4" t="n">
        <v>3</v>
      </c>
      <c r="R4" t="inlineStr">
        <is>
          <t>C.NAVIA 220</t>
        </is>
      </c>
      <c r="S4" t="n">
        <v>460.905603</v>
      </c>
      <c r="T4" t="n">
        <v>33570</v>
      </c>
      <c r="W4" t="n">
        <v>72.834</v>
      </c>
    </row>
    <row r="5">
      <c r="A5" t="inlineStr">
        <is>
          <t>01-01-2021</t>
        </is>
      </c>
      <c r="B5" t="inlineStr">
        <is>
          <t>01-01-2021</t>
        </is>
      </c>
      <c r="C5" t="inlineStr">
        <is>
          <t>Licitación Caren y EEPA (SIC 2013/03-2) BS1C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BS1C: Energía ene 2021</t>
        </is>
      </c>
      <c r="G5" t="inlineStr">
        <is>
          <t>2021-02-17 15:28:09</t>
        </is>
      </c>
      <c r="H5" t="n">
        <v>33</v>
      </c>
      <c r="I5" t="n">
        <v>17615</v>
      </c>
      <c r="J5" t="inlineStr">
        <is>
          <t>s</t>
        </is>
      </c>
      <c r="K5" t="inlineStr">
        <is>
          <t>s</t>
        </is>
      </c>
      <c r="L5" t="inlineStr">
        <is>
          <t>BS1C</t>
        </is>
      </c>
      <c r="M5" t="inlineStr">
        <is>
          <t>Caren</t>
        </is>
      </c>
      <c r="N5" t="inlineStr">
        <is>
          <t>EEPA</t>
        </is>
      </c>
      <c r="O5" t="inlineStr">
        <is>
          <t>2013/03-2</t>
        </is>
      </c>
      <c r="P5" t="inlineStr">
        <is>
          <t>EEPA</t>
        </is>
      </c>
      <c r="Q5" t="n">
        <v>4</v>
      </c>
      <c r="R5" t="inlineStr">
        <is>
          <t>POLPAICO 220</t>
        </is>
      </c>
      <c r="S5" t="n">
        <v>260.160533</v>
      </c>
      <c r="T5" t="n">
        <v>18853</v>
      </c>
      <c r="W5" t="n">
        <v>72.465</v>
      </c>
    </row>
    <row r="6">
      <c r="A6" t="inlineStr">
        <is>
          <t>01-01-2021</t>
        </is>
      </c>
      <c r="B6" t="inlineStr">
        <is>
          <t>01-01-2021</t>
        </is>
      </c>
      <c r="C6" t="inlineStr">
        <is>
          <t>Licitación Caren y EEPA (SIC 2013/03-2) BS1C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BS1C: Energía ene 2021</t>
        </is>
      </c>
      <c r="G6" t="inlineStr">
        <is>
          <t>2021-02-17 15:28:09</t>
        </is>
      </c>
      <c r="H6" t="n">
        <v>33</v>
      </c>
      <c r="I6" t="n">
        <v>17615</v>
      </c>
      <c r="J6" t="inlineStr">
        <is>
          <t>s</t>
        </is>
      </c>
      <c r="K6" t="inlineStr">
        <is>
          <t>s</t>
        </is>
      </c>
      <c r="L6" t="inlineStr">
        <is>
          <t>BS1C</t>
        </is>
      </c>
      <c r="M6" t="inlineStr">
        <is>
          <t>Caren</t>
        </is>
      </c>
      <c r="N6" t="inlineStr">
        <is>
          <t>EEPA</t>
        </is>
      </c>
      <c r="O6" t="inlineStr">
        <is>
          <t>2013/03-2</t>
        </is>
      </c>
      <c r="P6" t="inlineStr">
        <is>
          <t>EEPA</t>
        </is>
      </c>
      <c r="Q6" t="n">
        <v>5</v>
      </c>
      <c r="R6" t="inlineStr">
        <is>
          <t>QUILLOTA 220</t>
        </is>
      </c>
      <c r="S6" t="n">
        <v>2.45615</v>
      </c>
      <c r="T6" t="n">
        <v>179</v>
      </c>
      <c r="W6" t="n">
        <v>73.023</v>
      </c>
    </row>
    <row r="7">
      <c r="A7" t="inlineStr">
        <is>
          <t>01-02-2021</t>
        </is>
      </c>
      <c r="B7" t="inlineStr">
        <is>
          <t>01-02-2021</t>
        </is>
      </c>
      <c r="C7" t="inlineStr">
        <is>
          <t>Licitación Caren y EEPA (SIC 2013/03-2) BS1C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BS1C: Energía feb 2021</t>
        </is>
      </c>
      <c r="G7" t="inlineStr">
        <is>
          <t>2021-03-09 10:30:07</t>
        </is>
      </c>
      <c r="H7" t="n">
        <v>33</v>
      </c>
      <c r="I7" t="n">
        <v>17689</v>
      </c>
      <c r="J7" t="inlineStr">
        <is>
          <t>s</t>
        </is>
      </c>
      <c r="K7" t="inlineStr">
        <is>
          <t>s</t>
        </is>
      </c>
      <c r="L7" t="inlineStr">
        <is>
          <t>BS1C</t>
        </is>
      </c>
      <c r="M7" t="inlineStr">
        <is>
          <t>Caren</t>
        </is>
      </c>
      <c r="N7" t="inlineStr">
        <is>
          <t>EEPA</t>
        </is>
      </c>
      <c r="O7" t="inlineStr">
        <is>
          <t>2013/03-2</t>
        </is>
      </c>
      <c r="P7" t="inlineStr">
        <is>
          <t>EEPA</t>
        </is>
      </c>
      <c r="Q7" t="n">
        <v>1</v>
      </c>
      <c r="R7" t="inlineStr">
        <is>
          <t>A.JAHUEL 220</t>
        </is>
      </c>
      <c r="S7" t="n">
        <v>661.900044</v>
      </c>
      <c r="T7" t="n">
        <v>47135</v>
      </c>
      <c r="W7" t="n">
        <v>71.211</v>
      </c>
    </row>
    <row r="8">
      <c r="A8" t="inlineStr">
        <is>
          <t>01-02-2021</t>
        </is>
      </c>
      <c r="B8" t="inlineStr">
        <is>
          <t>01-02-2021</t>
        </is>
      </c>
      <c r="C8" t="inlineStr">
        <is>
          <t>Licitación Caren y EEPA (SIC 2013/03-2) BS1C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BS1C: Energía feb 2021</t>
        </is>
      </c>
      <c r="G8" t="inlineStr">
        <is>
          <t>2021-03-09 10:30:07</t>
        </is>
      </c>
      <c r="H8" t="n">
        <v>33</v>
      </c>
      <c r="I8" t="n">
        <v>17689</v>
      </c>
      <c r="J8" t="inlineStr">
        <is>
          <t>s</t>
        </is>
      </c>
      <c r="K8" t="inlineStr">
        <is>
          <t>s</t>
        </is>
      </c>
      <c r="L8" t="inlineStr">
        <is>
          <t>BS1C</t>
        </is>
      </c>
      <c r="M8" t="inlineStr">
        <is>
          <t>Caren</t>
        </is>
      </c>
      <c r="N8" t="inlineStr">
        <is>
          <t>EEPA</t>
        </is>
      </c>
      <c r="O8" t="inlineStr">
        <is>
          <t>2013/03-2</t>
        </is>
      </c>
      <c r="P8" t="inlineStr">
        <is>
          <t>EEPA</t>
        </is>
      </c>
      <c r="Q8" t="n">
        <v>2</v>
      </c>
      <c r="R8" t="inlineStr">
        <is>
          <t>C.CHENA 220</t>
        </is>
      </c>
      <c r="S8" t="n">
        <v>658.375515</v>
      </c>
      <c r="T8" t="n">
        <v>47657</v>
      </c>
      <c r="W8" t="n">
        <v>72.38500000000001</v>
      </c>
    </row>
    <row r="9">
      <c r="A9" t="inlineStr">
        <is>
          <t>01-02-2021</t>
        </is>
      </c>
      <c r="B9" t="inlineStr">
        <is>
          <t>01-02-2021</t>
        </is>
      </c>
      <c r="C9" t="inlineStr">
        <is>
          <t>Licitación Caren y EEPA (SIC 2013/03-2) BS1C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BS1C: Energía feb 2021</t>
        </is>
      </c>
      <c r="G9" t="inlineStr">
        <is>
          <t>2021-03-09 10:30:07</t>
        </is>
      </c>
      <c r="H9" t="n">
        <v>33</v>
      </c>
      <c r="I9" t="n">
        <v>17689</v>
      </c>
      <c r="J9" t="inlineStr">
        <is>
          <t>s</t>
        </is>
      </c>
      <c r="K9" t="inlineStr">
        <is>
          <t>s</t>
        </is>
      </c>
      <c r="L9" t="inlineStr">
        <is>
          <t>BS1C</t>
        </is>
      </c>
      <c r="M9" t="inlineStr">
        <is>
          <t>Caren</t>
        </is>
      </c>
      <c r="N9" t="inlineStr">
        <is>
          <t>EEPA</t>
        </is>
      </c>
      <c r="O9" t="inlineStr">
        <is>
          <t>2013/03-2</t>
        </is>
      </c>
      <c r="P9" t="inlineStr">
        <is>
          <t>EEPA</t>
        </is>
      </c>
      <c r="Q9" t="n">
        <v>3</v>
      </c>
      <c r="R9" t="inlineStr">
        <is>
          <t>C.NAVIA 220</t>
        </is>
      </c>
      <c r="S9" t="n">
        <v>232.455349</v>
      </c>
      <c r="T9" t="n">
        <v>16931</v>
      </c>
      <c r="W9" t="n">
        <v>72.834</v>
      </c>
    </row>
    <row r="10">
      <c r="A10" t="inlineStr">
        <is>
          <t>01-02-2021</t>
        </is>
      </c>
      <c r="B10" t="inlineStr">
        <is>
          <t>01-02-2021</t>
        </is>
      </c>
      <c r="C10" t="inlineStr">
        <is>
          <t>Licitación Caren y EEPA (SIC 2013/03-2) BS1C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BS1C: Energía feb 2021</t>
        </is>
      </c>
      <c r="G10" t="inlineStr">
        <is>
          <t>2021-03-09 10:30:07</t>
        </is>
      </c>
      <c r="H10" t="n">
        <v>33</v>
      </c>
      <c r="I10" t="n">
        <v>17689</v>
      </c>
      <c r="J10" t="inlineStr">
        <is>
          <t>s</t>
        </is>
      </c>
      <c r="K10" t="inlineStr">
        <is>
          <t>s</t>
        </is>
      </c>
      <c r="L10" t="inlineStr">
        <is>
          <t>BS1C</t>
        </is>
      </c>
      <c r="M10" t="inlineStr">
        <is>
          <t>Caren</t>
        </is>
      </c>
      <c r="N10" t="inlineStr">
        <is>
          <t>EEPA</t>
        </is>
      </c>
      <c r="O10" t="inlineStr">
        <is>
          <t>2013/03-2</t>
        </is>
      </c>
      <c r="P10" t="inlineStr">
        <is>
          <t>EEPA</t>
        </is>
      </c>
      <c r="Q10" t="n">
        <v>4</v>
      </c>
      <c r="R10" t="inlineStr">
        <is>
          <t>POLPAICO 220</t>
        </is>
      </c>
      <c r="S10" t="n">
        <v>174.852935</v>
      </c>
      <c r="T10" t="n">
        <v>12671</v>
      </c>
      <c r="W10" t="n">
        <v>72.465</v>
      </c>
    </row>
    <row r="11">
      <c r="A11" t="inlineStr">
        <is>
          <t>01-02-2021</t>
        </is>
      </c>
      <c r="B11" t="inlineStr">
        <is>
          <t>01-02-2021</t>
        </is>
      </c>
      <c r="C11" t="inlineStr">
        <is>
          <t>Licitación Caren y EEPA (SIC 2013/03-2) BS1C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BS1C: Energía feb 2021</t>
        </is>
      </c>
      <c r="G11" t="inlineStr">
        <is>
          <t>2021-03-09 10:30:07</t>
        </is>
      </c>
      <c r="H11" t="n">
        <v>33</v>
      </c>
      <c r="I11" t="n">
        <v>17689</v>
      </c>
      <c r="J11" t="inlineStr">
        <is>
          <t>s</t>
        </is>
      </c>
      <c r="K11" t="inlineStr">
        <is>
          <t>s</t>
        </is>
      </c>
      <c r="L11" t="inlineStr">
        <is>
          <t>BS1C</t>
        </is>
      </c>
      <c r="M11" t="inlineStr">
        <is>
          <t>Caren</t>
        </is>
      </c>
      <c r="N11" t="inlineStr">
        <is>
          <t>EEPA</t>
        </is>
      </c>
      <c r="O11" t="inlineStr">
        <is>
          <t>2013/03-2</t>
        </is>
      </c>
      <c r="P11" t="inlineStr">
        <is>
          <t>EEPA</t>
        </is>
      </c>
      <c r="Q11" t="n">
        <v>5</v>
      </c>
      <c r="R11" t="inlineStr">
        <is>
          <t>QUILLOTA 220</t>
        </is>
      </c>
      <c r="S11" t="n">
        <v>1.030611</v>
      </c>
      <c r="T11" t="n">
        <v>75</v>
      </c>
      <c r="W11" t="n">
        <v>73.023</v>
      </c>
    </row>
    <row r="12">
      <c r="A12" t="inlineStr">
        <is>
          <t>01-03-2021</t>
        </is>
      </c>
      <c r="B12" t="inlineStr">
        <is>
          <t>01-03-2021</t>
        </is>
      </c>
      <c r="C12" t="inlineStr">
        <is>
          <t>Licitación Caren y EEPA (SIC 2013/03-2) BS1C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BS1C: Energía mar 2021</t>
        </is>
      </c>
      <c r="G12" t="inlineStr">
        <is>
          <t>2021-04-12 21:41:33</t>
        </is>
      </c>
      <c r="H12" t="n">
        <v>33</v>
      </c>
      <c r="I12" t="n">
        <v>18315</v>
      </c>
      <c r="J12" t="inlineStr">
        <is>
          <t>s</t>
        </is>
      </c>
      <c r="K12" t="inlineStr">
        <is>
          <t>s</t>
        </is>
      </c>
      <c r="L12" t="inlineStr">
        <is>
          <t>BS1C</t>
        </is>
      </c>
      <c r="M12" t="inlineStr">
        <is>
          <t>Caren</t>
        </is>
      </c>
      <c r="N12" t="inlineStr">
        <is>
          <t>EEPA</t>
        </is>
      </c>
      <c r="O12" t="inlineStr">
        <is>
          <t>2013/03-2</t>
        </is>
      </c>
      <c r="P12" t="inlineStr">
        <is>
          <t>EEPA</t>
        </is>
      </c>
      <c r="Q12" t="n">
        <v>1</v>
      </c>
      <c r="R12" t="inlineStr">
        <is>
          <t>A.JAHUEL 220</t>
        </is>
      </c>
      <c r="S12" t="n">
        <v>764.407597</v>
      </c>
      <c r="T12" t="n">
        <v>61416</v>
      </c>
      <c r="W12" t="n">
        <v>80.345</v>
      </c>
    </row>
    <row r="13">
      <c r="A13" t="inlineStr">
        <is>
          <t>01-03-2021</t>
        </is>
      </c>
      <c r="B13" t="inlineStr">
        <is>
          <t>01-03-2021</t>
        </is>
      </c>
      <c r="C13" t="inlineStr">
        <is>
          <t>Licitación Caren y EEPA (SIC 2013/03-2) BS1C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BS1C: Energía mar 2021</t>
        </is>
      </c>
      <c r="G13" t="inlineStr">
        <is>
          <t>2021-04-12 21:41:33</t>
        </is>
      </c>
      <c r="H13" t="n">
        <v>33</v>
      </c>
      <c r="I13" t="n">
        <v>18315</v>
      </c>
      <c r="J13" t="inlineStr">
        <is>
          <t>s</t>
        </is>
      </c>
      <c r="K13" t="inlineStr">
        <is>
          <t>s</t>
        </is>
      </c>
      <c r="L13" t="inlineStr">
        <is>
          <t>BS1C</t>
        </is>
      </c>
      <c r="M13" t="inlineStr">
        <is>
          <t>Caren</t>
        </is>
      </c>
      <c r="N13" t="inlineStr">
        <is>
          <t>EEPA</t>
        </is>
      </c>
      <c r="O13" t="inlineStr">
        <is>
          <t>2013/03-2</t>
        </is>
      </c>
      <c r="P13" t="inlineStr">
        <is>
          <t>EEPA</t>
        </is>
      </c>
      <c r="Q13" t="n">
        <v>2</v>
      </c>
      <c r="R13" t="inlineStr">
        <is>
          <t>C.CHENA 220</t>
        </is>
      </c>
      <c r="S13" t="n">
        <v>762.304728</v>
      </c>
      <c r="T13" t="n">
        <v>62296</v>
      </c>
      <c r="W13" t="n">
        <v>81.72</v>
      </c>
    </row>
    <row r="14">
      <c r="A14" t="inlineStr">
        <is>
          <t>01-03-2021</t>
        </is>
      </c>
      <c r="B14" t="inlineStr">
        <is>
          <t>01-03-2021</t>
        </is>
      </c>
      <c r="C14" t="inlineStr">
        <is>
          <t>Licitación Caren y EEPA (SIC 2013/03-2) BS1C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BS1C: Energía mar 2021</t>
        </is>
      </c>
      <c r="G14" t="inlineStr">
        <is>
          <t>2021-04-12 21:41:33</t>
        </is>
      </c>
      <c r="H14" t="n">
        <v>33</v>
      </c>
      <c r="I14" t="n">
        <v>18315</v>
      </c>
      <c r="J14" t="inlineStr">
        <is>
          <t>s</t>
        </is>
      </c>
      <c r="K14" t="inlineStr">
        <is>
          <t>s</t>
        </is>
      </c>
      <c r="L14" t="inlineStr">
        <is>
          <t>BS1C</t>
        </is>
      </c>
      <c r="M14" t="inlineStr">
        <is>
          <t>Caren</t>
        </is>
      </c>
      <c r="N14" t="inlineStr">
        <is>
          <t>EEPA</t>
        </is>
      </c>
      <c r="O14" t="inlineStr">
        <is>
          <t>2013/03-2</t>
        </is>
      </c>
      <c r="P14" t="inlineStr">
        <is>
          <t>EEPA</t>
        </is>
      </c>
      <c r="Q14" t="n">
        <v>3</v>
      </c>
      <c r="R14" t="inlineStr">
        <is>
          <t>C.NAVIA 220</t>
        </is>
      </c>
      <c r="S14" t="n">
        <v>269.417258</v>
      </c>
      <c r="T14" t="n">
        <v>22258</v>
      </c>
      <c r="W14" t="n">
        <v>82.617</v>
      </c>
    </row>
    <row r="15">
      <c r="A15" t="inlineStr">
        <is>
          <t>01-03-2021</t>
        </is>
      </c>
      <c r="B15" t="inlineStr">
        <is>
          <t>01-03-2021</t>
        </is>
      </c>
      <c r="C15" t="inlineStr">
        <is>
          <t>Licitación Caren y EEPA (SIC 2013/03-2) BS1C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BS1C: Energía mar 2021</t>
        </is>
      </c>
      <c r="G15" t="inlineStr">
        <is>
          <t>2021-04-12 21:41:33</t>
        </is>
      </c>
      <c r="H15" t="n">
        <v>33</v>
      </c>
      <c r="I15" t="n">
        <v>18315</v>
      </c>
      <c r="J15" t="inlineStr">
        <is>
          <t>s</t>
        </is>
      </c>
      <c r="K15" t="inlineStr">
        <is>
          <t>s</t>
        </is>
      </c>
      <c r="L15" t="inlineStr">
        <is>
          <t>BS1C</t>
        </is>
      </c>
      <c r="M15" t="inlineStr">
        <is>
          <t>Caren</t>
        </is>
      </c>
      <c r="N15" t="inlineStr">
        <is>
          <t>EEPA</t>
        </is>
      </c>
      <c r="O15" t="inlineStr">
        <is>
          <t>2013/03-2</t>
        </is>
      </c>
      <c r="P15" t="inlineStr">
        <is>
          <t>EEPA</t>
        </is>
      </c>
      <c r="Q15" t="n">
        <v>4</v>
      </c>
      <c r="R15" t="inlineStr">
        <is>
          <t>POLPAICO 220</t>
        </is>
      </c>
      <c r="S15" t="n">
        <v>202.71841</v>
      </c>
      <c r="T15" t="n">
        <v>16688</v>
      </c>
      <c r="W15" t="n">
        <v>82.321</v>
      </c>
    </row>
    <row r="16">
      <c r="A16" t="inlineStr">
        <is>
          <t>01-03-2021</t>
        </is>
      </c>
      <c r="B16" t="inlineStr">
        <is>
          <t>01-03-2021</t>
        </is>
      </c>
      <c r="C16" t="inlineStr">
        <is>
          <t>Licitación Caren y EEPA (SIC 2013/03-2) BS1C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BS1C: Energía mar 2021</t>
        </is>
      </c>
      <c r="G16" t="inlineStr">
        <is>
          <t>2021-04-12 21:41:33</t>
        </is>
      </c>
      <c r="H16" t="n">
        <v>33</v>
      </c>
      <c r="I16" t="n">
        <v>18315</v>
      </c>
      <c r="J16" t="inlineStr">
        <is>
          <t>s</t>
        </is>
      </c>
      <c r="K16" t="inlineStr">
        <is>
          <t>s</t>
        </is>
      </c>
      <c r="L16" t="inlineStr">
        <is>
          <t>BS1C</t>
        </is>
      </c>
      <c r="M16" t="inlineStr">
        <is>
          <t>Caren</t>
        </is>
      </c>
      <c r="N16" t="inlineStr">
        <is>
          <t>EEPA</t>
        </is>
      </c>
      <c r="O16" t="inlineStr">
        <is>
          <t>2013/03-2</t>
        </is>
      </c>
      <c r="P16" t="inlineStr">
        <is>
          <t>EEPA</t>
        </is>
      </c>
      <c r="Q16" t="n">
        <v>5</v>
      </c>
      <c r="R16" t="inlineStr">
        <is>
          <t>QUILLOTA 220</t>
        </is>
      </c>
      <c r="S16" t="n">
        <v>1.197137</v>
      </c>
      <c r="T16" t="n">
        <v>100</v>
      </c>
      <c r="W16" t="n">
        <v>83.119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01-01-2021</t>
        </is>
      </c>
      <c r="B2" t="inlineStr">
        <is>
          <t>01-01-2021</t>
        </is>
      </c>
      <c r="C2" t="inlineStr">
        <is>
          <t>Licitación Caren y EEPA (SIC 2013/03-2) BS1C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BS1C: Potencia ene 2021</t>
        </is>
      </c>
      <c r="G2" t="inlineStr">
        <is>
          <t>2021-02-17 15:28:09</t>
        </is>
      </c>
      <c r="H2" t="n">
        <v>33</v>
      </c>
      <c r="I2" t="n">
        <v>17615</v>
      </c>
      <c r="J2" t="inlineStr">
        <is>
          <t>s</t>
        </is>
      </c>
      <c r="K2" t="inlineStr">
        <is>
          <t>s</t>
        </is>
      </c>
      <c r="L2" t="inlineStr">
        <is>
          <t>BS1C</t>
        </is>
      </c>
      <c r="M2" t="inlineStr">
        <is>
          <t>Caren</t>
        </is>
      </c>
      <c r="N2" t="inlineStr">
        <is>
          <t>EEPA</t>
        </is>
      </c>
      <c r="O2" t="inlineStr">
        <is>
          <t>2013/03-2</t>
        </is>
      </c>
      <c r="P2" t="inlineStr">
        <is>
          <t>EEPA</t>
        </is>
      </c>
      <c r="Q2" t="n">
        <v>1</v>
      </c>
      <c r="R2" t="inlineStr">
        <is>
          <t>A.JAHUEL 220</t>
        </is>
      </c>
      <c r="U2" t="n">
        <v>2.476303</v>
      </c>
      <c r="V2" t="n">
        <v>15049</v>
      </c>
      <c r="W2" t="n">
        <v>6077.195</v>
      </c>
    </row>
    <row r="3">
      <c r="A3" t="inlineStr">
        <is>
          <t>01-01-2021</t>
        </is>
      </c>
      <c r="B3" t="inlineStr">
        <is>
          <t>01-01-2021</t>
        </is>
      </c>
      <c r="C3" t="inlineStr">
        <is>
          <t>Licitación Caren y EEPA (SIC 2013/03-2) BS1C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BS1C: Potencia ene 2021</t>
        </is>
      </c>
      <c r="G3" t="inlineStr">
        <is>
          <t>2021-02-17 15:28:09</t>
        </is>
      </c>
      <c r="H3" t="n">
        <v>33</v>
      </c>
      <c r="I3" t="n">
        <v>17615</v>
      </c>
      <c r="J3" t="inlineStr">
        <is>
          <t>s</t>
        </is>
      </c>
      <c r="K3" t="inlineStr">
        <is>
          <t>s</t>
        </is>
      </c>
      <c r="L3" t="inlineStr">
        <is>
          <t>BS1C</t>
        </is>
      </c>
      <c r="M3" t="inlineStr">
        <is>
          <t>Caren</t>
        </is>
      </c>
      <c r="N3" t="inlineStr">
        <is>
          <t>EEPA</t>
        </is>
      </c>
      <c r="O3" t="inlineStr">
        <is>
          <t>2013/03-2</t>
        </is>
      </c>
      <c r="P3" t="inlineStr">
        <is>
          <t>EEPA</t>
        </is>
      </c>
      <c r="Q3" t="n">
        <v>2</v>
      </c>
      <c r="R3" t="inlineStr">
        <is>
          <t>C.CHENA 220</t>
        </is>
      </c>
      <c r="U3" t="n">
        <v>0.877586</v>
      </c>
      <c r="V3" t="n">
        <v>5389</v>
      </c>
      <c r="W3" t="n">
        <v>6140.897</v>
      </c>
    </row>
    <row r="4">
      <c r="A4" t="inlineStr">
        <is>
          <t>01-01-2021</t>
        </is>
      </c>
      <c r="B4" t="inlineStr">
        <is>
          <t>01-01-2021</t>
        </is>
      </c>
      <c r="C4" t="inlineStr">
        <is>
          <t>Licitación Caren y EEPA (SIC 2013/03-2) BS1C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BS1C: Potencia ene 2021</t>
        </is>
      </c>
      <c r="G4" t="inlineStr">
        <is>
          <t>2021-02-17 15:28:09</t>
        </is>
      </c>
      <c r="H4" t="n">
        <v>33</v>
      </c>
      <c r="I4" t="n">
        <v>17615</v>
      </c>
      <c r="J4" t="inlineStr">
        <is>
          <t>s</t>
        </is>
      </c>
      <c r="K4" t="inlineStr">
        <is>
          <t>s</t>
        </is>
      </c>
      <c r="L4" t="inlineStr">
        <is>
          <t>BS1C</t>
        </is>
      </c>
      <c r="M4" t="inlineStr">
        <is>
          <t>Caren</t>
        </is>
      </c>
      <c r="N4" t="inlineStr">
        <is>
          <t>EEPA</t>
        </is>
      </c>
      <c r="O4" t="inlineStr">
        <is>
          <t>2013/03-2</t>
        </is>
      </c>
      <c r="P4" t="inlineStr">
        <is>
          <t>EEPA</t>
        </is>
      </c>
      <c r="Q4" t="n">
        <v>3</v>
      </c>
      <c r="R4" t="inlineStr">
        <is>
          <t>C.NAVIA 220</t>
        </is>
      </c>
      <c r="U4" t="n">
        <v>1.208135</v>
      </c>
      <c r="V4" t="n">
        <v>7411</v>
      </c>
      <c r="W4" t="n">
        <v>6134.224</v>
      </c>
    </row>
    <row r="5">
      <c r="A5" t="inlineStr">
        <is>
          <t>01-01-2021</t>
        </is>
      </c>
      <c r="B5" t="inlineStr">
        <is>
          <t>01-01-2021</t>
        </is>
      </c>
      <c r="C5" t="inlineStr">
        <is>
          <t>Licitación Caren y EEPA (SIC 2013/03-2) BS1C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BS1C: Potencia ene 2021</t>
        </is>
      </c>
      <c r="G5" t="inlineStr">
        <is>
          <t>2021-02-17 15:28:09</t>
        </is>
      </c>
      <c r="H5" t="n">
        <v>33</v>
      </c>
      <c r="I5" t="n">
        <v>17615</v>
      </c>
      <c r="J5" t="inlineStr">
        <is>
          <t>s</t>
        </is>
      </c>
      <c r="K5" t="inlineStr">
        <is>
          <t>s</t>
        </is>
      </c>
      <c r="L5" t="inlineStr">
        <is>
          <t>BS1C</t>
        </is>
      </c>
      <c r="M5" t="inlineStr">
        <is>
          <t>Caren</t>
        </is>
      </c>
      <c r="N5" t="inlineStr">
        <is>
          <t>EEPA</t>
        </is>
      </c>
      <c r="O5" t="inlineStr">
        <is>
          <t>2013/03-2</t>
        </is>
      </c>
      <c r="P5" t="inlineStr">
        <is>
          <t>EEPA</t>
        </is>
      </c>
      <c r="Q5" t="n">
        <v>4</v>
      </c>
      <c r="R5" t="inlineStr">
        <is>
          <t>POLPAICO 220</t>
        </is>
      </c>
      <c r="U5" t="n">
        <v>0.681254</v>
      </c>
      <c r="V5" t="n">
        <v>4133</v>
      </c>
      <c r="W5" t="n">
        <v>6066.882</v>
      </c>
    </row>
    <row r="6">
      <c r="A6" t="inlineStr">
        <is>
          <t>01-01-2021</t>
        </is>
      </c>
      <c r="B6" t="inlineStr">
        <is>
          <t>01-01-2021</t>
        </is>
      </c>
      <c r="C6" t="inlineStr">
        <is>
          <t>Licitación Caren y EEPA (SIC 2013/03-2) BS1C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BS1C: Potencia ene 2021</t>
        </is>
      </c>
      <c r="G6" t="inlineStr">
        <is>
          <t>2021-02-17 15:28:09</t>
        </is>
      </c>
      <c r="H6" t="n">
        <v>33</v>
      </c>
      <c r="I6" t="n">
        <v>17615</v>
      </c>
      <c r="J6" t="inlineStr">
        <is>
          <t>s</t>
        </is>
      </c>
      <c r="K6" t="inlineStr">
        <is>
          <t>s</t>
        </is>
      </c>
      <c r="L6" t="inlineStr">
        <is>
          <t>BS1C</t>
        </is>
      </c>
      <c r="M6" t="inlineStr">
        <is>
          <t>Caren</t>
        </is>
      </c>
      <c r="N6" t="inlineStr">
        <is>
          <t>EEPA</t>
        </is>
      </c>
      <c r="O6" t="inlineStr">
        <is>
          <t>2013/03-2</t>
        </is>
      </c>
      <c r="P6" t="inlineStr">
        <is>
          <t>EEPA</t>
        </is>
      </c>
      <c r="Q6" t="n">
        <v>5</v>
      </c>
      <c r="R6" t="inlineStr">
        <is>
          <t>QUILLOTA 220</t>
        </is>
      </c>
      <c r="U6" t="n">
        <v>0.006405</v>
      </c>
      <c r="V6" t="n">
        <v>39</v>
      </c>
      <c r="W6" t="n">
        <v>6142.111</v>
      </c>
    </row>
    <row r="7">
      <c r="A7" t="inlineStr">
        <is>
          <t>01-02-2021</t>
        </is>
      </c>
      <c r="B7" t="inlineStr">
        <is>
          <t>01-02-2021</t>
        </is>
      </c>
      <c r="C7" t="inlineStr">
        <is>
          <t>Licitación Caren y EEPA (SIC 2013/03-2) BS1C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BS1C: Potencia feb 2021</t>
        </is>
      </c>
      <c r="G7" t="inlineStr">
        <is>
          <t>2021-03-09 10:30:07</t>
        </is>
      </c>
      <c r="H7" t="n">
        <v>33</v>
      </c>
      <c r="I7" t="n">
        <v>17689</v>
      </c>
      <c r="J7" t="inlineStr">
        <is>
          <t>s</t>
        </is>
      </c>
      <c r="K7" t="inlineStr">
        <is>
          <t>s</t>
        </is>
      </c>
      <c r="L7" t="inlineStr">
        <is>
          <t>BS1C</t>
        </is>
      </c>
      <c r="M7" t="inlineStr">
        <is>
          <t>Caren</t>
        </is>
      </c>
      <c r="N7" t="inlineStr">
        <is>
          <t>EEPA</t>
        </is>
      </c>
      <c r="O7" t="inlineStr">
        <is>
          <t>2013/03-2</t>
        </is>
      </c>
      <c r="P7" t="inlineStr">
        <is>
          <t>EEPA</t>
        </is>
      </c>
      <c r="Q7" t="n">
        <v>1</v>
      </c>
      <c r="R7" t="inlineStr">
        <is>
          <t>A.JAHUEL 220</t>
        </is>
      </c>
      <c r="U7" t="n">
        <v>2.011165</v>
      </c>
      <c r="V7" t="n">
        <v>12222</v>
      </c>
      <c r="W7" t="n">
        <v>6077.195</v>
      </c>
    </row>
    <row r="8">
      <c r="A8" t="inlineStr">
        <is>
          <t>01-02-2021</t>
        </is>
      </c>
      <c r="B8" t="inlineStr">
        <is>
          <t>01-02-2021</t>
        </is>
      </c>
      <c r="C8" t="inlineStr">
        <is>
          <t>Licitación Caren y EEPA (SIC 2013/03-2) BS1C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BS1C: Potencia feb 2021</t>
        </is>
      </c>
      <c r="G8" t="inlineStr">
        <is>
          <t>2021-03-09 10:30:07</t>
        </is>
      </c>
      <c r="H8" t="n">
        <v>33</v>
      </c>
      <c r="I8" t="n">
        <v>17689</v>
      </c>
      <c r="J8" t="inlineStr">
        <is>
          <t>s</t>
        </is>
      </c>
      <c r="K8" t="inlineStr">
        <is>
          <t>s</t>
        </is>
      </c>
      <c r="L8" t="inlineStr">
        <is>
          <t>BS1C</t>
        </is>
      </c>
      <c r="M8" t="inlineStr">
        <is>
          <t>Caren</t>
        </is>
      </c>
      <c r="N8" t="inlineStr">
        <is>
          <t>EEPA</t>
        </is>
      </c>
      <c r="O8" t="inlineStr">
        <is>
          <t>2013/03-2</t>
        </is>
      </c>
      <c r="P8" t="inlineStr">
        <is>
          <t>EEPA</t>
        </is>
      </c>
      <c r="Q8" t="n">
        <v>2</v>
      </c>
      <c r="R8" t="inlineStr">
        <is>
          <t>C.CHENA 220</t>
        </is>
      </c>
      <c r="U8" t="n">
        <v>1.99918</v>
      </c>
      <c r="V8" t="n">
        <v>12277</v>
      </c>
      <c r="W8" t="n">
        <v>6140.897</v>
      </c>
    </row>
    <row r="9">
      <c r="A9" t="inlineStr">
        <is>
          <t>01-02-2021</t>
        </is>
      </c>
      <c r="B9" t="inlineStr">
        <is>
          <t>01-02-2021</t>
        </is>
      </c>
      <c r="C9" t="inlineStr">
        <is>
          <t>Licitación Caren y EEPA (SIC 2013/03-2) BS1C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BS1C: Potencia feb 2021</t>
        </is>
      </c>
      <c r="G9" t="inlineStr">
        <is>
          <t>2021-03-09 10:30:07</t>
        </is>
      </c>
      <c r="H9" t="n">
        <v>33</v>
      </c>
      <c r="I9" t="n">
        <v>17689</v>
      </c>
      <c r="J9" t="inlineStr">
        <is>
          <t>s</t>
        </is>
      </c>
      <c r="K9" t="inlineStr">
        <is>
          <t>s</t>
        </is>
      </c>
      <c r="L9" t="inlineStr">
        <is>
          <t>BS1C</t>
        </is>
      </c>
      <c r="M9" t="inlineStr">
        <is>
          <t>Caren</t>
        </is>
      </c>
      <c r="N9" t="inlineStr">
        <is>
          <t>EEPA</t>
        </is>
      </c>
      <c r="O9" t="inlineStr">
        <is>
          <t>2013/03-2</t>
        </is>
      </c>
      <c r="P9" t="inlineStr">
        <is>
          <t>EEPA</t>
        </is>
      </c>
      <c r="Q9" t="n">
        <v>3</v>
      </c>
      <c r="R9" t="inlineStr">
        <is>
          <t>C.NAVIA 220</t>
        </is>
      </c>
      <c r="U9" t="n">
        <v>0.705534</v>
      </c>
      <c r="V9" t="n">
        <v>4328</v>
      </c>
      <c r="W9" t="n">
        <v>6134.224</v>
      </c>
    </row>
    <row r="10">
      <c r="A10" t="inlineStr">
        <is>
          <t>01-02-2021</t>
        </is>
      </c>
      <c r="B10" t="inlineStr">
        <is>
          <t>01-02-2021</t>
        </is>
      </c>
      <c r="C10" t="inlineStr">
        <is>
          <t>Licitación Caren y EEPA (SIC 2013/03-2) BS1C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BS1C: Potencia feb 2021</t>
        </is>
      </c>
      <c r="G10" t="inlineStr">
        <is>
          <t>2021-03-09 10:30:07</t>
        </is>
      </c>
      <c r="H10" t="n">
        <v>33</v>
      </c>
      <c r="I10" t="n">
        <v>17689</v>
      </c>
      <c r="J10" t="inlineStr">
        <is>
          <t>s</t>
        </is>
      </c>
      <c r="K10" t="inlineStr">
        <is>
          <t>s</t>
        </is>
      </c>
      <c r="L10" t="inlineStr">
        <is>
          <t>BS1C</t>
        </is>
      </c>
      <c r="M10" t="inlineStr">
        <is>
          <t>Caren</t>
        </is>
      </c>
      <c r="N10" t="inlineStr">
        <is>
          <t>EEPA</t>
        </is>
      </c>
      <c r="O10" t="inlineStr">
        <is>
          <t>2013/03-2</t>
        </is>
      </c>
      <c r="P10" t="inlineStr">
        <is>
          <t>EEPA</t>
        </is>
      </c>
      <c r="Q10" t="n">
        <v>4</v>
      </c>
      <c r="R10" t="inlineStr">
        <is>
          <t>POLPAICO 220</t>
        </is>
      </c>
      <c r="U10" t="n">
        <v>0.530672</v>
      </c>
      <c r="V10" t="n">
        <v>3220</v>
      </c>
      <c r="W10" t="n">
        <v>6066.882</v>
      </c>
    </row>
    <row r="11">
      <c r="A11" t="inlineStr">
        <is>
          <t>01-02-2021</t>
        </is>
      </c>
      <c r="B11" t="inlineStr">
        <is>
          <t>01-02-2021</t>
        </is>
      </c>
      <c r="C11" t="inlineStr">
        <is>
          <t>Licitación Caren y EEPA (SIC 2013/03-2) BS1C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BS1C: Potencia feb 2021</t>
        </is>
      </c>
      <c r="G11" t="inlineStr">
        <is>
          <t>2021-03-09 10:30:07</t>
        </is>
      </c>
      <c r="H11" t="n">
        <v>33</v>
      </c>
      <c r="I11" t="n">
        <v>17689</v>
      </c>
      <c r="J11" t="inlineStr">
        <is>
          <t>s</t>
        </is>
      </c>
      <c r="K11" t="inlineStr">
        <is>
          <t>s</t>
        </is>
      </c>
      <c r="L11" t="inlineStr">
        <is>
          <t>BS1C</t>
        </is>
      </c>
      <c r="M11" t="inlineStr">
        <is>
          <t>Caren</t>
        </is>
      </c>
      <c r="N11" t="inlineStr">
        <is>
          <t>EEPA</t>
        </is>
      </c>
      <c r="O11" t="inlineStr">
        <is>
          <t>2013/03-2</t>
        </is>
      </c>
      <c r="P11" t="inlineStr">
        <is>
          <t>EEPA</t>
        </is>
      </c>
      <c r="Q11" t="n">
        <v>5</v>
      </c>
      <c r="R11" t="inlineStr">
        <is>
          <t>QUILLOTA 220</t>
        </is>
      </c>
      <c r="U11" t="n">
        <v>0.003131</v>
      </c>
      <c r="V11" t="n">
        <v>19</v>
      </c>
      <c r="W11" t="n">
        <v>6142.111</v>
      </c>
    </row>
    <row r="12">
      <c r="A12" t="inlineStr">
        <is>
          <t>01-03-2021</t>
        </is>
      </c>
      <c r="B12" t="inlineStr">
        <is>
          <t>01-03-2021</t>
        </is>
      </c>
      <c r="C12" t="inlineStr">
        <is>
          <t>Licitación Caren y EEPA (SIC 2013/03-2) BS1C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BS1C: Potencia mar 2021</t>
        </is>
      </c>
      <c r="G12" t="inlineStr">
        <is>
          <t>2021-04-12 21:41:33</t>
        </is>
      </c>
      <c r="H12" t="n">
        <v>33</v>
      </c>
      <c r="I12" t="n">
        <v>18315</v>
      </c>
      <c r="J12" t="inlineStr">
        <is>
          <t>s</t>
        </is>
      </c>
      <c r="K12" t="inlineStr">
        <is>
          <t>s</t>
        </is>
      </c>
      <c r="L12" t="inlineStr">
        <is>
          <t>BS1C</t>
        </is>
      </c>
      <c r="M12" t="inlineStr">
        <is>
          <t>Caren</t>
        </is>
      </c>
      <c r="N12" t="inlineStr">
        <is>
          <t>EEPA</t>
        </is>
      </c>
      <c r="O12" t="inlineStr">
        <is>
          <t>2013/03-2</t>
        </is>
      </c>
      <c r="P12" t="inlineStr">
        <is>
          <t>EEPA</t>
        </is>
      </c>
      <c r="Q12" t="n">
        <v>1</v>
      </c>
      <c r="R12" t="inlineStr">
        <is>
          <t>A.JAHUEL 220</t>
        </is>
      </c>
      <c r="U12" t="n">
        <v>2.012111</v>
      </c>
      <c r="V12" t="n">
        <v>12192</v>
      </c>
      <c r="W12" t="n">
        <v>6059.257</v>
      </c>
    </row>
    <row r="13">
      <c r="A13" t="inlineStr">
        <is>
          <t>01-03-2021</t>
        </is>
      </c>
      <c r="B13" t="inlineStr">
        <is>
          <t>01-03-2021</t>
        </is>
      </c>
      <c r="C13" t="inlineStr">
        <is>
          <t>Licitación Caren y EEPA (SIC 2013/03-2) BS1C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BS1C: Potencia mar 2021</t>
        </is>
      </c>
      <c r="G13" t="inlineStr">
        <is>
          <t>2021-04-12 21:41:33</t>
        </is>
      </c>
      <c r="H13" t="n">
        <v>33</v>
      </c>
      <c r="I13" t="n">
        <v>18315</v>
      </c>
      <c r="J13" t="inlineStr">
        <is>
          <t>s</t>
        </is>
      </c>
      <c r="K13" t="inlineStr">
        <is>
          <t>s</t>
        </is>
      </c>
      <c r="L13" t="inlineStr">
        <is>
          <t>BS1C</t>
        </is>
      </c>
      <c r="M13" t="inlineStr">
        <is>
          <t>Caren</t>
        </is>
      </c>
      <c r="N13" t="inlineStr">
        <is>
          <t>EEPA</t>
        </is>
      </c>
      <c r="O13" t="inlineStr">
        <is>
          <t>2013/03-2</t>
        </is>
      </c>
      <c r="P13" t="inlineStr">
        <is>
          <t>EEPA</t>
        </is>
      </c>
      <c r="Q13" t="n">
        <v>2</v>
      </c>
      <c r="R13" t="inlineStr">
        <is>
          <t>C.CHENA 220</t>
        </is>
      </c>
      <c r="U13" t="n">
        <v>1.998838</v>
      </c>
      <c r="V13" t="n">
        <v>12225</v>
      </c>
      <c r="W13" t="n">
        <v>6116.009</v>
      </c>
    </row>
    <row r="14">
      <c r="A14" t="inlineStr">
        <is>
          <t>01-03-2021</t>
        </is>
      </c>
      <c r="B14" t="inlineStr">
        <is>
          <t>01-03-2021</t>
        </is>
      </c>
      <c r="C14" t="inlineStr">
        <is>
          <t>Licitación Caren y EEPA (SIC 2013/03-2) BS1C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BS1C: Potencia mar 2021</t>
        </is>
      </c>
      <c r="G14" t="inlineStr">
        <is>
          <t>2021-04-12 21:41:33</t>
        </is>
      </c>
      <c r="H14" t="n">
        <v>33</v>
      </c>
      <c r="I14" t="n">
        <v>18315</v>
      </c>
      <c r="J14" t="inlineStr">
        <is>
          <t>s</t>
        </is>
      </c>
      <c r="K14" t="inlineStr">
        <is>
          <t>s</t>
        </is>
      </c>
      <c r="L14" t="inlineStr">
        <is>
          <t>BS1C</t>
        </is>
      </c>
      <c r="M14" t="inlineStr">
        <is>
          <t>Caren</t>
        </is>
      </c>
      <c r="N14" t="inlineStr">
        <is>
          <t>EEPA</t>
        </is>
      </c>
      <c r="O14" t="inlineStr">
        <is>
          <t>2013/03-2</t>
        </is>
      </c>
      <c r="P14" t="inlineStr">
        <is>
          <t>EEPA</t>
        </is>
      </c>
      <c r="Q14" t="n">
        <v>3</v>
      </c>
      <c r="R14" t="inlineStr">
        <is>
          <t>C.NAVIA 220</t>
        </is>
      </c>
      <c r="U14" t="n">
        <v>0.705214</v>
      </c>
      <c r="V14" t="n">
        <v>4307</v>
      </c>
      <c r="W14" t="n">
        <v>6106.953</v>
      </c>
    </row>
    <row r="15">
      <c r="A15" t="inlineStr">
        <is>
          <t>01-03-2021</t>
        </is>
      </c>
      <c r="B15" t="inlineStr">
        <is>
          <t>01-03-2021</t>
        </is>
      </c>
      <c r="C15" t="inlineStr">
        <is>
          <t>Licitación Caren y EEPA (SIC 2013/03-2) BS1C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BS1C: Potencia mar 2021</t>
        </is>
      </c>
      <c r="G15" t="inlineStr">
        <is>
          <t>2021-04-12 21:41:33</t>
        </is>
      </c>
      <c r="H15" t="n">
        <v>33</v>
      </c>
      <c r="I15" t="n">
        <v>18315</v>
      </c>
      <c r="J15" t="inlineStr">
        <is>
          <t>s</t>
        </is>
      </c>
      <c r="K15" t="inlineStr">
        <is>
          <t>s</t>
        </is>
      </c>
      <c r="L15" t="inlineStr">
        <is>
          <t>BS1C</t>
        </is>
      </c>
      <c r="M15" t="inlineStr">
        <is>
          <t>Caren</t>
        </is>
      </c>
      <c r="N15" t="inlineStr">
        <is>
          <t>EEPA</t>
        </is>
      </c>
      <c r="O15" t="inlineStr">
        <is>
          <t>2013/03-2</t>
        </is>
      </c>
      <c r="P15" t="inlineStr">
        <is>
          <t>EEPA</t>
        </is>
      </c>
      <c r="Q15" t="n">
        <v>4</v>
      </c>
      <c r="R15" t="inlineStr">
        <is>
          <t>POLPAICO 220</t>
        </is>
      </c>
      <c r="U15" t="n">
        <v>0.530392</v>
      </c>
      <c r="V15" t="n">
        <v>3202</v>
      </c>
      <c r="W15" t="n">
        <v>6037.522</v>
      </c>
    </row>
    <row r="16">
      <c r="A16" t="inlineStr">
        <is>
          <t>01-03-2021</t>
        </is>
      </c>
      <c r="B16" t="inlineStr">
        <is>
          <t>01-03-2021</t>
        </is>
      </c>
      <c r="C16" t="inlineStr">
        <is>
          <t>Licitación Caren y EEPA (SIC 2013/03-2) BS1C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BS1C: Potencia mar 2021</t>
        </is>
      </c>
      <c r="G16" t="inlineStr">
        <is>
          <t>2021-04-12 21:41:33</t>
        </is>
      </c>
      <c r="H16" t="n">
        <v>33</v>
      </c>
      <c r="I16" t="n">
        <v>18315</v>
      </c>
      <c r="J16" t="inlineStr">
        <is>
          <t>s</t>
        </is>
      </c>
      <c r="K16" t="inlineStr">
        <is>
          <t>s</t>
        </is>
      </c>
      <c r="L16" t="inlineStr">
        <is>
          <t>BS1C</t>
        </is>
      </c>
      <c r="M16" t="inlineStr">
        <is>
          <t>Caren</t>
        </is>
      </c>
      <c r="N16" t="inlineStr">
        <is>
          <t>EEPA</t>
        </is>
      </c>
      <c r="O16" t="inlineStr">
        <is>
          <t>2013/03-2</t>
        </is>
      </c>
      <c r="P16" t="inlineStr">
        <is>
          <t>EEPA</t>
        </is>
      </c>
      <c r="Q16" t="n">
        <v>5</v>
      </c>
      <c r="R16" t="inlineStr">
        <is>
          <t>QUILLOTA 220</t>
        </is>
      </c>
      <c r="U16" t="n">
        <v>0.003128</v>
      </c>
      <c r="V16" t="n">
        <v>19</v>
      </c>
      <c r="W16" t="n">
        <v>6125.066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01-01-2021</t>
        </is>
      </c>
      <c r="C2" t="n">
        <v>2021</v>
      </c>
      <c r="D2" t="n">
        <v>1</v>
      </c>
      <c r="E2" t="inlineStr">
        <is>
          <t>Costanera 012</t>
        </is>
      </c>
      <c r="F2" t="inlineStr">
        <is>
          <t>EEPA</t>
        </is>
      </c>
      <c r="G2" t="inlineStr">
        <is>
          <t>EEPA</t>
        </is>
      </c>
      <c r="H2" t="inlineStr">
        <is>
          <t>Empresa Eléctrica Carén S.A.</t>
        </is>
      </c>
      <c r="I2" t="inlineStr">
        <is>
          <t>Empresa Eléctrica Carén S.A.</t>
        </is>
      </c>
      <c r="J2" t="inlineStr">
        <is>
          <t>SIC 2013/03_2_BS1C_BB_EEPA_Empresa Eléctrica Carén S.A.</t>
        </is>
      </c>
      <c r="K2" t="inlineStr">
        <is>
          <t>Costanera 012</t>
        </is>
      </c>
      <c r="L2" t="inlineStr">
        <is>
          <t>-1</t>
        </is>
      </c>
      <c r="M2" t="n">
        <v>500.1081173767465</v>
      </c>
      <c r="N2" t="n">
        <v>1</v>
      </c>
      <c r="O2" t="inlineStr">
        <is>
          <t>4</t>
        </is>
      </c>
      <c r="P2" s="2" t="n">
        <v>44664.57499100694</v>
      </c>
      <c r="Q2" t="n">
        <v>8</v>
      </c>
      <c r="R2" t="inlineStr">
        <is>
          <t>ALTO JAHUEL 220</t>
        </is>
      </c>
      <c r="S2" t="n">
        <v>174.0516122815536</v>
      </c>
      <c r="T2" t="n">
        <v>14824.80154734543</v>
      </c>
      <c r="U2" t="n">
        <v>0.3776263303167509</v>
      </c>
      <c r="V2" t="n">
        <v>2234.890495665692</v>
      </c>
      <c r="W2" t="inlineStr">
        <is>
          <t>EEPA</t>
        </is>
      </c>
      <c r="X2" t="n">
        <v>94.11573940730558</v>
      </c>
      <c r="Y2" t="n">
        <v>14.82480154734544</v>
      </c>
      <c r="Z2" t="n">
        <v>16380.99618491208</v>
      </c>
      <c r="AA2" t="n">
        <v>2902.455189176223</v>
      </c>
      <c r="AB2" t="n">
        <v>2234.890495665692</v>
      </c>
      <c r="AC2" t="n">
        <v>2902.455189176223</v>
      </c>
      <c r="AD2" s="2" t="n">
        <v>44197</v>
      </c>
    </row>
    <row r="3">
      <c r="A3" t="n">
        <v>-1</v>
      </c>
      <c r="B3" t="inlineStr">
        <is>
          <t>01-01-2021</t>
        </is>
      </c>
      <c r="C3" t="n">
        <v>2021</v>
      </c>
      <c r="D3" t="n">
        <v>1</v>
      </c>
      <c r="E3" t="inlineStr">
        <is>
          <t>Costanera 012</t>
        </is>
      </c>
      <c r="F3" t="inlineStr">
        <is>
          <t>EEPA</t>
        </is>
      </c>
      <c r="G3" t="inlineStr">
        <is>
          <t>EEPA</t>
        </is>
      </c>
      <c r="H3" t="inlineStr">
        <is>
          <t>Empresa Eléctrica Carén S.A.</t>
        </is>
      </c>
      <c r="I3" t="inlineStr">
        <is>
          <t>Empresa Eléctrica Carén S.A.</t>
        </is>
      </c>
      <c r="J3" t="inlineStr">
        <is>
          <t>SIC 2013/03_2_BS1C_BB_EEPA_Empresa Eléctrica Carén S.A.</t>
        </is>
      </c>
      <c r="K3" t="inlineStr">
        <is>
          <t>Costanera 012</t>
        </is>
      </c>
      <c r="L3" t="inlineStr">
        <is>
          <t>-1</t>
        </is>
      </c>
      <c r="M3" t="n">
        <v>500.1081173767465</v>
      </c>
      <c r="N3" t="n">
        <v>1</v>
      </c>
      <c r="O3" t="inlineStr">
        <is>
          <t>4</t>
        </is>
      </c>
      <c r="P3" s="2" t="n">
        <v>44664.57499100694</v>
      </c>
      <c r="Q3" t="n">
        <v>18</v>
      </c>
      <c r="R3" t="inlineStr">
        <is>
          <t>CERRO NAVIA 220</t>
        </is>
      </c>
      <c r="S3" t="n">
        <v>74.33656997054479</v>
      </c>
      <c r="T3" t="n">
        <v>6461.437318866477</v>
      </c>
      <c r="U3" t="n">
        <v>0.1612823102201524</v>
      </c>
      <c r="V3" t="n">
        <v>971.7236281443194</v>
      </c>
      <c r="W3" t="inlineStr">
        <is>
          <t>EEPA</t>
        </is>
      </c>
      <c r="X3" t="n">
        <v>96.04572483547315</v>
      </c>
      <c r="Y3" t="n">
        <v>6.461437318866476</v>
      </c>
      <c r="Z3" t="n">
        <v>7139.709744603842</v>
      </c>
      <c r="AA3" t="n">
        <v>1261.978737849765</v>
      </c>
      <c r="AB3" t="n">
        <v>971.7236281443194</v>
      </c>
      <c r="AC3" t="n">
        <v>1261.978737849765</v>
      </c>
      <c r="AD3" s="2" t="n">
        <v>44197</v>
      </c>
    </row>
    <row r="4">
      <c r="A4" t="n">
        <v>-1</v>
      </c>
      <c r="B4" t="inlineStr">
        <is>
          <t>01-01-2021</t>
        </is>
      </c>
      <c r="C4" t="n">
        <v>2021</v>
      </c>
      <c r="D4" t="n">
        <v>1</v>
      </c>
      <c r="E4" t="inlineStr">
        <is>
          <t>Costanera 012</t>
        </is>
      </c>
      <c r="F4" t="inlineStr">
        <is>
          <t>EEPA</t>
        </is>
      </c>
      <c r="G4" t="inlineStr">
        <is>
          <t>EEPA</t>
        </is>
      </c>
      <c r="H4" t="inlineStr">
        <is>
          <t>Empresa Eléctrica Carén S.A.</t>
        </is>
      </c>
      <c r="I4" t="inlineStr">
        <is>
          <t>Empresa Eléctrica Carén S.A.</t>
        </is>
      </c>
      <c r="J4" t="inlineStr">
        <is>
          <t>SIC 2013/03_2_BS1C_BB_EEPA_Empresa Eléctrica Carén S.A.</t>
        </is>
      </c>
      <c r="K4" t="inlineStr">
        <is>
          <t>Costanera 012</t>
        </is>
      </c>
      <c r="L4" t="inlineStr">
        <is>
          <t>-1</t>
        </is>
      </c>
      <c r="M4" t="n">
        <v>500.1081173767465</v>
      </c>
      <c r="N4" t="n">
        <v>1</v>
      </c>
      <c r="O4" t="inlineStr">
        <is>
          <t>4</t>
        </is>
      </c>
      <c r="P4" s="2" t="n">
        <v>44664.57499100694</v>
      </c>
      <c r="Q4" t="n">
        <v>32</v>
      </c>
      <c r="R4" t="inlineStr">
        <is>
          <t>CHENA 220</t>
        </is>
      </c>
      <c r="S4" t="n">
        <v>199.6658041510332</v>
      </c>
      <c r="T4" t="n">
        <v>17250.60433743763</v>
      </c>
      <c r="U4" t="n">
        <v>0.4331994626359961</v>
      </c>
      <c r="V4" t="n">
        <v>2610.537189004606</v>
      </c>
      <c r="W4" t="inlineStr">
        <is>
          <t>EEPA</t>
        </is>
      </c>
      <c r="X4" t="n">
        <v>95.46672920726331</v>
      </c>
      <c r="Y4" t="n">
        <v>17.25060433743763</v>
      </c>
      <c r="Z4" t="n">
        <v>19061.44125683716</v>
      </c>
      <c r="AA4" t="n">
        <v>3390.308037668319</v>
      </c>
      <c r="AB4" t="n">
        <v>2610.537189004606</v>
      </c>
      <c r="AC4" t="n">
        <v>3390.308037668319</v>
      </c>
      <c r="AD4" s="2" t="n">
        <v>44197</v>
      </c>
    </row>
    <row r="5">
      <c r="A5" t="n">
        <v>-1</v>
      </c>
      <c r="B5" t="inlineStr">
        <is>
          <t>01-01-2021</t>
        </is>
      </c>
      <c r="C5" t="n">
        <v>2021</v>
      </c>
      <c r="D5" t="n">
        <v>1</v>
      </c>
      <c r="E5" t="inlineStr">
        <is>
          <t>Costanera 012</t>
        </is>
      </c>
      <c r="F5" t="inlineStr">
        <is>
          <t>EEPA</t>
        </is>
      </c>
      <c r="G5" t="inlineStr">
        <is>
          <t>EEPA</t>
        </is>
      </c>
      <c r="H5" t="inlineStr">
        <is>
          <t>Empresa Eléctrica Carén S.A.</t>
        </is>
      </c>
      <c r="I5" t="inlineStr">
        <is>
          <t>Empresa Eléctrica Carén S.A.</t>
        </is>
      </c>
      <c r="J5" t="inlineStr">
        <is>
          <t>SIC 2013/03_2_BS1C_BB_EEPA_Empresa Eléctrica Carén S.A.</t>
        </is>
      </c>
      <c r="K5" t="inlineStr">
        <is>
          <t>Costanera 012</t>
        </is>
      </c>
      <c r="L5" t="inlineStr">
        <is>
          <t>-1</t>
        </is>
      </c>
      <c r="M5" t="n">
        <v>500.1081173767465</v>
      </c>
      <c r="N5" t="n">
        <v>1</v>
      </c>
      <c r="O5" t="inlineStr">
        <is>
          <t>4</t>
        </is>
      </c>
      <c r="P5" s="2" t="n">
        <v>44664.57499100694</v>
      </c>
      <c r="Q5" t="n">
        <v>28</v>
      </c>
      <c r="R5" t="inlineStr">
        <is>
          <t>POLPAICO 220</t>
        </is>
      </c>
      <c r="S5" t="n">
        <v>56.74681402432695</v>
      </c>
      <c r="T5" t="n">
        <v>4955.803718448881</v>
      </c>
      <c r="U5" t="n">
        <v>0.1231191762964487</v>
      </c>
      <c r="V5" t="n">
        <v>734.0834125181536</v>
      </c>
      <c r="W5" t="inlineStr">
        <is>
          <t>EEPA</t>
        </is>
      </c>
      <c r="X5" t="n">
        <v>96.49927141078396</v>
      </c>
      <c r="Y5" t="n">
        <v>4.955803718448881</v>
      </c>
      <c r="Z5" t="n">
        <v>5476.026208230808</v>
      </c>
      <c r="AA5" t="n">
        <v>953.3550811924073</v>
      </c>
      <c r="AB5" t="n">
        <v>734.0834125181536</v>
      </c>
      <c r="AC5" t="n">
        <v>953.3550811924073</v>
      </c>
      <c r="AD5" s="2" t="n">
        <v>44197</v>
      </c>
    </row>
    <row r="6">
      <c r="A6" t="n">
        <v>-1</v>
      </c>
      <c r="B6" t="inlineStr">
        <is>
          <t>01-01-2021</t>
        </is>
      </c>
      <c r="C6" t="n">
        <v>2021</v>
      </c>
      <c r="D6" t="n">
        <v>1</v>
      </c>
      <c r="E6" t="inlineStr">
        <is>
          <t>Costanera 012</t>
        </is>
      </c>
      <c r="F6" t="inlineStr">
        <is>
          <t>EEPA</t>
        </is>
      </c>
      <c r="G6" t="inlineStr">
        <is>
          <t>EEPA</t>
        </is>
      </c>
      <c r="H6" t="inlineStr">
        <is>
          <t>Empresa Eléctrica Carén S.A.</t>
        </is>
      </c>
      <c r="I6" t="inlineStr">
        <is>
          <t>Empresa Eléctrica Carén S.A.</t>
        </is>
      </c>
      <c r="J6" t="inlineStr">
        <is>
          <t>SIC 2013/03_2_BS1C_BB_EEPA_Empresa Eléctrica Carén S.A.</t>
        </is>
      </c>
      <c r="K6" t="inlineStr">
        <is>
          <t>Costanera 012</t>
        </is>
      </c>
      <c r="L6" t="inlineStr">
        <is>
          <t>-1</t>
        </is>
      </c>
      <c r="M6" t="n">
        <v>500.1081173767465</v>
      </c>
      <c r="N6" t="n">
        <v>1</v>
      </c>
      <c r="O6" t="inlineStr">
        <is>
          <t>4</t>
        </is>
      </c>
      <c r="P6" s="2" t="n">
        <v>44664.57499100694</v>
      </c>
      <c r="Q6" t="n">
        <v>11</v>
      </c>
      <c r="R6" t="inlineStr">
        <is>
          <t>QUILLOTA 220</t>
        </is>
      </c>
      <c r="S6" t="n">
        <v>0.3583774173139215</v>
      </c>
      <c r="T6" t="n">
        <v>31.77974498925243</v>
      </c>
      <c r="U6" t="n">
        <v>0.00077754378252889</v>
      </c>
      <c r="V6" t="n">
        <v>4.64574774299338</v>
      </c>
      <c r="W6" t="inlineStr">
        <is>
          <t>EEPA</t>
        </is>
      </c>
      <c r="X6" t="n">
        <v>97.98536019041691</v>
      </c>
      <c r="Y6" t="n">
        <v>0.03177974498925244</v>
      </c>
      <c r="Z6" t="n">
        <v>35.11574031961594</v>
      </c>
      <c r="AA6" t="n">
        <v>6.033438627264129</v>
      </c>
      <c r="AB6" t="n">
        <v>4.64574774299338</v>
      </c>
      <c r="AC6" t="n">
        <v>6.033438627264129</v>
      </c>
      <c r="AD6" s="2" t="n">
        <v>44197</v>
      </c>
    </row>
    <row r="7">
      <c r="A7" t="n">
        <v>-1</v>
      </c>
      <c r="B7" t="inlineStr">
        <is>
          <t>01-01-2021</t>
        </is>
      </c>
      <c r="C7" t="n">
        <v>2021</v>
      </c>
      <c r="D7" t="n">
        <v>1</v>
      </c>
      <c r="E7" t="inlineStr">
        <is>
          <t>La Pintana 012</t>
        </is>
      </c>
      <c r="F7" t="inlineStr">
        <is>
          <t>EEPA</t>
        </is>
      </c>
      <c r="G7" t="inlineStr">
        <is>
          <t>EEPA</t>
        </is>
      </c>
      <c r="H7" t="inlineStr">
        <is>
          <t>Empresa Eléctrica Carén S.A.</t>
        </is>
      </c>
      <c r="I7" t="inlineStr">
        <is>
          <t>Empresa Eléctrica Carén S.A.</t>
        </is>
      </c>
      <c r="J7" t="inlineStr">
        <is>
          <t>SIC 2013/03_2_BS1C_BB_EEPA_Empresa Eléctrica Carén S.A.</t>
        </is>
      </c>
      <c r="K7" t="inlineStr">
        <is>
          <t>La Pintana 012</t>
        </is>
      </c>
      <c r="L7" t="inlineStr">
        <is>
          <t>-1</t>
        </is>
      </c>
      <c r="M7" t="n">
        <v>721.1240667313525</v>
      </c>
      <c r="N7" t="n">
        <v>2</v>
      </c>
      <c r="O7" t="inlineStr">
        <is>
          <t>4</t>
        </is>
      </c>
      <c r="P7" s="2" t="n">
        <v>44664.57499100694</v>
      </c>
      <c r="Q7" t="n">
        <v>8</v>
      </c>
      <c r="R7" t="inlineStr">
        <is>
          <t>ALTO JAHUEL 220</t>
        </is>
      </c>
      <c r="S7" t="n">
        <v>329.5023017115265</v>
      </c>
      <c r="T7" t="n">
        <v>28065.27424960041</v>
      </c>
      <c r="U7" t="n">
        <v>0.9033524699487697</v>
      </c>
      <c r="V7" t="n">
        <v>5346.27404723393</v>
      </c>
      <c r="W7" t="inlineStr">
        <is>
          <t>EEPA</t>
        </is>
      </c>
      <c r="X7" t="n">
        <v>94.11573940730558</v>
      </c>
      <c r="Y7" t="n">
        <v>28.06527424960041</v>
      </c>
      <c r="Z7" t="n">
        <v>31011.35276198941</v>
      </c>
      <c r="AA7" t="n">
        <v>6943.213048355753</v>
      </c>
      <c r="AB7" t="n">
        <v>5346.27404723393</v>
      </c>
      <c r="AC7" t="n">
        <v>6943.213048355753</v>
      </c>
      <c r="AD7" s="2" t="n">
        <v>44197</v>
      </c>
    </row>
    <row r="8">
      <c r="A8" t="n">
        <v>-1</v>
      </c>
      <c r="B8" t="inlineStr">
        <is>
          <t>01-01-2021</t>
        </is>
      </c>
      <c r="C8" t="n">
        <v>2021</v>
      </c>
      <c r="D8" t="n">
        <v>1</v>
      </c>
      <c r="E8" t="inlineStr">
        <is>
          <t>La Pintana 012</t>
        </is>
      </c>
      <c r="F8" t="inlineStr">
        <is>
          <t>EEPA</t>
        </is>
      </c>
      <c r="G8" t="inlineStr">
        <is>
          <t>EEPA</t>
        </is>
      </c>
      <c r="H8" t="inlineStr">
        <is>
          <t>Empresa Eléctrica Carén S.A.</t>
        </is>
      </c>
      <c r="I8" t="inlineStr">
        <is>
          <t>Empresa Eléctrica Carén S.A.</t>
        </is>
      </c>
      <c r="J8" t="inlineStr">
        <is>
          <t>SIC 2013/03_2_BS1C_BB_EEPA_Empresa Eléctrica Carén S.A.</t>
        </is>
      </c>
      <c r="K8" t="inlineStr">
        <is>
          <t>La Pintana 012</t>
        </is>
      </c>
      <c r="L8" t="inlineStr">
        <is>
          <t>-1</t>
        </is>
      </c>
      <c r="M8" t="n">
        <v>721.1240667313525</v>
      </c>
      <c r="N8" t="n">
        <v>2</v>
      </c>
      <c r="O8" t="inlineStr">
        <is>
          <t>4</t>
        </is>
      </c>
      <c r="P8" s="2" t="n">
        <v>44664.57499100694</v>
      </c>
      <c r="Q8" t="n">
        <v>18</v>
      </c>
      <c r="R8" t="inlineStr">
        <is>
          <t>CERRO NAVIA 220</t>
        </is>
      </c>
      <c r="S8" t="n">
        <v>81.68839167424134</v>
      </c>
      <c r="T8" t="n">
        <v>7100.46781404187</v>
      </c>
      <c r="U8" t="n">
        <v>0.2239541575332401</v>
      </c>
      <c r="V8" t="n">
        <v>1349.32061798438</v>
      </c>
      <c r="W8" t="inlineStr">
        <is>
          <t>EEPA</t>
        </is>
      </c>
      <c r="X8" t="n">
        <v>96.04572483547317</v>
      </c>
      <c r="Y8" t="n">
        <v>7.10046781404187</v>
      </c>
      <c r="Z8" t="n">
        <v>7845.820788996542</v>
      </c>
      <c r="AA8" t="n">
        <v>1752.364438940754</v>
      </c>
      <c r="AB8" t="n">
        <v>1349.32061798438</v>
      </c>
      <c r="AC8" t="n">
        <v>1752.364438940754</v>
      </c>
      <c r="AD8" s="2" t="n">
        <v>44197</v>
      </c>
    </row>
    <row r="9">
      <c r="A9" t="n">
        <v>-1</v>
      </c>
      <c r="B9" t="inlineStr">
        <is>
          <t>01-01-2021</t>
        </is>
      </c>
      <c r="C9" t="n">
        <v>2021</v>
      </c>
      <c r="D9" t="n">
        <v>1</v>
      </c>
      <c r="E9" t="inlineStr">
        <is>
          <t>La Pintana 012</t>
        </is>
      </c>
      <c r="F9" t="inlineStr">
        <is>
          <t>EEPA</t>
        </is>
      </c>
      <c r="G9" t="inlineStr">
        <is>
          <t>EEPA</t>
        </is>
      </c>
      <c r="H9" t="inlineStr">
        <is>
          <t>Empresa Eléctrica Carén S.A.</t>
        </is>
      </c>
      <c r="I9" t="inlineStr">
        <is>
          <t>Empresa Eléctrica Carén S.A.</t>
        </is>
      </c>
      <c r="J9" t="inlineStr">
        <is>
          <t>SIC 2013/03_2_BS1C_BB_EEPA_Empresa Eléctrica Carén S.A.</t>
        </is>
      </c>
      <c r="K9" t="inlineStr">
        <is>
          <t>La Pintana 012</t>
        </is>
      </c>
      <c r="L9" t="inlineStr">
        <is>
          <t>-1</t>
        </is>
      </c>
      <c r="M9" t="n">
        <v>721.1240667313525</v>
      </c>
      <c r="N9" t="n">
        <v>2</v>
      </c>
      <c r="O9" t="inlineStr">
        <is>
          <t>4</t>
        </is>
      </c>
      <c r="P9" s="2" t="n">
        <v>44664.57499100694</v>
      </c>
      <c r="Q9" t="n">
        <v>32</v>
      </c>
      <c r="R9" t="inlineStr">
        <is>
          <t>CHENA 220</t>
        </is>
      </c>
      <c r="S9" t="n">
        <v>257.9986951044506</v>
      </c>
      <c r="T9" t="n">
        <v>22290.41386303432</v>
      </c>
      <c r="U9" t="n">
        <v>0.7073205779005703</v>
      </c>
      <c r="V9" t="n">
        <v>4262.439897597964</v>
      </c>
      <c r="W9" t="inlineStr">
        <is>
          <t>EEPA</t>
        </is>
      </c>
      <c r="X9" t="n">
        <v>95.46672920726334</v>
      </c>
      <c r="Y9" t="n">
        <v>22.29041386303432</v>
      </c>
      <c r="Z9" t="n">
        <v>24630.29156136389</v>
      </c>
      <c r="AA9" t="n">
        <v>5535.636230646706</v>
      </c>
      <c r="AB9" t="n">
        <v>4262.439897597964</v>
      </c>
      <c r="AC9" t="n">
        <v>5535.636230646706</v>
      </c>
      <c r="AD9" s="2" t="n">
        <v>44197</v>
      </c>
    </row>
    <row r="10">
      <c r="A10" t="n">
        <v>-1</v>
      </c>
      <c r="B10" t="inlineStr">
        <is>
          <t>01-01-2021</t>
        </is>
      </c>
      <c r="C10" t="n">
        <v>2021</v>
      </c>
      <c r="D10" t="n">
        <v>1</v>
      </c>
      <c r="E10" t="inlineStr">
        <is>
          <t>La Pintana 012</t>
        </is>
      </c>
      <c r="F10" t="inlineStr">
        <is>
          <t>EEPA</t>
        </is>
      </c>
      <c r="G10" t="inlineStr">
        <is>
          <t>EEPA</t>
        </is>
      </c>
      <c r="H10" t="inlineStr">
        <is>
          <t>Empresa Eléctrica Carén S.A.</t>
        </is>
      </c>
      <c r="I10" t="inlineStr">
        <is>
          <t>Empresa Eléctrica Carén S.A.</t>
        </is>
      </c>
      <c r="J10" t="inlineStr">
        <is>
          <t>SIC 2013/03_2_BS1C_BB_EEPA_Empresa Eléctrica Carén S.A.</t>
        </is>
      </c>
      <c r="K10" t="inlineStr">
        <is>
          <t>La Pintana 012</t>
        </is>
      </c>
      <c r="L10" t="inlineStr">
        <is>
          <t>-1</t>
        </is>
      </c>
      <c r="M10" t="n">
        <v>721.1240667313525</v>
      </c>
      <c r="N10" t="n">
        <v>2</v>
      </c>
      <c r="O10" t="inlineStr">
        <is>
          <t>4</t>
        </is>
      </c>
      <c r="P10" s="2" t="n">
        <v>44664.57499100694</v>
      </c>
      <c r="Q10" t="n">
        <v>28</v>
      </c>
      <c r="R10" t="inlineStr">
        <is>
          <t>POLPAICO 220</t>
        </is>
      </c>
      <c r="S10" t="n">
        <v>59.21798586892366</v>
      </c>
      <c r="T10" t="n">
        <v>5171.615704142537</v>
      </c>
      <c r="U10" t="n">
        <v>0.1623500458789426</v>
      </c>
      <c r="V10" t="n">
        <v>967.9927959746323</v>
      </c>
      <c r="W10" t="inlineStr">
        <is>
          <t>EEPA</t>
        </is>
      </c>
      <c r="X10" t="n">
        <v>96.49927141078396</v>
      </c>
      <c r="Y10" t="n">
        <v>5.171615704142535</v>
      </c>
      <c r="Z10" t="n">
        <v>5714.492490765234</v>
      </c>
      <c r="AA10" t="n">
        <v>1257.133501265756</v>
      </c>
      <c r="AB10" t="n">
        <v>967.9927959746323</v>
      </c>
      <c r="AC10" t="n">
        <v>1257.133501265756</v>
      </c>
      <c r="AD10" s="2" t="n">
        <v>44197</v>
      </c>
    </row>
    <row r="11">
      <c r="A11" t="n">
        <v>-1</v>
      </c>
      <c r="B11" t="inlineStr">
        <is>
          <t>01-01-2021</t>
        </is>
      </c>
      <c r="C11" t="n">
        <v>2021</v>
      </c>
      <c r="D11" t="n">
        <v>1</v>
      </c>
      <c r="E11" t="inlineStr">
        <is>
          <t>Puente Alto 012</t>
        </is>
      </c>
      <c r="F11" t="inlineStr">
        <is>
          <t>EEPA</t>
        </is>
      </c>
      <c r="G11" t="inlineStr">
        <is>
          <t>EEPA</t>
        </is>
      </c>
      <c r="H11" t="inlineStr">
        <is>
          <t>Empresa Eléctrica Carén S.A.</t>
        </is>
      </c>
      <c r="I11" t="inlineStr">
        <is>
          <t>Empresa Eléctrica Carén S.A.</t>
        </is>
      </c>
      <c r="J11" t="inlineStr">
        <is>
          <t>SIC 2013/03_2_BS1C_BB_EEPA_Empresa Eléctrica Carén S.A.</t>
        </is>
      </c>
      <c r="K11" t="inlineStr">
        <is>
          <t>Puente Alto 012</t>
        </is>
      </c>
      <c r="L11" t="inlineStr">
        <is>
          <t>-1</t>
        </is>
      </c>
      <c r="M11" t="n">
        <v>747.6576115157382</v>
      </c>
      <c r="N11" t="n">
        <v>2</v>
      </c>
      <c r="O11" t="inlineStr">
        <is>
          <t>4</t>
        </is>
      </c>
      <c r="P11" s="2" t="n">
        <v>44664.57499100694</v>
      </c>
      <c r="Q11" t="n">
        <v>8</v>
      </c>
      <c r="R11" t="inlineStr">
        <is>
          <t>ALTO JAHUEL 220</t>
        </is>
      </c>
      <c r="S11" t="n">
        <v>255.9204809927926</v>
      </c>
      <c r="T11" t="n">
        <v>21797.96149478952</v>
      </c>
      <c r="U11" t="n">
        <v>0.7287798806184053</v>
      </c>
      <c r="V11" t="n">
        <v>4313.108218010831</v>
      </c>
      <c r="W11" t="inlineStr">
        <is>
          <t>EEPA</t>
        </is>
      </c>
      <c r="X11" t="n">
        <v>94.11573940730558</v>
      </c>
      <c r="Y11" t="n">
        <v>21.79796149478952</v>
      </c>
      <c r="Z11" t="n">
        <v>24086.14529810996</v>
      </c>
      <c r="AA11" t="n">
        <v>5601.43924416991</v>
      </c>
      <c r="AB11" t="n">
        <v>4313.108218010831</v>
      </c>
      <c r="AC11" t="n">
        <v>5601.43924416991</v>
      </c>
      <c r="AD11" s="2" t="n">
        <v>44197</v>
      </c>
    </row>
    <row r="12">
      <c r="A12" t="n">
        <v>-1</v>
      </c>
      <c r="B12" t="inlineStr">
        <is>
          <t>01-01-2021</t>
        </is>
      </c>
      <c r="C12" t="n">
        <v>2021</v>
      </c>
      <c r="D12" t="n">
        <v>1</v>
      </c>
      <c r="E12" t="inlineStr">
        <is>
          <t>Puente Alto 012</t>
        </is>
      </c>
      <c r="F12" t="inlineStr">
        <is>
          <t>EEPA</t>
        </is>
      </c>
      <c r="G12" t="inlineStr">
        <is>
          <t>EEPA</t>
        </is>
      </c>
      <c r="H12" t="inlineStr">
        <is>
          <t>Empresa Eléctrica Carén S.A.</t>
        </is>
      </c>
      <c r="I12" t="inlineStr">
        <is>
          <t>Empresa Eléctrica Carén S.A.</t>
        </is>
      </c>
      <c r="J12" t="inlineStr">
        <is>
          <t>SIC 2013/03_2_BS1C_BB_EEPA_Empresa Eléctrica Carén S.A.</t>
        </is>
      </c>
      <c r="K12" t="inlineStr">
        <is>
          <t>Puente Alto 012</t>
        </is>
      </c>
      <c r="L12" t="inlineStr">
        <is>
          <t>-1</t>
        </is>
      </c>
      <c r="M12" t="n">
        <v>747.6576115157382</v>
      </c>
      <c r="N12" t="n">
        <v>2</v>
      </c>
      <c r="O12" t="inlineStr">
        <is>
          <t>4</t>
        </is>
      </c>
      <c r="P12" s="2" t="n">
        <v>44664.57499100694</v>
      </c>
      <c r="Q12" t="n">
        <v>18</v>
      </c>
      <c r="R12" t="inlineStr">
        <is>
          <t>CERRO NAVIA 220</t>
        </is>
      </c>
      <c r="S12" t="n">
        <v>112.147529827027</v>
      </c>
      <c r="T12" t="n">
        <v>9748.018165623913</v>
      </c>
      <c r="U12" t="n">
        <v>0.3193603852334568</v>
      </c>
      <c r="V12" t="n">
        <v>1924.141784681889</v>
      </c>
      <c r="W12" t="inlineStr">
        <is>
          <t>EEPA</t>
        </is>
      </c>
      <c r="X12" t="n">
        <v>96.04572483547315</v>
      </c>
      <c r="Y12" t="n">
        <v>9.748018165623913</v>
      </c>
      <c r="Z12" t="n">
        <v>10771.29079074466</v>
      </c>
      <c r="AA12" t="n">
        <v>2498.885434651804</v>
      </c>
      <c r="AB12" t="n">
        <v>1924.141784681889</v>
      </c>
      <c r="AC12" t="n">
        <v>2498.885434651804</v>
      </c>
      <c r="AD12" s="2" t="n">
        <v>44197</v>
      </c>
    </row>
    <row r="13">
      <c r="A13" t="n">
        <v>-1</v>
      </c>
      <c r="B13" t="inlineStr">
        <is>
          <t>01-01-2021</t>
        </is>
      </c>
      <c r="C13" t="n">
        <v>2021</v>
      </c>
      <c r="D13" t="n">
        <v>1</v>
      </c>
      <c r="E13" t="inlineStr">
        <is>
          <t>Puente Alto 012</t>
        </is>
      </c>
      <c r="F13" t="inlineStr">
        <is>
          <t>EEPA</t>
        </is>
      </c>
      <c r="G13" t="inlineStr">
        <is>
          <t>EEPA</t>
        </is>
      </c>
      <c r="H13" t="inlineStr">
        <is>
          <t>Empresa Eléctrica Carén S.A.</t>
        </is>
      </c>
      <c r="I13" t="inlineStr">
        <is>
          <t>Empresa Eléctrica Carén S.A.</t>
        </is>
      </c>
      <c r="J13" t="inlineStr">
        <is>
          <t>SIC 2013/03_2_BS1C_BB_EEPA_Empresa Eléctrica Carén S.A.</t>
        </is>
      </c>
      <c r="K13" t="inlineStr">
        <is>
          <t>Puente Alto 012</t>
        </is>
      </c>
      <c r="L13" t="inlineStr">
        <is>
          <t>-1</t>
        </is>
      </c>
      <c r="M13" t="n">
        <v>747.6576115157382</v>
      </c>
      <c r="N13" t="n">
        <v>2</v>
      </c>
      <c r="O13" t="inlineStr">
        <is>
          <t>4</t>
        </is>
      </c>
      <c r="P13" s="2" t="n">
        <v>44664.57499100694</v>
      </c>
      <c r="Q13" t="n">
        <v>32</v>
      </c>
      <c r="R13" t="inlineStr">
        <is>
          <t>CHENA 220</t>
        </is>
      </c>
      <c r="S13" t="n">
        <v>300.7239091240955</v>
      </c>
      <c r="T13" t="n">
        <v>25981.76083864223</v>
      </c>
      <c r="U13" t="n">
        <v>0.8563657497843271</v>
      </c>
      <c r="V13" t="n">
        <v>5160.612673890323</v>
      </c>
      <c r="W13" t="inlineStr">
        <is>
          <t>EEPA</t>
        </is>
      </c>
      <c r="X13" t="n">
        <v>95.46672920726333</v>
      </c>
      <c r="Y13" t="n">
        <v>25.98176083864222</v>
      </c>
      <c r="Z13" t="n">
        <v>28709.12799849969</v>
      </c>
      <c r="AA13" t="n">
        <v>6702.094381675744</v>
      </c>
      <c r="AB13" t="n">
        <v>5160.612673890323</v>
      </c>
      <c r="AC13" t="n">
        <v>6702.094381675744</v>
      </c>
      <c r="AD13" s="2" t="n">
        <v>44197</v>
      </c>
    </row>
    <row r="14">
      <c r="A14" t="n">
        <v>-1</v>
      </c>
      <c r="B14" t="inlineStr">
        <is>
          <t>01-01-2021</t>
        </is>
      </c>
      <c r="C14" t="n">
        <v>2021</v>
      </c>
      <c r="D14" t="n">
        <v>1</v>
      </c>
      <c r="E14" t="inlineStr">
        <is>
          <t>Puente Alto 012</t>
        </is>
      </c>
      <c r="F14" t="inlineStr">
        <is>
          <t>EEPA</t>
        </is>
      </c>
      <c r="G14" t="inlineStr">
        <is>
          <t>EEPA</t>
        </is>
      </c>
      <c r="H14" t="inlineStr">
        <is>
          <t>Empresa Eléctrica Carén S.A.</t>
        </is>
      </c>
      <c r="I14" t="inlineStr">
        <is>
          <t>Empresa Eléctrica Carén S.A.</t>
        </is>
      </c>
      <c r="J14" t="inlineStr">
        <is>
          <t>SIC 2013/03_2_BS1C_BB_EEPA_Empresa Eléctrica Carén S.A.</t>
        </is>
      </c>
      <c r="K14" t="inlineStr">
        <is>
          <t>Puente Alto 012</t>
        </is>
      </c>
      <c r="L14" t="inlineStr">
        <is>
          <t>-1</t>
        </is>
      </c>
      <c r="M14" t="n">
        <v>747.6576115157382</v>
      </c>
      <c r="N14" t="n">
        <v>2</v>
      </c>
      <c r="O14" t="inlineStr">
        <is>
          <t>4</t>
        </is>
      </c>
      <c r="P14" s="2" t="n">
        <v>44664.57499100694</v>
      </c>
      <c r="Q14" t="n">
        <v>28</v>
      </c>
      <c r="R14" t="inlineStr">
        <is>
          <t>POLPAICO 220</t>
        </is>
      </c>
      <c r="S14" t="n">
        <v>85.84865347972936</v>
      </c>
      <c r="T14" t="n">
        <v>7497.320923713626</v>
      </c>
      <c r="U14" t="n">
        <v>0.2444695758287904</v>
      </c>
      <c r="V14" t="n">
        <v>1457.620704423446</v>
      </c>
      <c r="W14" t="inlineStr">
        <is>
          <t>EEPA</t>
        </is>
      </c>
      <c r="X14" t="n">
        <v>96.49927141078396</v>
      </c>
      <c r="Y14" t="n">
        <v>7.497320923713627</v>
      </c>
      <c r="Z14" t="n">
        <v>8284.332512390747</v>
      </c>
      <c r="AA14" t="n">
        <v>1893.013901848632</v>
      </c>
      <c r="AB14" t="n">
        <v>1457.620704423446</v>
      </c>
      <c r="AC14" t="n">
        <v>1893.013901848632</v>
      </c>
      <c r="AD14" s="2" t="n">
        <v>44197</v>
      </c>
    </row>
    <row r="15">
      <c r="A15" t="n">
        <v>-1</v>
      </c>
      <c r="B15" t="inlineStr">
        <is>
          <t>01-01-2021</t>
        </is>
      </c>
      <c r="C15" t="n">
        <v>2021</v>
      </c>
      <c r="D15" t="n">
        <v>1</v>
      </c>
      <c r="E15" t="inlineStr">
        <is>
          <t>Puente Alto 012</t>
        </is>
      </c>
      <c r="F15" t="inlineStr">
        <is>
          <t>EEPA</t>
        </is>
      </c>
      <c r="G15" t="inlineStr">
        <is>
          <t>EEPA</t>
        </is>
      </c>
      <c r="H15" t="inlineStr">
        <is>
          <t>Empresa Eléctrica Carén S.A.</t>
        </is>
      </c>
      <c r="I15" t="inlineStr">
        <is>
          <t>Empresa Eléctrica Carén S.A.</t>
        </is>
      </c>
      <c r="J15" t="inlineStr">
        <is>
          <t>SIC 2013/03_2_BS1C_BB_EEPA_Empresa Eléctrica Carén S.A.</t>
        </is>
      </c>
      <c r="K15" t="inlineStr">
        <is>
          <t>Puente Alto 012</t>
        </is>
      </c>
      <c r="L15" t="inlineStr">
        <is>
          <t>-1</t>
        </is>
      </c>
      <c r="M15" t="n">
        <v>747.6576115157382</v>
      </c>
      <c r="N15" t="n">
        <v>2</v>
      </c>
      <c r="O15" t="inlineStr">
        <is>
          <t>4</t>
        </is>
      </c>
      <c r="P15" s="2" t="n">
        <v>44664.57499100694</v>
      </c>
      <c r="Q15" t="n">
        <v>11</v>
      </c>
      <c r="R15" t="inlineStr">
        <is>
          <t>QUILLOTA 220</t>
        </is>
      </c>
      <c r="S15" t="n">
        <v>0.5683328500262292</v>
      </c>
      <c r="T15" t="n">
        <v>50.39791061116897</v>
      </c>
      <c r="U15" t="n">
        <v>0.001618430635120985</v>
      </c>
      <c r="V15" t="n">
        <v>9.669964109095419</v>
      </c>
      <c r="W15" t="inlineStr">
        <is>
          <t>EEPA</t>
        </is>
      </c>
      <c r="X15" t="n">
        <v>97.9853601904169</v>
      </c>
      <c r="Y15" t="n">
        <v>0.05039791061116897</v>
      </c>
      <c r="Z15" t="n">
        <v>55.68829901786626</v>
      </c>
      <c r="AA15" t="n">
        <v>12.55839494687717</v>
      </c>
      <c r="AB15" t="n">
        <v>9.669964109095419</v>
      </c>
      <c r="AC15" t="n">
        <v>12.55839494687717</v>
      </c>
      <c r="AD15" s="2" t="n">
        <v>44197</v>
      </c>
    </row>
    <row r="16">
      <c r="A16" t="n">
        <v>-1</v>
      </c>
      <c r="B16" t="inlineStr">
        <is>
          <t>01-02-2021</t>
        </is>
      </c>
      <c r="C16" t="n">
        <v>2021</v>
      </c>
      <c r="D16" t="n">
        <v>2</v>
      </c>
      <c r="E16" t="inlineStr">
        <is>
          <t>Costanera 012</t>
        </is>
      </c>
      <c r="F16" t="inlineStr">
        <is>
          <t>EEPA</t>
        </is>
      </c>
      <c r="G16" t="inlineStr">
        <is>
          <t>EEPA</t>
        </is>
      </c>
      <c r="H16" t="inlineStr">
        <is>
          <t>Empresa Eléctrica Carén S.A.</t>
        </is>
      </c>
      <c r="I16" t="inlineStr">
        <is>
          <t>Empresa Eléctrica Carén S.A.</t>
        </is>
      </c>
      <c r="J16" t="inlineStr">
        <is>
          <t>SIC 2013/03_2_BS1C_BB_EEPA_Empresa Eléctrica Carén S.A.</t>
        </is>
      </c>
      <c r="K16" t="inlineStr">
        <is>
          <t>Costanera 012</t>
        </is>
      </c>
      <c r="L16" t="inlineStr">
        <is>
          <t>-1</t>
        </is>
      </c>
      <c r="M16" t="n">
        <v>418.015232195555</v>
      </c>
      <c r="N16" t="n">
        <v>1</v>
      </c>
      <c r="O16" t="inlineStr">
        <is>
          <t>4</t>
        </is>
      </c>
      <c r="P16" s="2" t="n">
        <v>44664.57499100694</v>
      </c>
      <c r="Q16" t="n">
        <v>8</v>
      </c>
      <c r="R16" t="inlineStr">
        <is>
          <t>ALTO JAHUEL 220</t>
        </is>
      </c>
      <c r="S16" t="n">
        <v>145.480992197283</v>
      </c>
      <c r="T16" t="n">
        <v>12391.30629107194</v>
      </c>
      <c r="U16" t="n">
        <v>0.3812344429090528</v>
      </c>
      <c r="V16" t="n">
        <v>2256.244241134297</v>
      </c>
      <c r="W16" t="inlineStr">
        <is>
          <t>EEPA</t>
        </is>
      </c>
      <c r="X16" t="n">
        <v>94.11573940730558</v>
      </c>
      <c r="Y16" t="n">
        <v>12.39130629107195</v>
      </c>
      <c r="Z16" t="n">
        <v>13692.05115035574</v>
      </c>
      <c r="AA16" t="n">
        <v>2930.187326148437</v>
      </c>
      <c r="AB16" t="n">
        <v>2256.244241134297</v>
      </c>
      <c r="AC16" t="n">
        <v>2930.187326148437</v>
      </c>
      <c r="AD16" s="2" t="n">
        <v>44228</v>
      </c>
    </row>
    <row r="17">
      <c r="A17" t="n">
        <v>-1</v>
      </c>
      <c r="B17" t="inlineStr">
        <is>
          <t>01-02-2021</t>
        </is>
      </c>
      <c r="C17" t="n">
        <v>2021</v>
      </c>
      <c r="D17" t="n">
        <v>2</v>
      </c>
      <c r="E17" t="inlineStr">
        <is>
          <t>Costanera 012</t>
        </is>
      </c>
      <c r="F17" t="inlineStr">
        <is>
          <t>EEPA</t>
        </is>
      </c>
      <c r="G17" t="inlineStr">
        <is>
          <t>EEPA</t>
        </is>
      </c>
      <c r="H17" t="inlineStr">
        <is>
          <t>Empresa Eléctrica Carén S.A.</t>
        </is>
      </c>
      <c r="I17" t="inlineStr">
        <is>
          <t>Empresa Eléctrica Carén S.A.</t>
        </is>
      </c>
      <c r="J17" t="inlineStr">
        <is>
          <t>SIC 2013/03_2_BS1C_BB_EEPA_Empresa Eléctrica Carén S.A.</t>
        </is>
      </c>
      <c r="K17" t="inlineStr">
        <is>
          <t>Costanera 012</t>
        </is>
      </c>
      <c r="L17" t="inlineStr">
        <is>
          <t>-1</t>
        </is>
      </c>
      <c r="M17" t="n">
        <v>418.015232195555</v>
      </c>
      <c r="N17" t="n">
        <v>1</v>
      </c>
      <c r="O17" t="inlineStr">
        <is>
          <t>4</t>
        </is>
      </c>
      <c r="P17" s="2" t="n">
        <v>44664.57499100694</v>
      </c>
      <c r="Q17" t="n">
        <v>18</v>
      </c>
      <c r="R17" t="inlineStr">
        <is>
          <t>CERRO NAVIA 220</t>
        </is>
      </c>
      <c r="S17" t="n">
        <v>62.13420153996332</v>
      </c>
      <c r="T17" t="n">
        <v>5400.790603701131</v>
      </c>
      <c r="U17" t="n">
        <v>0.1628233169977591</v>
      </c>
      <c r="V17" t="n">
        <v>981.0081720901931</v>
      </c>
      <c r="W17" t="inlineStr">
        <is>
          <t>EEPA</t>
        </is>
      </c>
      <c r="X17" t="n">
        <v>96.04572483547317</v>
      </c>
      <c r="Y17" t="n">
        <v>5.400790603701131</v>
      </c>
      <c r="Z17" t="n">
        <v>5967.72442397915</v>
      </c>
      <c r="AA17" t="n">
        <v>1274.036587130121</v>
      </c>
      <c r="AB17" t="n">
        <v>981.0081720901931</v>
      </c>
      <c r="AC17" t="n">
        <v>1274.036587130121</v>
      </c>
      <c r="AD17" s="2" t="n">
        <v>44228</v>
      </c>
    </row>
    <row r="18">
      <c r="A18" t="n">
        <v>-1</v>
      </c>
      <c r="B18" t="inlineStr">
        <is>
          <t>01-02-2021</t>
        </is>
      </c>
      <c r="C18" t="n">
        <v>2021</v>
      </c>
      <c r="D18" t="n">
        <v>2</v>
      </c>
      <c r="E18" t="inlineStr">
        <is>
          <t>Costanera 012</t>
        </is>
      </c>
      <c r="F18" t="inlineStr">
        <is>
          <t>EEPA</t>
        </is>
      </c>
      <c r="G18" t="inlineStr">
        <is>
          <t>EEPA</t>
        </is>
      </c>
      <c r="H18" t="inlineStr">
        <is>
          <t>Empresa Eléctrica Carén S.A.</t>
        </is>
      </c>
      <c r="I18" t="inlineStr">
        <is>
          <t>Empresa Eléctrica Carén S.A.</t>
        </is>
      </c>
      <c r="J18" t="inlineStr">
        <is>
          <t>SIC 2013/03_2_BS1C_BB_EEPA_Empresa Eléctrica Carén S.A.</t>
        </is>
      </c>
      <c r="K18" t="inlineStr">
        <is>
          <t>Costanera 012</t>
        </is>
      </c>
      <c r="L18" t="inlineStr">
        <is>
          <t>-1</t>
        </is>
      </c>
      <c r="M18" t="n">
        <v>418.015232195555</v>
      </c>
      <c r="N18" t="n">
        <v>1</v>
      </c>
      <c r="O18" t="inlineStr">
        <is>
          <t>4</t>
        </is>
      </c>
      <c r="P18" s="2" t="n">
        <v>44664.57499100694</v>
      </c>
      <c r="Q18" t="n">
        <v>32</v>
      </c>
      <c r="R18" t="inlineStr">
        <is>
          <t>CHENA 220</t>
        </is>
      </c>
      <c r="S18" t="n">
        <v>166.8906074180574</v>
      </c>
      <c r="T18" t="n">
        <v>14418.91288518192</v>
      </c>
      <c r="U18" t="n">
        <v>0.4373385607619247</v>
      </c>
      <c r="V18" t="n">
        <v>2635.480132195086</v>
      </c>
      <c r="W18" t="inlineStr">
        <is>
          <t>EEPA</t>
        </is>
      </c>
      <c r="X18" t="n">
        <v>95.46672920726334</v>
      </c>
      <c r="Y18" t="n">
        <v>14.41891288518191</v>
      </c>
      <c r="Z18" t="n">
        <v>15932.50042561538</v>
      </c>
      <c r="AA18" t="n">
        <v>3422.701470383228</v>
      </c>
      <c r="AB18" t="n">
        <v>2635.480132195086</v>
      </c>
      <c r="AC18" t="n">
        <v>3422.701470383228</v>
      </c>
      <c r="AD18" s="2" t="n">
        <v>44228</v>
      </c>
    </row>
    <row r="19">
      <c r="A19" t="n">
        <v>-1</v>
      </c>
      <c r="B19" t="inlineStr">
        <is>
          <t>01-02-2021</t>
        </is>
      </c>
      <c r="C19" t="n">
        <v>2021</v>
      </c>
      <c r="D19" t="n">
        <v>2</v>
      </c>
      <c r="E19" t="inlineStr">
        <is>
          <t>Costanera 012</t>
        </is>
      </c>
      <c r="F19" t="inlineStr">
        <is>
          <t>EEPA</t>
        </is>
      </c>
      <c r="G19" t="inlineStr">
        <is>
          <t>EEPA</t>
        </is>
      </c>
      <c r="H19" t="inlineStr">
        <is>
          <t>Empresa Eléctrica Carén S.A.</t>
        </is>
      </c>
      <c r="I19" t="inlineStr">
        <is>
          <t>Empresa Eléctrica Carén S.A.</t>
        </is>
      </c>
      <c r="J19" t="inlineStr">
        <is>
          <t>SIC 2013/03_2_BS1C_BB_EEPA_Empresa Eléctrica Carén S.A.</t>
        </is>
      </c>
      <c r="K19" t="inlineStr">
        <is>
          <t>Costanera 012</t>
        </is>
      </c>
      <c r="L19" t="inlineStr">
        <is>
          <t>-1</t>
        </is>
      </c>
      <c r="M19" t="n">
        <v>418.015232195555</v>
      </c>
      <c r="N19" t="n">
        <v>1</v>
      </c>
      <c r="O19" t="inlineStr">
        <is>
          <t>4</t>
        </is>
      </c>
      <c r="P19" s="2" t="n">
        <v>44664.57499100694</v>
      </c>
      <c r="Q19" t="n">
        <v>28</v>
      </c>
      <c r="R19" t="inlineStr">
        <is>
          <t>POLPAICO 220</t>
        </is>
      </c>
      <c r="S19" t="n">
        <v>47.43180887597399</v>
      </c>
      <c r="T19" t="n">
        <v>4142.307173395478</v>
      </c>
      <c r="U19" t="n">
        <v>0.1242955451422769</v>
      </c>
      <c r="V19" t="n">
        <v>741.0973715349547</v>
      </c>
      <c r="W19" t="inlineStr">
        <is>
          <t>EEPA</t>
        </is>
      </c>
      <c r="X19" t="n">
        <v>96.49927141078398</v>
      </c>
      <c r="Y19" t="n">
        <v>4.142307173395477</v>
      </c>
      <c r="Z19" t="n">
        <v>4577.134998227047</v>
      </c>
      <c r="AA19" t="n">
        <v>962.4641188765646</v>
      </c>
      <c r="AB19" t="n">
        <v>741.0973715349547</v>
      </c>
      <c r="AC19" t="n">
        <v>962.4641188765646</v>
      </c>
      <c r="AD19" s="2" t="n">
        <v>44228</v>
      </c>
    </row>
    <row r="20">
      <c r="A20" t="n">
        <v>-1</v>
      </c>
      <c r="B20" t="inlineStr">
        <is>
          <t>01-02-2021</t>
        </is>
      </c>
      <c r="C20" t="n">
        <v>2021</v>
      </c>
      <c r="D20" t="n">
        <v>2</v>
      </c>
      <c r="E20" t="inlineStr">
        <is>
          <t>Costanera 012</t>
        </is>
      </c>
      <c r="F20" t="inlineStr">
        <is>
          <t>EEPA</t>
        </is>
      </c>
      <c r="G20" t="inlineStr">
        <is>
          <t>EEPA</t>
        </is>
      </c>
      <c r="H20" t="inlineStr">
        <is>
          <t>Empresa Eléctrica Carén S.A.</t>
        </is>
      </c>
      <c r="I20" t="inlineStr">
        <is>
          <t>Empresa Eléctrica Carén S.A.</t>
        </is>
      </c>
      <c r="J20" t="inlineStr">
        <is>
          <t>SIC 2013/03_2_BS1C_BB_EEPA_Empresa Eléctrica Carén S.A.</t>
        </is>
      </c>
      <c r="K20" t="inlineStr">
        <is>
          <t>Costanera 012</t>
        </is>
      </c>
      <c r="L20" t="inlineStr">
        <is>
          <t>-1</t>
        </is>
      </c>
      <c r="M20" t="n">
        <v>418.015232195555</v>
      </c>
      <c r="N20" t="n">
        <v>1</v>
      </c>
      <c r="O20" t="inlineStr">
        <is>
          <t>4</t>
        </is>
      </c>
      <c r="P20" s="2" t="n">
        <v>44664.57499100694</v>
      </c>
      <c r="Q20" t="n">
        <v>11</v>
      </c>
      <c r="R20" t="inlineStr">
        <is>
          <t>QUILLOTA 220</t>
        </is>
      </c>
      <c r="S20" t="n">
        <v>0.2995496655761496</v>
      </c>
      <c r="T20" t="n">
        <v>26.56309109814014</v>
      </c>
      <c r="U20" t="n">
        <v>0.0007849729930674014</v>
      </c>
      <c r="V20" t="n">
        <v>4.690136546385592</v>
      </c>
      <c r="W20" t="inlineStr">
        <is>
          <t>EEPA</t>
        </is>
      </c>
      <c r="X20" t="n">
        <v>97.9853601904169</v>
      </c>
      <c r="Y20" t="n">
        <v>0.02656309109814014</v>
      </c>
      <c r="Z20" t="n">
        <v>29.35148187639794</v>
      </c>
      <c r="AA20" t="n">
        <v>6.091086423877392</v>
      </c>
      <c r="AB20" t="n">
        <v>4.690136546385592</v>
      </c>
      <c r="AC20" t="n">
        <v>6.091086423877392</v>
      </c>
      <c r="AD20" s="2" t="n">
        <v>44228</v>
      </c>
    </row>
    <row r="21">
      <c r="A21" t="n">
        <v>-1</v>
      </c>
      <c r="B21" t="inlineStr">
        <is>
          <t>01-02-2021</t>
        </is>
      </c>
      <c r="C21" t="n">
        <v>2021</v>
      </c>
      <c r="D21" t="n">
        <v>2</v>
      </c>
      <c r="E21" t="inlineStr">
        <is>
          <t>La Pintana 012</t>
        </is>
      </c>
      <c r="F21" t="inlineStr">
        <is>
          <t>EEPA</t>
        </is>
      </c>
      <c r="G21" t="inlineStr">
        <is>
          <t>EEPA</t>
        </is>
      </c>
      <c r="H21" t="inlineStr">
        <is>
          <t>Empresa Eléctrica Carén S.A.</t>
        </is>
      </c>
      <c r="I21" t="inlineStr">
        <is>
          <t>Empresa Eléctrica Carén S.A.</t>
        </is>
      </c>
      <c r="J21" t="inlineStr">
        <is>
          <t>SIC 2013/03_2_BS1C_BB_EEPA_Empresa Eléctrica Carén S.A.</t>
        </is>
      </c>
      <c r="K21" t="inlineStr">
        <is>
          <t>La Pintana 012</t>
        </is>
      </c>
      <c r="L21" t="inlineStr">
        <is>
          <t>-1</t>
        </is>
      </c>
      <c r="M21" t="n">
        <v>638.4659055875738</v>
      </c>
      <c r="N21" t="n">
        <v>2</v>
      </c>
      <c r="O21" t="inlineStr">
        <is>
          <t>4</t>
        </is>
      </c>
      <c r="P21" s="2" t="n">
        <v>44664.57499100694</v>
      </c>
      <c r="Q21" t="n">
        <v>8</v>
      </c>
      <c r="R21" t="inlineStr">
        <is>
          <t>ALTO JAHUEL 220</t>
        </is>
      </c>
      <c r="S21" t="n">
        <v>291.7334133764436</v>
      </c>
      <c r="T21" t="n">
        <v>24848.31884831571</v>
      </c>
      <c r="U21" t="n">
        <v>0.900707307725835</v>
      </c>
      <c r="V21" t="n">
        <v>5330.619291627846</v>
      </c>
      <c r="W21" t="inlineStr">
        <is>
          <t>EEPA</t>
        </is>
      </c>
      <c r="X21" t="n">
        <v>94.11573940730557</v>
      </c>
      <c r="Y21" t="n">
        <v>24.84831884831571</v>
      </c>
      <c r="Z21" t="n">
        <v>27456.70590974112</v>
      </c>
      <c r="AA21" t="n">
        <v>6922.88219691928</v>
      </c>
      <c r="AB21" t="n">
        <v>5330.619291627846</v>
      </c>
      <c r="AC21" t="n">
        <v>6922.88219691928</v>
      </c>
      <c r="AD21" s="2" t="n">
        <v>44228</v>
      </c>
    </row>
    <row r="22">
      <c r="A22" t="n">
        <v>-1</v>
      </c>
      <c r="B22" t="inlineStr">
        <is>
          <t>01-02-2021</t>
        </is>
      </c>
      <c r="C22" t="n">
        <v>2021</v>
      </c>
      <c r="D22" t="n">
        <v>2</v>
      </c>
      <c r="E22" t="inlineStr">
        <is>
          <t>La Pintana 012</t>
        </is>
      </c>
      <c r="F22" t="inlineStr">
        <is>
          <t>EEPA</t>
        </is>
      </c>
      <c r="G22" t="inlineStr">
        <is>
          <t>EEPA</t>
        </is>
      </c>
      <c r="H22" t="inlineStr">
        <is>
          <t>Empresa Eléctrica Carén S.A.</t>
        </is>
      </c>
      <c r="I22" t="inlineStr">
        <is>
          <t>Empresa Eléctrica Carén S.A.</t>
        </is>
      </c>
      <c r="J22" t="inlineStr">
        <is>
          <t>SIC 2013/03_2_BS1C_BB_EEPA_Empresa Eléctrica Carén S.A.</t>
        </is>
      </c>
      <c r="K22" t="inlineStr">
        <is>
          <t>La Pintana 012</t>
        </is>
      </c>
      <c r="L22" t="inlineStr">
        <is>
          <t>-1</t>
        </is>
      </c>
      <c r="M22" t="n">
        <v>638.4659055875738</v>
      </c>
      <c r="N22" t="n">
        <v>2</v>
      </c>
      <c r="O22" t="inlineStr">
        <is>
          <t>4</t>
        </is>
      </c>
      <c r="P22" s="2" t="n">
        <v>44664.57499100694</v>
      </c>
      <c r="Q22" t="n">
        <v>18</v>
      </c>
      <c r="R22" t="inlineStr">
        <is>
          <t>CERRO NAVIA 220</t>
        </is>
      </c>
      <c r="S22" t="n">
        <v>72.32493737546667</v>
      </c>
      <c r="T22" t="n">
        <v>6286.583435685746</v>
      </c>
      <c r="U22" t="n">
        <v>0.2232983835171358</v>
      </c>
      <c r="V22" t="n">
        <v>1345.369588852284</v>
      </c>
      <c r="W22" t="inlineStr">
        <is>
          <t>EEPA</t>
        </is>
      </c>
      <c r="X22" t="n">
        <v>96.04572483547317</v>
      </c>
      <c r="Y22" t="n">
        <v>6.286583435685746</v>
      </c>
      <c r="Z22" t="n">
        <v>6946.501033906901</v>
      </c>
      <c r="AA22" t="n">
        <v>1747.233232275693</v>
      </c>
      <c r="AB22" t="n">
        <v>1345.369588852284</v>
      </c>
      <c r="AC22" t="n">
        <v>1747.233232275693</v>
      </c>
      <c r="AD22" s="2" t="n">
        <v>44228</v>
      </c>
    </row>
    <row r="23">
      <c r="A23" t="n">
        <v>-1</v>
      </c>
      <c r="B23" t="inlineStr">
        <is>
          <t>01-02-2021</t>
        </is>
      </c>
      <c r="C23" t="n">
        <v>2021</v>
      </c>
      <c r="D23" t="n">
        <v>2</v>
      </c>
      <c r="E23" t="inlineStr">
        <is>
          <t>La Pintana 012</t>
        </is>
      </c>
      <c r="F23" t="inlineStr">
        <is>
          <t>EEPA</t>
        </is>
      </c>
      <c r="G23" t="inlineStr">
        <is>
          <t>EEPA</t>
        </is>
      </c>
      <c r="H23" t="inlineStr">
        <is>
          <t>Empresa Eléctrica Carén S.A.</t>
        </is>
      </c>
      <c r="I23" t="inlineStr">
        <is>
          <t>Empresa Eléctrica Carén S.A.</t>
        </is>
      </c>
      <c r="J23" t="inlineStr">
        <is>
          <t>SIC 2013/03_2_BS1C_BB_EEPA_Empresa Eléctrica Carén S.A.</t>
        </is>
      </c>
      <c r="K23" t="inlineStr">
        <is>
          <t>La Pintana 012</t>
        </is>
      </c>
      <c r="L23" t="inlineStr">
        <is>
          <t>-1</t>
        </is>
      </c>
      <c r="M23" t="n">
        <v>638.4659055875738</v>
      </c>
      <c r="N23" t="n">
        <v>2</v>
      </c>
      <c r="O23" t="inlineStr">
        <is>
          <t>4</t>
        </is>
      </c>
      <c r="P23" s="2" t="n">
        <v>44664.57499100694</v>
      </c>
      <c r="Q23" t="n">
        <v>32</v>
      </c>
      <c r="R23" t="inlineStr">
        <is>
          <t>CHENA 220</t>
        </is>
      </c>
      <c r="S23" t="n">
        <v>228.4258397544808</v>
      </c>
      <c r="T23" t="n">
        <v>19735.39634794338</v>
      </c>
      <c r="U23" t="n">
        <v>0.7052494287816966</v>
      </c>
      <c r="V23" t="n">
        <v>4249.958783780569</v>
      </c>
      <c r="W23" t="inlineStr">
        <is>
          <t>EEPA</t>
        </is>
      </c>
      <c r="X23" t="n">
        <v>95.46672920726334</v>
      </c>
      <c r="Y23" t="n">
        <v>19.73539634794338</v>
      </c>
      <c r="Z23" t="n">
        <v>21807.06778778274</v>
      </c>
      <c r="AA23" t="n">
        <v>5519.426991922817</v>
      </c>
      <c r="AB23" t="n">
        <v>4249.958783780569</v>
      </c>
      <c r="AC23" t="n">
        <v>5519.426991922817</v>
      </c>
      <c r="AD23" s="2" t="n">
        <v>44228</v>
      </c>
    </row>
    <row r="24">
      <c r="A24" t="n">
        <v>-1</v>
      </c>
      <c r="B24" t="inlineStr">
        <is>
          <t>01-02-2021</t>
        </is>
      </c>
      <c r="C24" t="n">
        <v>2021</v>
      </c>
      <c r="D24" t="n">
        <v>2</v>
      </c>
      <c r="E24" t="inlineStr">
        <is>
          <t>La Pintana 012</t>
        </is>
      </c>
      <c r="F24" t="inlineStr">
        <is>
          <t>EEPA</t>
        </is>
      </c>
      <c r="G24" t="inlineStr">
        <is>
          <t>EEPA</t>
        </is>
      </c>
      <c r="H24" t="inlineStr">
        <is>
          <t>Empresa Eléctrica Carén S.A.</t>
        </is>
      </c>
      <c r="I24" t="inlineStr">
        <is>
          <t>Empresa Eléctrica Carén S.A.</t>
        </is>
      </c>
      <c r="J24" t="inlineStr">
        <is>
          <t>SIC 2013/03_2_BS1C_BB_EEPA_Empresa Eléctrica Carén S.A.</t>
        </is>
      </c>
      <c r="K24" t="inlineStr">
        <is>
          <t>La Pintana 012</t>
        </is>
      </c>
      <c r="L24" t="inlineStr">
        <is>
          <t>-1</t>
        </is>
      </c>
      <c r="M24" t="n">
        <v>638.4659055875738</v>
      </c>
      <c r="N24" t="n">
        <v>2</v>
      </c>
      <c r="O24" t="inlineStr">
        <is>
          <t>4</t>
        </is>
      </c>
      <c r="P24" s="2" t="n">
        <v>44664.57499100694</v>
      </c>
      <c r="Q24" t="n">
        <v>28</v>
      </c>
      <c r="R24" t="inlineStr">
        <is>
          <t>POLPAICO 220</t>
        </is>
      </c>
      <c r="S24" t="n">
        <v>52.43018049064743</v>
      </c>
      <c r="T24" t="n">
        <v>4578.824166641456</v>
      </c>
      <c r="U24" t="n">
        <v>0.1618746586712506</v>
      </c>
      <c r="V24" t="n">
        <v>965.1583564162504</v>
      </c>
      <c r="W24" t="inlineStr">
        <is>
          <t>EEPA</t>
        </is>
      </c>
      <c r="X24" t="n">
        <v>96.49927141078396</v>
      </c>
      <c r="Y24" t="n">
        <v>4.578824166641456</v>
      </c>
      <c r="Z24" t="n">
        <v>5059.474217283377</v>
      </c>
      <c r="AA24" t="n">
        <v>1253.452410930195</v>
      </c>
      <c r="AB24" t="n">
        <v>965.1583564162504</v>
      </c>
      <c r="AC24" t="n">
        <v>1253.452410930195</v>
      </c>
      <c r="AD24" s="2" t="n">
        <v>44228</v>
      </c>
    </row>
    <row r="25">
      <c r="A25" t="n">
        <v>-1</v>
      </c>
      <c r="B25" t="inlineStr">
        <is>
          <t>01-02-2021</t>
        </is>
      </c>
      <c r="C25" t="n">
        <v>2021</v>
      </c>
      <c r="D25" t="n">
        <v>2</v>
      </c>
      <c r="E25" t="inlineStr">
        <is>
          <t>Puente Alto 012</t>
        </is>
      </c>
      <c r="F25" t="inlineStr">
        <is>
          <t>EEPA</t>
        </is>
      </c>
      <c r="G25" t="inlineStr">
        <is>
          <t>EEPA</t>
        </is>
      </c>
      <c r="H25" t="inlineStr">
        <is>
          <t>Empresa Eléctrica Carén S.A.</t>
        </is>
      </c>
      <c r="I25" t="inlineStr">
        <is>
          <t>Empresa Eléctrica Carén S.A.</t>
        </is>
      </c>
      <c r="J25" t="inlineStr">
        <is>
          <t>SIC 2013/03_2_BS1C_BB_EEPA_Empresa Eléctrica Carén S.A.</t>
        </is>
      </c>
      <c r="K25" t="inlineStr">
        <is>
          <t>Puente Alto 012</t>
        </is>
      </c>
      <c r="L25" t="inlineStr">
        <is>
          <t>-1</t>
        </is>
      </c>
      <c r="M25" t="n">
        <v>640.4654296982503</v>
      </c>
      <c r="N25" t="n">
        <v>2</v>
      </c>
      <c r="O25" t="inlineStr">
        <is>
          <t>4</t>
        </is>
      </c>
      <c r="P25" s="2" t="n">
        <v>44664.57499100694</v>
      </c>
      <c r="Q25" t="n">
        <v>8</v>
      </c>
      <c r="R25" t="inlineStr">
        <is>
          <t>ALTO JAHUEL 220</t>
        </is>
      </c>
      <c r="S25" t="n">
        <v>219.2289870430638</v>
      </c>
      <c r="T25" t="n">
        <v>18672.77288464067</v>
      </c>
      <c r="U25" t="n">
        <v>0.7272127443523071</v>
      </c>
      <c r="V25" t="n">
        <v>4303.8334994191</v>
      </c>
      <c r="W25" t="inlineStr">
        <is>
          <t>EEPA</t>
        </is>
      </c>
      <c r="X25" t="n">
        <v>94.11573940730558</v>
      </c>
      <c r="Y25" t="n">
        <v>18.67277288464067</v>
      </c>
      <c r="Z25" t="n">
        <v>20632.89821507256</v>
      </c>
      <c r="AA25" t="n">
        <v>5589.394155089741</v>
      </c>
      <c r="AB25" t="n">
        <v>4303.8334994191</v>
      </c>
      <c r="AC25" t="n">
        <v>5589.394155089741</v>
      </c>
      <c r="AD25" s="2" t="n">
        <v>44228</v>
      </c>
    </row>
    <row r="26">
      <c r="A26" t="n">
        <v>-1</v>
      </c>
      <c r="B26" t="inlineStr">
        <is>
          <t>01-02-2021</t>
        </is>
      </c>
      <c r="C26" t="n">
        <v>2021</v>
      </c>
      <c r="D26" t="n">
        <v>2</v>
      </c>
      <c r="E26" t="inlineStr">
        <is>
          <t>Puente Alto 012</t>
        </is>
      </c>
      <c r="F26" t="inlineStr">
        <is>
          <t>EEPA</t>
        </is>
      </c>
      <c r="G26" t="inlineStr">
        <is>
          <t>EEPA</t>
        </is>
      </c>
      <c r="H26" t="inlineStr">
        <is>
          <t>Empresa Eléctrica Carén S.A.</t>
        </is>
      </c>
      <c r="I26" t="inlineStr">
        <is>
          <t>Empresa Eléctrica Carén S.A.</t>
        </is>
      </c>
      <c r="J26" t="inlineStr">
        <is>
          <t>SIC 2013/03_2_BS1C_BB_EEPA_Empresa Eléctrica Carén S.A.</t>
        </is>
      </c>
      <c r="K26" t="inlineStr">
        <is>
          <t>Puente Alto 012</t>
        </is>
      </c>
      <c r="L26" t="inlineStr">
        <is>
          <t>-1</t>
        </is>
      </c>
      <c r="M26" t="n">
        <v>640.4654296982503</v>
      </c>
      <c r="N26" t="n">
        <v>2</v>
      </c>
      <c r="O26" t="inlineStr">
        <is>
          <t>4</t>
        </is>
      </c>
      <c r="P26" s="2" t="n">
        <v>44664.57499100694</v>
      </c>
      <c r="Q26" t="n">
        <v>18</v>
      </c>
      <c r="R26" t="inlineStr">
        <is>
          <t>CERRO NAVIA 220</t>
        </is>
      </c>
      <c r="S26" t="n">
        <v>96.06886196831323</v>
      </c>
      <c r="T26" t="n">
        <v>8350.438151088427</v>
      </c>
      <c r="U26" t="n">
        <v>0.3186736466791079</v>
      </c>
      <c r="V26" t="n">
        <v>1920.004194646704</v>
      </c>
      <c r="W26" t="inlineStr">
        <is>
          <t>EEPA</t>
        </is>
      </c>
      <c r="X26" t="n">
        <v>96.04572483547317</v>
      </c>
      <c r="Y26" t="n">
        <v>8.350438151088428</v>
      </c>
      <c r="Z26" t="n">
        <v>9227.003481865664</v>
      </c>
      <c r="AA26" t="n">
        <v>2493.511941099616</v>
      </c>
      <c r="AB26" t="n">
        <v>1920.004194646704</v>
      </c>
      <c r="AC26" t="n">
        <v>2493.511941099616</v>
      </c>
      <c r="AD26" s="2" t="n">
        <v>44228</v>
      </c>
    </row>
    <row r="27">
      <c r="A27" t="n">
        <v>-1</v>
      </c>
      <c r="B27" t="inlineStr">
        <is>
          <t>01-02-2021</t>
        </is>
      </c>
      <c r="C27" t="n">
        <v>2021</v>
      </c>
      <c r="D27" t="n">
        <v>2</v>
      </c>
      <c r="E27" t="inlineStr">
        <is>
          <t>Puente Alto 012</t>
        </is>
      </c>
      <c r="F27" t="inlineStr">
        <is>
          <t>EEPA</t>
        </is>
      </c>
      <c r="G27" t="inlineStr">
        <is>
          <t>EEPA</t>
        </is>
      </c>
      <c r="H27" t="inlineStr">
        <is>
          <t>Empresa Eléctrica Carén S.A.</t>
        </is>
      </c>
      <c r="I27" t="inlineStr">
        <is>
          <t>Empresa Eléctrica Carén S.A.</t>
        </is>
      </c>
      <c r="J27" t="inlineStr">
        <is>
          <t>SIC 2013/03_2_BS1C_BB_EEPA_Empresa Eléctrica Carén S.A.</t>
        </is>
      </c>
      <c r="K27" t="inlineStr">
        <is>
          <t>Puente Alto 012</t>
        </is>
      </c>
      <c r="L27" t="inlineStr">
        <is>
          <t>-1</t>
        </is>
      </c>
      <c r="M27" t="n">
        <v>640.4654296982503</v>
      </c>
      <c r="N27" t="n">
        <v>2</v>
      </c>
      <c r="O27" t="inlineStr">
        <is>
          <t>4</t>
        </is>
      </c>
      <c r="P27" s="2" t="n">
        <v>44664.57499100694</v>
      </c>
      <c r="Q27" t="n">
        <v>32</v>
      </c>
      <c r="R27" t="inlineStr">
        <is>
          <t>CHENA 220</t>
        </is>
      </c>
      <c r="S27" t="n">
        <v>257.6089171181361</v>
      </c>
      <c r="T27" t="n">
        <v>22256.73806236357</v>
      </c>
      <c r="U27" t="n">
        <v>0.8545242584654495</v>
      </c>
      <c r="V27" t="n">
        <v>5149.515518917168</v>
      </c>
      <c r="W27" t="inlineStr">
        <is>
          <t>EEPA</t>
        </is>
      </c>
      <c r="X27" t="n">
        <v>95.46672920726333</v>
      </c>
      <c r="Y27" t="n">
        <v>22.25673806236356</v>
      </c>
      <c r="Z27" t="n">
        <v>24593.08073189344</v>
      </c>
      <c r="AA27" t="n">
        <v>6687.682492100218</v>
      </c>
      <c r="AB27" t="n">
        <v>5149.515518917168</v>
      </c>
      <c r="AC27" t="n">
        <v>6687.682492100218</v>
      </c>
      <c r="AD27" s="2" t="n">
        <v>44228</v>
      </c>
    </row>
    <row r="28">
      <c r="A28" t="n">
        <v>-1</v>
      </c>
      <c r="B28" t="inlineStr">
        <is>
          <t>01-02-2021</t>
        </is>
      </c>
      <c r="C28" t="n">
        <v>2021</v>
      </c>
      <c r="D28" t="n">
        <v>2</v>
      </c>
      <c r="E28" t="inlineStr">
        <is>
          <t>Puente Alto 012</t>
        </is>
      </c>
      <c r="F28" t="inlineStr">
        <is>
          <t>EEPA</t>
        </is>
      </c>
      <c r="G28" t="inlineStr">
        <is>
          <t>EEPA</t>
        </is>
      </c>
      <c r="H28" t="inlineStr">
        <is>
          <t>Empresa Eléctrica Carén S.A.</t>
        </is>
      </c>
      <c r="I28" t="inlineStr">
        <is>
          <t>Empresa Eléctrica Carén S.A.</t>
        </is>
      </c>
      <c r="J28" t="inlineStr">
        <is>
          <t>SIC 2013/03_2_BS1C_BB_EEPA_Empresa Eléctrica Carén S.A.</t>
        </is>
      </c>
      <c r="K28" t="inlineStr">
        <is>
          <t>Puente Alto 012</t>
        </is>
      </c>
      <c r="L28" t="inlineStr">
        <is>
          <t>-1</t>
        </is>
      </c>
      <c r="M28" t="n">
        <v>640.4654296982503</v>
      </c>
      <c r="N28" t="n">
        <v>2</v>
      </c>
      <c r="O28" t="inlineStr">
        <is>
          <t>4</t>
        </is>
      </c>
      <c r="P28" s="2" t="n">
        <v>44664.57499100694</v>
      </c>
      <c r="Q28" t="n">
        <v>28</v>
      </c>
      <c r="R28" t="inlineStr">
        <is>
          <t>POLPAICO 220</t>
        </is>
      </c>
      <c r="S28" t="n">
        <v>73.54047346410741</v>
      </c>
      <c r="T28" t="n">
        <v>6422.424908183864</v>
      </c>
      <c r="U28" t="n">
        <v>0.2439438791837158</v>
      </c>
      <c r="V28" t="n">
        <v>1454.486300841696</v>
      </c>
      <c r="W28" t="inlineStr">
        <is>
          <t>EEPA</t>
        </is>
      </c>
      <c r="X28" t="n">
        <v>96.49927141078398</v>
      </c>
      <c r="Y28" t="n">
        <v>6.422424908183864</v>
      </c>
      <c r="Z28" t="n">
        <v>7096.602108490458</v>
      </c>
      <c r="AA28" t="n">
        <v>1888.943247846359</v>
      </c>
      <c r="AB28" t="n">
        <v>1454.486300841696</v>
      </c>
      <c r="AC28" t="n">
        <v>1888.943247846359</v>
      </c>
      <c r="AD28" s="2" t="n">
        <v>44228</v>
      </c>
    </row>
    <row r="29">
      <c r="A29" t="n">
        <v>-1</v>
      </c>
      <c r="B29" t="inlineStr">
        <is>
          <t>01-02-2021</t>
        </is>
      </c>
      <c r="C29" t="n">
        <v>2021</v>
      </c>
      <c r="D29" t="n">
        <v>2</v>
      </c>
      <c r="E29" t="inlineStr">
        <is>
          <t>Puente Alto 012</t>
        </is>
      </c>
      <c r="F29" t="inlineStr">
        <is>
          <t>EEPA</t>
        </is>
      </c>
      <c r="G29" t="inlineStr">
        <is>
          <t>EEPA</t>
        </is>
      </c>
      <c r="H29" t="inlineStr">
        <is>
          <t>Empresa Eléctrica Carén S.A.</t>
        </is>
      </c>
      <c r="I29" t="inlineStr">
        <is>
          <t>Empresa Eléctrica Carén S.A.</t>
        </is>
      </c>
      <c r="J29" t="inlineStr">
        <is>
          <t>SIC 2013/03_2_BS1C_BB_EEPA_Empresa Eléctrica Carén S.A.</t>
        </is>
      </c>
      <c r="K29" t="inlineStr">
        <is>
          <t>Puente Alto 012</t>
        </is>
      </c>
      <c r="L29" t="inlineStr">
        <is>
          <t>-1</t>
        </is>
      </c>
      <c r="M29" t="n">
        <v>640.4654296982503</v>
      </c>
      <c r="N29" t="n">
        <v>2</v>
      </c>
      <c r="O29" t="inlineStr">
        <is>
          <t>4</t>
        </is>
      </c>
      <c r="P29" s="2" t="n">
        <v>44664.57499100694</v>
      </c>
      <c r="Q29" t="n">
        <v>11</v>
      </c>
      <c r="R29" t="inlineStr">
        <is>
          <t>QUILLOTA 220</t>
        </is>
      </c>
      <c r="S29" t="n">
        <v>0.4868505815994332</v>
      </c>
      <c r="T29" t="n">
        <v>43.17232778522565</v>
      </c>
      <c r="U29" t="n">
        <v>0.001614950432922881</v>
      </c>
      <c r="V29" t="n">
        <v>9.649170242730211</v>
      </c>
      <c r="W29" t="inlineStr">
        <is>
          <t>EEPA</t>
        </is>
      </c>
      <c r="X29" t="n">
        <v>97.98536019041691</v>
      </c>
      <c r="Y29" t="n">
        <v>0.04317232778522565</v>
      </c>
      <c r="Z29" t="n">
        <v>47.70422959693442</v>
      </c>
      <c r="AA29" t="n">
        <v>12.53138992562365</v>
      </c>
      <c r="AB29" t="n">
        <v>9.649170242730211</v>
      </c>
      <c r="AC29" t="n">
        <v>12.53138992562365</v>
      </c>
      <c r="AD29" s="2" t="n">
        <v>44228</v>
      </c>
    </row>
    <row r="30">
      <c r="A30" t="n">
        <v>-1</v>
      </c>
      <c r="B30" t="inlineStr">
        <is>
          <t>01-03-2021</t>
        </is>
      </c>
      <c r="C30" t="n">
        <v>2021</v>
      </c>
      <c r="D30" t="n">
        <v>3</v>
      </c>
      <c r="E30" t="inlineStr">
        <is>
          <t>Costanera 012</t>
        </is>
      </c>
      <c r="F30" t="inlineStr">
        <is>
          <t>EEPA</t>
        </is>
      </c>
      <c r="G30" t="inlineStr">
        <is>
          <t>EEPA</t>
        </is>
      </c>
      <c r="H30" t="inlineStr">
        <is>
          <t>Empresa Eléctrica Carén S.A.</t>
        </is>
      </c>
      <c r="I30" t="inlineStr">
        <is>
          <t>Empresa Eléctrica Carén S.A.</t>
        </is>
      </c>
      <c r="J30" t="inlineStr">
        <is>
          <t>SIC 2013/03_2_BS1C_BB_EEPA_Empresa Eléctrica Carén S.A.</t>
        </is>
      </c>
      <c r="K30" t="inlineStr">
        <is>
          <t>Costanera 012</t>
        </is>
      </c>
      <c r="L30" t="inlineStr">
        <is>
          <t>-1</t>
        </is>
      </c>
      <c r="M30" t="n">
        <v>489.5276042984884</v>
      </c>
      <c r="N30" t="n">
        <v>1</v>
      </c>
      <c r="O30" t="inlineStr">
        <is>
          <t>4</t>
        </is>
      </c>
      <c r="P30" s="2" t="n">
        <v>44664.57499100694</v>
      </c>
      <c r="Q30" t="n">
        <v>8</v>
      </c>
      <c r="R30" t="inlineStr">
        <is>
          <t>ALTO JAHUEL 220</t>
        </is>
      </c>
      <c r="S30" t="n">
        <v>170.3692978058427</v>
      </c>
      <c r="T30" t="n">
        <v>14511.1613539468</v>
      </c>
      <c r="U30" t="n">
        <v>0.3689108778454478</v>
      </c>
      <c r="V30" t="n">
        <v>2183.310189077421</v>
      </c>
      <c r="W30" t="inlineStr">
        <is>
          <t>EEPA</t>
        </is>
      </c>
      <c r="X30" t="n">
        <v>94.11573940730558</v>
      </c>
      <c r="Y30" t="n">
        <v>14.5111613539468</v>
      </c>
      <c r="Z30" t="n">
        <v>16034.43243530033</v>
      </c>
      <c r="AA30" t="n">
        <v>2835.467778022625</v>
      </c>
      <c r="AB30" t="n">
        <v>2183.310189077421</v>
      </c>
      <c r="AC30" t="n">
        <v>2835.467778022625</v>
      </c>
      <c r="AD30" s="2" t="n">
        <v>44256</v>
      </c>
    </row>
    <row r="31">
      <c r="A31" t="n">
        <v>-1</v>
      </c>
      <c r="B31" t="inlineStr">
        <is>
          <t>01-03-2021</t>
        </is>
      </c>
      <c r="C31" t="n">
        <v>2021</v>
      </c>
      <c r="D31" t="n">
        <v>3</v>
      </c>
      <c r="E31" t="inlineStr">
        <is>
          <t>Costanera 012</t>
        </is>
      </c>
      <c r="F31" t="inlineStr">
        <is>
          <t>EEPA</t>
        </is>
      </c>
      <c r="G31" t="inlineStr">
        <is>
          <t>EEPA</t>
        </is>
      </c>
      <c r="H31" t="inlineStr">
        <is>
          <t>Empresa Eléctrica Carén S.A.</t>
        </is>
      </c>
      <c r="I31" t="inlineStr">
        <is>
          <t>Empresa Eléctrica Carén S.A.</t>
        </is>
      </c>
      <c r="J31" t="inlineStr">
        <is>
          <t>SIC 2013/03_2_BS1C_BB_EEPA_Empresa Eléctrica Carén S.A.</t>
        </is>
      </c>
      <c r="K31" t="inlineStr">
        <is>
          <t>Costanera 012</t>
        </is>
      </c>
      <c r="L31" t="inlineStr">
        <is>
          <t>-1</t>
        </is>
      </c>
      <c r="M31" t="n">
        <v>489.5276042984884</v>
      </c>
      <c r="N31" t="n">
        <v>1</v>
      </c>
      <c r="O31" t="inlineStr">
        <is>
          <t>4</t>
        </is>
      </c>
      <c r="P31" s="2" t="n">
        <v>44664.57499100694</v>
      </c>
      <c r="Q31" t="n">
        <v>18</v>
      </c>
      <c r="R31" t="inlineStr">
        <is>
          <t>CERRO NAVIA 220</t>
        </is>
      </c>
      <c r="S31" t="n">
        <v>72.76387194098312</v>
      </c>
      <c r="T31" t="n">
        <v>6324.736234278582</v>
      </c>
      <c r="U31" t="n">
        <v>0.1575599842160132</v>
      </c>
      <c r="V31" t="n">
        <v>949.2966668431034</v>
      </c>
      <c r="W31" t="inlineStr">
        <is>
          <t>EEPA</t>
        </is>
      </c>
      <c r="X31" t="n">
        <v>96.04572483547317</v>
      </c>
      <c r="Y31" t="n">
        <v>6.324736234278581</v>
      </c>
      <c r="Z31" t="n">
        <v>6988.658822407272</v>
      </c>
      <c r="AA31" t="n">
        <v>1232.852814081952</v>
      </c>
      <c r="AB31" t="n">
        <v>949.2966668431034</v>
      </c>
      <c r="AC31" t="n">
        <v>1232.852814081952</v>
      </c>
      <c r="AD31" s="2" t="n">
        <v>44256</v>
      </c>
    </row>
    <row r="32">
      <c r="A32" t="n">
        <v>-1</v>
      </c>
      <c r="B32" t="inlineStr">
        <is>
          <t>01-03-2021</t>
        </is>
      </c>
      <c r="C32" t="n">
        <v>2021</v>
      </c>
      <c r="D32" t="n">
        <v>3</v>
      </c>
      <c r="E32" t="inlineStr">
        <is>
          <t>Costanera 012</t>
        </is>
      </c>
      <c r="F32" t="inlineStr">
        <is>
          <t>EEPA</t>
        </is>
      </c>
      <c r="G32" t="inlineStr">
        <is>
          <t>EEPA</t>
        </is>
      </c>
      <c r="H32" t="inlineStr">
        <is>
          <t>Empresa Eléctrica Carén S.A.</t>
        </is>
      </c>
      <c r="I32" t="inlineStr">
        <is>
          <t>Empresa Eléctrica Carén S.A.</t>
        </is>
      </c>
      <c r="J32" t="inlineStr">
        <is>
          <t>SIC 2013/03_2_BS1C_BB_EEPA_Empresa Eléctrica Carén S.A.</t>
        </is>
      </c>
      <c r="K32" t="inlineStr">
        <is>
          <t>Costanera 012</t>
        </is>
      </c>
      <c r="L32" t="inlineStr">
        <is>
          <t>-1</t>
        </is>
      </c>
      <c r="M32" t="n">
        <v>489.5276042984884</v>
      </c>
      <c r="N32" t="n">
        <v>1</v>
      </c>
      <c r="O32" t="inlineStr">
        <is>
          <t>4</t>
        </is>
      </c>
      <c r="P32" s="2" t="n">
        <v>44664.57499100694</v>
      </c>
      <c r="Q32" t="n">
        <v>32</v>
      </c>
      <c r="R32" t="inlineStr">
        <is>
          <t>CHENA 220</t>
        </is>
      </c>
      <c r="S32" t="n">
        <v>195.441584269976</v>
      </c>
      <c r="T32" t="n">
        <v>16885.642765213</v>
      </c>
      <c r="U32" t="n">
        <v>0.4232014062927555</v>
      </c>
      <c r="V32" t="n">
        <v>2550.287119110765</v>
      </c>
      <c r="W32" t="inlineStr">
        <is>
          <t>EEPA</t>
        </is>
      </c>
      <c r="X32" t="n">
        <v>95.46672920726333</v>
      </c>
      <c r="Y32" t="n">
        <v>16.88564276521301</v>
      </c>
      <c r="Z32" t="n">
        <v>18658.16880134034</v>
      </c>
      <c r="AA32" t="n">
        <v>3312.061193650344</v>
      </c>
      <c r="AB32" t="n">
        <v>2550.287119110765</v>
      </c>
      <c r="AC32" t="n">
        <v>3312.061193650344</v>
      </c>
      <c r="AD32" s="2" t="n">
        <v>44256</v>
      </c>
    </row>
    <row r="33">
      <c r="A33" t="n">
        <v>-1</v>
      </c>
      <c r="B33" t="inlineStr">
        <is>
          <t>01-03-2021</t>
        </is>
      </c>
      <c r="C33" t="n">
        <v>2021</v>
      </c>
      <c r="D33" t="n">
        <v>3</v>
      </c>
      <c r="E33" t="inlineStr">
        <is>
          <t>Costanera 012</t>
        </is>
      </c>
      <c r="F33" t="inlineStr">
        <is>
          <t>EEPA</t>
        </is>
      </c>
      <c r="G33" t="inlineStr">
        <is>
          <t>EEPA</t>
        </is>
      </c>
      <c r="H33" t="inlineStr">
        <is>
          <t>Empresa Eléctrica Carén S.A.</t>
        </is>
      </c>
      <c r="I33" t="inlineStr">
        <is>
          <t>Empresa Eléctrica Carén S.A.</t>
        </is>
      </c>
      <c r="J33" t="inlineStr">
        <is>
          <t>SIC 2013/03_2_BS1C_BB_EEPA_Empresa Eléctrica Carén S.A.</t>
        </is>
      </c>
      <c r="K33" t="inlineStr">
        <is>
          <t>Costanera 012</t>
        </is>
      </c>
      <c r="L33" t="inlineStr">
        <is>
          <t>-1</t>
        </is>
      </c>
      <c r="M33" t="n">
        <v>489.5276042984884</v>
      </c>
      <c r="N33" t="n">
        <v>1</v>
      </c>
      <c r="O33" t="inlineStr">
        <is>
          <t>4</t>
        </is>
      </c>
      <c r="P33" s="2" t="n">
        <v>44664.57499100694</v>
      </c>
      <c r="Q33" t="n">
        <v>28</v>
      </c>
      <c r="R33" t="inlineStr">
        <is>
          <t>POLPAICO 220</t>
        </is>
      </c>
      <c r="S33" t="n">
        <v>55.54625281151711</v>
      </c>
      <c r="T33" t="n">
        <v>4850.956497949102</v>
      </c>
      <c r="U33" t="n">
        <v>0.1202776389269077</v>
      </c>
      <c r="V33" t="n">
        <v>717.1410846714501</v>
      </c>
      <c r="W33" t="inlineStr">
        <is>
          <t>EEPA</t>
        </is>
      </c>
      <c r="X33" t="n">
        <v>96.49927141078398</v>
      </c>
      <c r="Y33" t="n">
        <v>4.850956497949103</v>
      </c>
      <c r="Z33" t="n">
        <v>5360.172925910611</v>
      </c>
      <c r="AA33" t="n">
        <v>931.3520580148703</v>
      </c>
      <c r="AB33" t="n">
        <v>717.1410846714501</v>
      </c>
      <c r="AC33" t="n">
        <v>931.3520580148703</v>
      </c>
      <c r="AD33" s="2" t="n">
        <v>44256</v>
      </c>
    </row>
    <row r="34">
      <c r="A34" t="n">
        <v>-1</v>
      </c>
      <c r="B34" t="inlineStr">
        <is>
          <t>01-03-2021</t>
        </is>
      </c>
      <c r="C34" t="n">
        <v>2021</v>
      </c>
      <c r="D34" t="n">
        <v>3</v>
      </c>
      <c r="E34" t="inlineStr">
        <is>
          <t>Costanera 012</t>
        </is>
      </c>
      <c r="F34" t="inlineStr">
        <is>
          <t>EEPA</t>
        </is>
      </c>
      <c r="G34" t="inlineStr">
        <is>
          <t>EEPA</t>
        </is>
      </c>
      <c r="H34" t="inlineStr">
        <is>
          <t>Empresa Eléctrica Carén S.A.</t>
        </is>
      </c>
      <c r="I34" t="inlineStr">
        <is>
          <t>Empresa Eléctrica Carén S.A.</t>
        </is>
      </c>
      <c r="J34" t="inlineStr">
        <is>
          <t>SIC 2013/03_2_BS1C_BB_EEPA_Empresa Eléctrica Carén S.A.</t>
        </is>
      </c>
      <c r="K34" t="inlineStr">
        <is>
          <t>Costanera 012</t>
        </is>
      </c>
      <c r="L34" t="inlineStr">
        <is>
          <t>-1</t>
        </is>
      </c>
      <c r="M34" t="n">
        <v>489.5276042984884</v>
      </c>
      <c r="N34" t="n">
        <v>1</v>
      </c>
      <c r="O34" t="inlineStr">
        <is>
          <t>4</t>
        </is>
      </c>
      <c r="P34" s="2" t="n">
        <v>44664.57499100694</v>
      </c>
      <c r="Q34" t="n">
        <v>11</v>
      </c>
      <c r="R34" t="inlineStr">
        <is>
          <t>QUILLOTA 220</t>
        </is>
      </c>
      <c r="S34" t="n">
        <v>0.3507954229029293</v>
      </c>
      <c r="T34" t="n">
        <v>31.1073983589953</v>
      </c>
      <c r="U34" t="n">
        <v>0.0007595984081284781</v>
      </c>
      <c r="V34" t="n">
        <v>4.538525893251706</v>
      </c>
      <c r="W34" t="inlineStr">
        <is>
          <t>EEPA</t>
        </is>
      </c>
      <c r="X34" t="n">
        <v>97.9853601904169</v>
      </c>
      <c r="Y34" t="n">
        <v>0.0311073983589953</v>
      </c>
      <c r="Z34" t="n">
        <v>34.37281586629315</v>
      </c>
      <c r="AA34" t="n">
        <v>5.894189471755463</v>
      </c>
      <c r="AB34" t="n">
        <v>4.538525893251706</v>
      </c>
      <c r="AC34" t="n">
        <v>5.894189471755463</v>
      </c>
      <c r="AD34" s="2" t="n">
        <v>44256</v>
      </c>
    </row>
    <row r="35">
      <c r="A35" t="n">
        <v>-1</v>
      </c>
      <c r="B35" t="inlineStr">
        <is>
          <t>01-03-2021</t>
        </is>
      </c>
      <c r="C35" t="n">
        <v>2021</v>
      </c>
      <c r="D35" t="n">
        <v>3</v>
      </c>
      <c r="E35" t="inlineStr">
        <is>
          <t>La Pintana 012</t>
        </is>
      </c>
      <c r="F35" t="inlineStr">
        <is>
          <t>EEPA</t>
        </is>
      </c>
      <c r="G35" t="inlineStr">
        <is>
          <t>EEPA</t>
        </is>
      </c>
      <c r="H35" t="inlineStr">
        <is>
          <t>Empresa Eléctrica Carén S.A.</t>
        </is>
      </c>
      <c r="I35" t="inlineStr">
        <is>
          <t>Empresa Eléctrica Carén S.A.</t>
        </is>
      </c>
      <c r="J35" t="inlineStr">
        <is>
          <t>SIC 2013/03_2_BS1C_BB_EEPA_Empresa Eléctrica Carén S.A.</t>
        </is>
      </c>
      <c r="K35" t="inlineStr">
        <is>
          <t>La Pintana 012</t>
        </is>
      </c>
      <c r="L35" t="inlineStr">
        <is>
          <t>-1</t>
        </is>
      </c>
      <c r="M35" t="n">
        <v>724.0194754231038</v>
      </c>
      <c r="N35" t="n">
        <v>2</v>
      </c>
      <c r="O35" t="inlineStr">
        <is>
          <t>4</t>
        </is>
      </c>
      <c r="P35" s="2" t="n">
        <v>44664.57499100694</v>
      </c>
      <c r="Q35" t="n">
        <v>8</v>
      </c>
      <c r="R35" t="inlineStr">
        <is>
          <t>ALTO JAHUEL 220</t>
        </is>
      </c>
      <c r="S35" t="n">
        <v>330.8252971187551</v>
      </c>
      <c r="T35" t="n">
        <v>28177.96004494074</v>
      </c>
      <c r="U35" t="n">
        <v>0.9052888447213344</v>
      </c>
      <c r="V35" t="n">
        <v>5357.734015005832</v>
      </c>
      <c r="W35" t="inlineStr">
        <is>
          <t>EEPA</t>
        </is>
      </c>
      <c r="X35" t="n">
        <v>94.11573940730558</v>
      </c>
      <c r="Y35" t="n">
        <v>28.17796004494074</v>
      </c>
      <c r="Z35" t="n">
        <v>31135.8674529732</v>
      </c>
      <c r="AA35" t="n">
        <v>6958.096123384197</v>
      </c>
      <c r="AB35" t="n">
        <v>5357.734015005832</v>
      </c>
      <c r="AC35" t="n">
        <v>6958.096123384197</v>
      </c>
      <c r="AD35" s="2" t="n">
        <v>44256</v>
      </c>
    </row>
    <row r="36">
      <c r="A36" t="n">
        <v>-1</v>
      </c>
      <c r="B36" t="inlineStr">
        <is>
          <t>01-03-2021</t>
        </is>
      </c>
      <c r="C36" t="n">
        <v>2021</v>
      </c>
      <c r="D36" t="n">
        <v>3</v>
      </c>
      <c r="E36" t="inlineStr">
        <is>
          <t>La Pintana 012</t>
        </is>
      </c>
      <c r="F36" t="inlineStr">
        <is>
          <t>EEPA</t>
        </is>
      </c>
      <c r="G36" t="inlineStr">
        <is>
          <t>EEPA</t>
        </is>
      </c>
      <c r="H36" t="inlineStr">
        <is>
          <t>Empresa Eléctrica Carén S.A.</t>
        </is>
      </c>
      <c r="I36" t="inlineStr">
        <is>
          <t>Empresa Eléctrica Carén S.A.</t>
        </is>
      </c>
      <c r="J36" t="inlineStr">
        <is>
          <t>SIC 2013/03_2_BS1C_BB_EEPA_Empresa Eléctrica Carén S.A.</t>
        </is>
      </c>
      <c r="K36" t="inlineStr">
        <is>
          <t>La Pintana 012</t>
        </is>
      </c>
      <c r="L36" t="inlineStr">
        <is>
          <t>-1</t>
        </is>
      </c>
      <c r="M36" t="n">
        <v>724.0194754231038</v>
      </c>
      <c r="N36" t="n">
        <v>2</v>
      </c>
      <c r="O36" t="inlineStr">
        <is>
          <t>4</t>
        </is>
      </c>
      <c r="P36" s="2" t="n">
        <v>44664.57499100694</v>
      </c>
      <c r="Q36" t="n">
        <v>18</v>
      </c>
      <c r="R36" t="inlineStr">
        <is>
          <t>CERRO NAVIA 220</t>
        </is>
      </c>
      <c r="S36" t="n">
        <v>82.01638139221161</v>
      </c>
      <c r="T36" t="n">
        <v>7128.977133273808</v>
      </c>
      <c r="U36" t="n">
        <v>0.2244342128773994</v>
      </c>
      <c r="V36" t="n">
        <v>1352.212944614001</v>
      </c>
      <c r="W36" t="inlineStr">
        <is>
          <t>EEPA</t>
        </is>
      </c>
      <c r="X36" t="n">
        <v>96.04572483547315</v>
      </c>
      <c r="Y36" t="n">
        <v>7.128977133273807</v>
      </c>
      <c r="Z36" t="n">
        <v>7877.322799197578</v>
      </c>
      <c r="AA36" t="n">
        <v>1756.12070729091</v>
      </c>
      <c r="AB36" t="n">
        <v>1352.212944614001</v>
      </c>
      <c r="AC36" t="n">
        <v>1756.12070729091</v>
      </c>
      <c r="AD36" s="2" t="n">
        <v>44256</v>
      </c>
    </row>
    <row r="37">
      <c r="A37" t="n">
        <v>-1</v>
      </c>
      <c r="B37" t="inlineStr">
        <is>
          <t>01-03-2021</t>
        </is>
      </c>
      <c r="C37" t="n">
        <v>2021</v>
      </c>
      <c r="D37" t="n">
        <v>3</v>
      </c>
      <c r="E37" t="inlineStr">
        <is>
          <t>La Pintana 012</t>
        </is>
      </c>
      <c r="F37" t="inlineStr">
        <is>
          <t>EEPA</t>
        </is>
      </c>
      <c r="G37" t="inlineStr">
        <is>
          <t>EEPA</t>
        </is>
      </c>
      <c r="H37" t="inlineStr">
        <is>
          <t>Empresa Eléctrica Carén S.A.</t>
        </is>
      </c>
      <c r="I37" t="inlineStr">
        <is>
          <t>Empresa Eléctrica Carén S.A.</t>
        </is>
      </c>
      <c r="J37" t="inlineStr">
        <is>
          <t>SIC 2013/03_2_BS1C_BB_EEPA_Empresa Eléctrica Carén S.A.</t>
        </is>
      </c>
      <c r="K37" t="inlineStr">
        <is>
          <t>La Pintana 012</t>
        </is>
      </c>
      <c r="L37" t="inlineStr">
        <is>
          <t>-1</t>
        </is>
      </c>
      <c r="M37" t="n">
        <v>724.0194754231038</v>
      </c>
      <c r="N37" t="n">
        <v>2</v>
      </c>
      <c r="O37" t="inlineStr">
        <is>
          <t>4</t>
        </is>
      </c>
      <c r="P37" s="2" t="n">
        <v>44664.57499100694</v>
      </c>
      <c r="Q37" t="n">
        <v>32</v>
      </c>
      <c r="R37" t="inlineStr">
        <is>
          <t>CHENA 220</t>
        </is>
      </c>
      <c r="S37" t="n">
        <v>259.0345940554479</v>
      </c>
      <c r="T37" t="n">
        <v>22379.91282863438</v>
      </c>
      <c r="U37" t="n">
        <v>0.70883674990289</v>
      </c>
      <c r="V37" t="n">
        <v>4271.576620374347</v>
      </c>
      <c r="W37" t="inlineStr">
        <is>
          <t>EEPA</t>
        </is>
      </c>
      <c r="X37" t="n">
        <v>95.46672920726333</v>
      </c>
      <c r="Y37" t="n">
        <v>22.37991282863437</v>
      </c>
      <c r="Z37" t="n">
        <v>24729.18544600483</v>
      </c>
      <c r="AA37" t="n">
        <v>5547.502104382269</v>
      </c>
      <c r="AB37" t="n">
        <v>4271.576620374347</v>
      </c>
      <c r="AC37" t="n">
        <v>5547.502104382269</v>
      </c>
      <c r="AD37" s="2" t="n">
        <v>44256</v>
      </c>
    </row>
    <row r="38">
      <c r="A38" t="n">
        <v>-1</v>
      </c>
      <c r="B38" t="inlineStr">
        <is>
          <t>01-03-2021</t>
        </is>
      </c>
      <c r="C38" t="n">
        <v>2021</v>
      </c>
      <c r="D38" t="n">
        <v>3</v>
      </c>
      <c r="E38" t="inlineStr">
        <is>
          <t>La Pintana 012</t>
        </is>
      </c>
      <c r="F38" t="inlineStr">
        <is>
          <t>EEPA</t>
        </is>
      </c>
      <c r="G38" t="inlineStr">
        <is>
          <t>EEPA</t>
        </is>
      </c>
      <c r="H38" t="inlineStr">
        <is>
          <t>Empresa Eléctrica Carén S.A.</t>
        </is>
      </c>
      <c r="I38" t="inlineStr">
        <is>
          <t>Empresa Eléctrica Carén S.A.</t>
        </is>
      </c>
      <c r="J38" t="inlineStr">
        <is>
          <t>SIC 2013/03_2_BS1C_BB_EEPA_Empresa Eléctrica Carén S.A.</t>
        </is>
      </c>
      <c r="K38" t="inlineStr">
        <is>
          <t>La Pintana 012</t>
        </is>
      </c>
      <c r="L38" t="inlineStr">
        <is>
          <t>-1</t>
        </is>
      </c>
      <c r="M38" t="n">
        <v>724.0194754231038</v>
      </c>
      <c r="N38" t="n">
        <v>2</v>
      </c>
      <c r="O38" t="inlineStr">
        <is>
          <t>4</t>
        </is>
      </c>
      <c r="P38" s="2" t="n">
        <v>44664.57499100694</v>
      </c>
      <c r="Q38" t="n">
        <v>28</v>
      </c>
      <c r="R38" t="inlineStr">
        <is>
          <t>POLPAICO 220</t>
        </is>
      </c>
      <c r="S38" t="n">
        <v>59.45575392979294</v>
      </c>
      <c r="T38" t="n">
        <v>5192.380426540507</v>
      </c>
      <c r="U38" t="n">
        <v>0.1626980501669948</v>
      </c>
      <c r="V38" t="n">
        <v>970.0677300590613</v>
      </c>
      <c r="W38" t="inlineStr">
        <is>
          <t>EEPA</t>
        </is>
      </c>
      <c r="X38" t="n">
        <v>96.49927141078396</v>
      </c>
      <c r="Y38" t="n">
        <v>5.192380426540506</v>
      </c>
      <c r="Z38" t="n">
        <v>5737.436935403874</v>
      </c>
      <c r="AA38" t="n">
        <v>1259.828220855924</v>
      </c>
      <c r="AB38" t="n">
        <v>970.0677300590613</v>
      </c>
      <c r="AC38" t="n">
        <v>1259.828220855924</v>
      </c>
      <c r="AD38" s="2" t="n">
        <v>44256</v>
      </c>
    </row>
    <row r="39">
      <c r="A39" t="n">
        <v>-1</v>
      </c>
      <c r="B39" t="inlineStr">
        <is>
          <t>01-03-2021</t>
        </is>
      </c>
      <c r="C39" t="n">
        <v>2021</v>
      </c>
      <c r="D39" t="n">
        <v>3</v>
      </c>
      <c r="E39" t="inlineStr">
        <is>
          <t>Puente Alto 012</t>
        </is>
      </c>
      <c r="F39" t="inlineStr">
        <is>
          <t>EEPA</t>
        </is>
      </c>
      <c r="G39" t="inlineStr">
        <is>
          <t>EEPA</t>
        </is>
      </c>
      <c r="H39" t="inlineStr">
        <is>
          <t>Empresa Eléctrica Carén S.A.</t>
        </is>
      </c>
      <c r="I39" t="inlineStr">
        <is>
          <t>Empresa Eléctrica Carén S.A.</t>
        </is>
      </c>
      <c r="J39" t="inlineStr">
        <is>
          <t>SIC 2013/03_2_BS1C_BB_EEPA_Empresa Eléctrica Carén S.A.</t>
        </is>
      </c>
      <c r="K39" t="inlineStr">
        <is>
          <t>Puente Alto 012</t>
        </is>
      </c>
      <c r="L39" t="inlineStr">
        <is>
          <t>-1</t>
        </is>
      </c>
      <c r="M39" t="n">
        <v>744.4751274899356</v>
      </c>
      <c r="N39" t="n">
        <v>2</v>
      </c>
      <c r="O39" t="inlineStr">
        <is>
          <t>4</t>
        </is>
      </c>
      <c r="P39" s="2" t="n">
        <v>44664.57499100694</v>
      </c>
      <c r="Q39" t="n">
        <v>8</v>
      </c>
      <c r="R39" t="inlineStr">
        <is>
          <t>ALTO JAHUEL 220</t>
        </is>
      </c>
      <c r="S39" t="n">
        <v>254.8311282862989</v>
      </c>
      <c r="T39" t="n">
        <v>21705.17615670999</v>
      </c>
      <c r="U39" t="n">
        <v>0.7359012147845817</v>
      </c>
      <c r="V39" t="n">
        <v>4355.254119307219</v>
      </c>
      <c r="W39" t="inlineStr">
        <is>
          <t>EEPA</t>
        </is>
      </c>
      <c r="X39" t="n">
        <v>94.11573940730558</v>
      </c>
      <c r="Y39" t="n">
        <v>21.70517615670999</v>
      </c>
      <c r="Z39" t="n">
        <v>23983.62006266297</v>
      </c>
      <c r="AA39" t="n">
        <v>5656.174180918467</v>
      </c>
      <c r="AB39" t="n">
        <v>4355.254119307219</v>
      </c>
      <c r="AC39" t="n">
        <v>5656.174180918467</v>
      </c>
      <c r="AD39" s="2" t="n">
        <v>44256</v>
      </c>
    </row>
    <row r="40">
      <c r="A40" t="n">
        <v>-1</v>
      </c>
      <c r="B40" t="inlineStr">
        <is>
          <t>01-03-2021</t>
        </is>
      </c>
      <c r="C40" t="n">
        <v>2021</v>
      </c>
      <c r="D40" t="n">
        <v>3</v>
      </c>
      <c r="E40" t="inlineStr">
        <is>
          <t>Puente Alto 012</t>
        </is>
      </c>
      <c r="F40" t="inlineStr">
        <is>
          <t>EEPA</t>
        </is>
      </c>
      <c r="G40" t="inlineStr">
        <is>
          <t>EEPA</t>
        </is>
      </c>
      <c r="H40" t="inlineStr">
        <is>
          <t>Empresa Eléctrica Carén S.A.</t>
        </is>
      </c>
      <c r="I40" t="inlineStr">
        <is>
          <t>Empresa Eléctrica Carén S.A.</t>
        </is>
      </c>
      <c r="J40" t="inlineStr">
        <is>
          <t>SIC 2013/03_2_BS1C_BB_EEPA_Empresa Eléctrica Carén S.A.</t>
        </is>
      </c>
      <c r="K40" t="inlineStr">
        <is>
          <t>Puente Alto 012</t>
        </is>
      </c>
      <c r="L40" t="inlineStr">
        <is>
          <t>-1</t>
        </is>
      </c>
      <c r="M40" t="n">
        <v>744.4751274899356</v>
      </c>
      <c r="N40" t="n">
        <v>2</v>
      </c>
      <c r="O40" t="inlineStr">
        <is>
          <t>4</t>
        </is>
      </c>
      <c r="P40" s="2" t="n">
        <v>44664.57499100694</v>
      </c>
      <c r="Q40" t="n">
        <v>18</v>
      </c>
      <c r="R40" t="inlineStr">
        <is>
          <t>CERRO NAVIA 220</t>
        </is>
      </c>
      <c r="S40" t="n">
        <v>111.6701619560785</v>
      </c>
      <c r="T40" t="n">
        <v>9706.524691047443</v>
      </c>
      <c r="U40" t="n">
        <v>0.3224810422153104</v>
      </c>
      <c r="V40" t="n">
        <v>1942.943698670233</v>
      </c>
      <c r="W40" t="inlineStr">
        <is>
          <t>EEPA</t>
        </is>
      </c>
      <c r="X40" t="n">
        <v>96.04572483547315</v>
      </c>
      <c r="Y40" t="n">
        <v>9.706524691047445</v>
      </c>
      <c r="Z40" t="n">
        <v>10725.44164756624</v>
      </c>
      <c r="AA40" t="n">
        <v>2523.303504766537</v>
      </c>
      <c r="AB40" t="n">
        <v>1942.943698670233</v>
      </c>
      <c r="AC40" t="n">
        <v>2523.303504766537</v>
      </c>
      <c r="AD40" s="2" t="n">
        <v>44256</v>
      </c>
    </row>
    <row r="41">
      <c r="A41" t="n">
        <v>-1</v>
      </c>
      <c r="B41" t="inlineStr">
        <is>
          <t>01-03-2021</t>
        </is>
      </c>
      <c r="C41" t="n">
        <v>2021</v>
      </c>
      <c r="D41" t="n">
        <v>3</v>
      </c>
      <c r="E41" t="inlineStr">
        <is>
          <t>Puente Alto 012</t>
        </is>
      </c>
      <c r="F41" t="inlineStr">
        <is>
          <t>EEPA</t>
        </is>
      </c>
      <c r="G41" t="inlineStr">
        <is>
          <t>EEPA</t>
        </is>
      </c>
      <c r="H41" t="inlineStr">
        <is>
          <t>Empresa Eléctrica Carén S.A.</t>
        </is>
      </c>
      <c r="I41" t="inlineStr">
        <is>
          <t>Empresa Eléctrica Carén S.A.</t>
        </is>
      </c>
      <c r="J41" t="inlineStr">
        <is>
          <t>SIC 2013/03_2_BS1C_BB_EEPA_Empresa Eléctrica Carén S.A.</t>
        </is>
      </c>
      <c r="K41" t="inlineStr">
        <is>
          <t>Puente Alto 012</t>
        </is>
      </c>
      <c r="L41" t="inlineStr">
        <is>
          <t>-1</t>
        </is>
      </c>
      <c r="M41" t="n">
        <v>744.4751274899356</v>
      </c>
      <c r="N41" t="n">
        <v>2</v>
      </c>
      <c r="O41" t="inlineStr">
        <is>
          <t>4</t>
        </is>
      </c>
      <c r="P41" s="2" t="n">
        <v>44664.57499100694</v>
      </c>
      <c r="Q41" t="n">
        <v>32</v>
      </c>
      <c r="R41" t="inlineStr">
        <is>
          <t>CHENA 220</t>
        </is>
      </c>
      <c r="S41" t="n">
        <v>299.4438458675681</v>
      </c>
      <c r="T41" t="n">
        <v>25871.16671432967</v>
      </c>
      <c r="U41" t="n">
        <v>0.8647338000487056</v>
      </c>
      <c r="V41" t="n">
        <v>5211.040036569153</v>
      </c>
      <c r="W41" t="inlineStr">
        <is>
          <t>EEPA</t>
        </is>
      </c>
      <c r="X41" t="n">
        <v>95.46672920726333</v>
      </c>
      <c r="Y41" t="n">
        <v>25.87116671432966</v>
      </c>
      <c r="Z41" t="n">
        <v>28586.92454622062</v>
      </c>
      <c r="AA41" t="n">
        <v>6767.584463076822</v>
      </c>
      <c r="AB41" t="n">
        <v>5211.040036569153</v>
      </c>
      <c r="AC41" t="n">
        <v>6767.584463076822</v>
      </c>
      <c r="AD41" s="2" t="n">
        <v>44256</v>
      </c>
    </row>
    <row r="42">
      <c r="A42" t="n">
        <v>-1</v>
      </c>
      <c r="B42" t="inlineStr">
        <is>
          <t>01-03-2021</t>
        </is>
      </c>
      <c r="C42" t="n">
        <v>2021</v>
      </c>
      <c r="D42" t="n">
        <v>3</v>
      </c>
      <c r="E42" t="inlineStr">
        <is>
          <t>Puente Alto 012</t>
        </is>
      </c>
      <c r="F42" t="inlineStr">
        <is>
          <t>EEPA</t>
        </is>
      </c>
      <c r="G42" t="inlineStr">
        <is>
          <t>EEPA</t>
        </is>
      </c>
      <c r="H42" t="inlineStr">
        <is>
          <t>Empresa Eléctrica Carén S.A.</t>
        </is>
      </c>
      <c r="I42" t="inlineStr">
        <is>
          <t>Empresa Eléctrica Carén S.A.</t>
        </is>
      </c>
      <c r="J42" t="inlineStr">
        <is>
          <t>SIC 2013/03_2_BS1C_BB_EEPA_Empresa Eléctrica Carén S.A.</t>
        </is>
      </c>
      <c r="K42" t="inlineStr">
        <is>
          <t>Puente Alto 012</t>
        </is>
      </c>
      <c r="L42" t="inlineStr">
        <is>
          <t>-1</t>
        </is>
      </c>
      <c r="M42" t="n">
        <v>744.4751274899356</v>
      </c>
      <c r="N42" t="n">
        <v>2</v>
      </c>
      <c r="O42" t="inlineStr">
        <is>
          <t>4</t>
        </is>
      </c>
      <c r="P42" s="2" t="n">
        <v>44664.57499100694</v>
      </c>
      <c r="Q42" t="n">
        <v>28</v>
      </c>
      <c r="R42" t="inlineStr">
        <is>
          <t>POLPAICO 220</t>
        </is>
      </c>
      <c r="S42" t="n">
        <v>85.48322956893414</v>
      </c>
      <c r="T42" t="n">
        <v>7465.40778097485</v>
      </c>
      <c r="U42" t="n">
        <v>0.2468584309402446</v>
      </c>
      <c r="V42" t="n">
        <v>1471.863968267296</v>
      </c>
      <c r="W42" t="inlineStr">
        <is>
          <t>EEPA</t>
        </is>
      </c>
      <c r="X42" t="n">
        <v>96.49927141078398</v>
      </c>
      <c r="Y42" t="n">
        <v>7.46540778097485</v>
      </c>
      <c r="Z42" t="n">
        <v>8249.069371242927</v>
      </c>
      <c r="AA42" t="n">
        <v>1911.511647100384</v>
      </c>
      <c r="AB42" t="n">
        <v>1471.863968267296</v>
      </c>
      <c r="AC42" t="n">
        <v>1911.511647100384</v>
      </c>
      <c r="AD42" s="2" t="n">
        <v>44256</v>
      </c>
    </row>
    <row r="43">
      <c r="A43" t="n">
        <v>-1</v>
      </c>
      <c r="B43" t="inlineStr">
        <is>
          <t>01-03-2021</t>
        </is>
      </c>
      <c r="C43" t="n">
        <v>2021</v>
      </c>
      <c r="D43" t="n">
        <v>3</v>
      </c>
      <c r="E43" t="inlineStr">
        <is>
          <t>Puente Alto 012</t>
        </is>
      </c>
      <c r="F43" t="inlineStr">
        <is>
          <t>EEPA</t>
        </is>
      </c>
      <c r="G43" t="inlineStr">
        <is>
          <t>EEPA</t>
        </is>
      </c>
      <c r="H43" t="inlineStr">
        <is>
          <t>Empresa Eléctrica Carén S.A.</t>
        </is>
      </c>
      <c r="I43" t="inlineStr">
        <is>
          <t>Empresa Eléctrica Carén S.A.</t>
        </is>
      </c>
      <c r="J43" t="inlineStr">
        <is>
          <t>SIC 2013/03_2_BS1C_BB_EEPA_Empresa Eléctrica Carén S.A.</t>
        </is>
      </c>
      <c r="K43" t="inlineStr">
        <is>
          <t>Puente Alto 012</t>
        </is>
      </c>
      <c r="L43" t="inlineStr">
        <is>
          <t>-1</t>
        </is>
      </c>
      <c r="M43" t="n">
        <v>744.4751274899356</v>
      </c>
      <c r="N43" t="n">
        <v>2</v>
      </c>
      <c r="O43" t="inlineStr">
        <is>
          <t>4</t>
        </is>
      </c>
      <c r="P43" s="2" t="n">
        <v>44664.57499100694</v>
      </c>
      <c r="Q43" t="n">
        <v>11</v>
      </c>
      <c r="R43" t="inlineStr">
        <is>
          <t>QUILLOTA 220</t>
        </is>
      </c>
      <c r="S43" t="n">
        <v>0.5659136808922717</v>
      </c>
      <c r="T43" t="n">
        <v>50.18338655231708</v>
      </c>
      <c r="U43" t="n">
        <v>0.001634245266786852</v>
      </c>
      <c r="V43" t="n">
        <v>9.764454980244839</v>
      </c>
      <c r="W43" t="inlineStr">
        <is>
          <t>EEPA</t>
        </is>
      </c>
      <c r="X43" t="n">
        <v>97.98536019041693</v>
      </c>
      <c r="Y43" t="n">
        <v>0.05018338655231708</v>
      </c>
      <c r="Z43" t="n">
        <v>55.4512558589139</v>
      </c>
      <c r="AA43" t="n">
        <v>12.68111036395434</v>
      </c>
      <c r="AB43" t="n">
        <v>9.764454980244839</v>
      </c>
      <c r="AC43" t="n">
        <v>12.68111036395434</v>
      </c>
      <c r="AD43" s="2" t="n">
        <v>44256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K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Propietario</t>
        </is>
      </c>
      <c r="G1" s="1" t="inlineStr">
        <is>
          <t>Turno</t>
        </is>
      </c>
      <c r="H1" s="1" t="inlineStr">
        <is>
          <t>Distribuidora</t>
        </is>
      </c>
      <c r="I1" s="1" t="inlineStr">
        <is>
          <t>Clave</t>
        </is>
      </c>
      <c r="J1" s="1" t="inlineStr">
        <is>
          <t>PuntoRetiro</t>
        </is>
      </c>
      <c r="K1" s="1" t="inlineStr">
        <is>
          <t>Medida_kWh</t>
        </is>
      </c>
      <c r="L1" s="1" t="inlineStr">
        <is>
          <t>PuntoRetiroBT</t>
        </is>
      </c>
      <c r="M1" s="1" t="inlineStr">
        <is>
          <t>BarraEnAT</t>
        </is>
      </c>
      <c r="N1" s="1" t="inlineStr">
        <is>
          <t>FactorRef_BT_AT</t>
        </is>
      </c>
      <c r="O1" s="1" t="inlineStr">
        <is>
          <t>ValorAT</t>
        </is>
      </c>
      <c r="P1" s="1" t="inlineStr">
        <is>
          <t>Bloque</t>
        </is>
      </c>
      <c r="Q1" s="1" t="inlineStr">
        <is>
          <t>Incremento</t>
        </is>
      </c>
      <c r="R1" s="1" t="inlineStr">
        <is>
          <t>kWhAnho</t>
        </is>
      </c>
      <c r="S1" s="1" t="inlineStr">
        <is>
          <t>PorcenEnergiaAnho</t>
        </is>
      </c>
      <c r="T1" s="1" t="inlineStr">
        <is>
          <t>kWh_AnhoMes</t>
        </is>
      </c>
      <c r="U1" s="1" t="inlineStr">
        <is>
          <t>PorcenBarraAnho</t>
        </is>
      </c>
      <c r="V1" s="1" t="inlineStr">
        <is>
          <t>EnergiaBloqueAnhoMesBarra_kWh</t>
        </is>
      </c>
      <c r="W1" s="1" t="inlineStr">
        <is>
          <t>Amplificacion24h</t>
        </is>
      </c>
      <c r="X1" s="1" t="inlineStr">
        <is>
          <t>Denominador</t>
        </is>
      </c>
      <c r="Y1" s="1" t="inlineStr">
        <is>
          <t>Prorrata</t>
        </is>
      </c>
      <c r="Z1" s="1" t="inlineStr">
        <is>
          <t>EnergiaBloqueTurnoAnhoMesBarra_kWh</t>
        </is>
      </c>
      <c r="AA1" s="1" t="inlineStr">
        <is>
          <t>V_DecretoPNPVigente</t>
        </is>
      </c>
      <c r="AB1" s="1" t="inlineStr">
        <is>
          <t>V_DecretoPNCPAsociado</t>
        </is>
      </c>
      <c r="AC1" s="1" t="inlineStr">
        <is>
          <t>V_DecretoPNCPLicitacion</t>
        </is>
      </c>
      <c r="AD1" s="1" t="inlineStr">
        <is>
          <t>V_Barra</t>
        </is>
      </c>
      <c r="AE1" s="1" t="inlineStr">
        <is>
          <t>V_PrecioOferta_EnergiaPolpaico220</t>
        </is>
      </c>
      <c r="AF1" s="1" t="inlineStr">
        <is>
          <t>V_Indexacion</t>
        </is>
      </c>
      <c r="AG1" s="1" t="inlineStr">
        <is>
          <t>V_PrecioEnergiaIndexado_USDMWh</t>
        </is>
      </c>
      <c r="AH1" s="1" t="inlineStr">
        <is>
          <t>V_DolarPNPVigente</t>
        </is>
      </c>
      <c r="AI1" s="1" t="inlineStr">
        <is>
          <t>V_FactorAjusteEnergia</t>
        </is>
      </c>
      <c r="AJ1" s="1" t="inlineStr">
        <is>
          <t>V_PrecioEnergiaAjustado_CLP_kWh_Polpaico220</t>
        </is>
      </c>
      <c r="AK1" s="1" t="inlineStr">
        <is>
          <t>V_FPEnergia</t>
        </is>
      </c>
      <c r="AL1" s="1" t="inlineStr">
        <is>
          <t>V_PrecioEnergiaAjustado_CLP_kWh</t>
        </is>
      </c>
      <c r="AM1" s="1" t="inlineStr">
        <is>
          <t>V_PrecioPotenciaUSD_kW_Mes</t>
        </is>
      </c>
      <c r="AN1" s="1" t="inlineStr">
        <is>
          <t>V_PrecioPotenciaIndexadoUSD_kW_Mes</t>
        </is>
      </c>
      <c r="AO1" s="1" t="inlineStr">
        <is>
          <t>V_FactorAjustePotencia</t>
        </is>
      </c>
      <c r="AP1" s="1" t="inlineStr">
        <is>
          <t>V_PrecioPotenciaAjustado_CLP_kW_Mes_Polpaico220</t>
        </is>
      </c>
      <c r="AQ1" s="1" t="inlineStr">
        <is>
          <t>V_FPPotencia</t>
        </is>
      </c>
      <c r="AR1" s="1" t="inlineStr">
        <is>
          <t>V_PrecioPotenciaAjustado_CLP_kW_Mes</t>
        </is>
      </c>
      <c r="AS1" s="1" t="inlineStr">
        <is>
          <t>V_TotalEnergiaMesBarraGxDxBloque_CLP_kW_Mes</t>
        </is>
      </c>
      <c r="AT1" s="1" t="inlineStr">
        <is>
          <t>R_DecretoPNPReliquidacion</t>
        </is>
      </c>
      <c r="AU1" s="1" t="inlineStr">
        <is>
          <t>R_DecretoPNCPAsociado</t>
        </is>
      </c>
      <c r="AV1" s="1" t="inlineStr">
        <is>
          <t>R_DecretoPNCPLicitacion</t>
        </is>
      </c>
      <c r="AW1" s="1" t="inlineStr">
        <is>
          <t>R_Barra</t>
        </is>
      </c>
      <c r="AX1" s="1" t="inlineStr">
        <is>
          <t>R_PrecioOfertaEnergiaPolpaico220</t>
        </is>
      </c>
      <c r="AY1" s="1" t="inlineStr">
        <is>
          <t>R_Indexacion</t>
        </is>
      </c>
      <c r="AZ1" s="1" t="inlineStr">
        <is>
          <t>R_PrecioEnergiaIndexado_USDMWh</t>
        </is>
      </c>
      <c r="BA1" s="1" t="inlineStr">
        <is>
          <t>R_DolarPNPReliquidacion</t>
        </is>
      </c>
      <c r="BB1" s="1" t="inlineStr">
        <is>
          <t>R_FactorAjusteEnergia</t>
        </is>
      </c>
      <c r="BC1" s="1" t="inlineStr">
        <is>
          <t>R_PrecioEnergiaAjustado_CLP_kWh_Polpaico220</t>
        </is>
      </c>
      <c r="BD1" s="1" t="inlineStr">
        <is>
          <t>R_FPEnergia</t>
        </is>
      </c>
      <c r="BE1" s="1" t="inlineStr">
        <is>
          <t>R_PrecioEnergiaAjustado_CLP_kWh</t>
        </is>
      </c>
      <c r="BF1" s="1" t="inlineStr">
        <is>
          <t>R_PrecioPotenciaUSD_kW_Mes</t>
        </is>
      </c>
      <c r="BG1" s="1" t="inlineStr">
        <is>
          <t>R_FactorAjustePotencia</t>
        </is>
      </c>
      <c r="BH1" s="1" t="inlineStr">
        <is>
          <t>R_PrecioPotenciaAjustado_CLP_kW_Mes_Polpaico220</t>
        </is>
      </c>
      <c r="BI1" s="1" t="inlineStr">
        <is>
          <t>R_FPPotencia</t>
        </is>
      </c>
      <c r="BJ1" s="1" t="inlineStr">
        <is>
          <t>R_PrecioPotenciaAjustado_CLP_kW_Mes</t>
        </is>
      </c>
      <c r="BK1" s="1" t="inlineStr">
        <is>
          <t>R_TotalEnergiaMesBarraGxDxBloque_CLP_kW_Mes</t>
        </is>
      </c>
    </row>
    <row r="2">
      <c r="A2" t="n">
        <v>21</v>
      </c>
      <c r="B2" t="inlineStr">
        <is>
          <t>01-01-2021</t>
        </is>
      </c>
      <c r="C2" t="n">
        <v>2021</v>
      </c>
      <c r="D2" t="n">
        <v>1</v>
      </c>
      <c r="E2" t="inlineStr">
        <is>
          <t>CAREN</t>
        </is>
      </c>
      <c r="F2" t="inlineStr">
        <is>
          <t>SUM_EEPA_C</t>
        </is>
      </c>
      <c r="G2" t="inlineStr">
        <is>
          <t>C</t>
        </is>
      </c>
      <c r="H2" t="inlineStr">
        <is>
          <t>EEPA</t>
        </is>
      </c>
      <c r="I2" t="inlineStr">
        <is>
          <t>EEPACOSTC</t>
        </is>
      </c>
      <c r="J2" t="inlineStr">
        <is>
          <t>COSTANERA</t>
        </is>
      </c>
      <c r="K2" t="n">
        <v>-1563.38996912</v>
      </c>
      <c r="L2" t="inlineStr">
        <is>
          <t>COSTANERA</t>
        </is>
      </c>
      <c r="M2" t="inlineStr">
        <is>
          <t>ALTO JAHUEL</t>
        </is>
      </c>
      <c r="N2" t="n">
        <v>0.47916568150411</v>
      </c>
      <c r="O2" t="n">
        <v>749.12282</v>
      </c>
      <c r="P2" t="inlineStr">
        <is>
          <t>BS1C</t>
        </is>
      </c>
      <c r="Q2" t="n">
        <v>2</v>
      </c>
      <c r="W2" t="n">
        <v>2</v>
      </c>
      <c r="X2" t="n">
        <v>0</v>
      </c>
      <c r="AA2" t="inlineStr">
        <is>
          <t>PNP_6T_08-05-2020</t>
        </is>
      </c>
      <c r="AB2" t="inlineStr">
        <is>
          <t>PNCP_9T_12-08-2019</t>
        </is>
      </c>
      <c r="AC2" t="inlineStr">
        <is>
          <t>PNCP_4T_30-04-2013</t>
        </is>
      </c>
      <c r="AD2" t="inlineStr">
        <is>
          <t>ALTO JAHUEL 220</t>
        </is>
      </c>
      <c r="AE2" t="n">
        <v>111.133</v>
      </c>
      <c r="AF2" t="n">
        <v>1.072776031070834</v>
      </c>
      <c r="AG2" t="n">
        <v>119.220818660995</v>
      </c>
      <c r="AH2" t="n">
        <v>694.38</v>
      </c>
      <c r="AI2" t="n">
        <v>0.875</v>
      </c>
      <c r="AJ2" t="n">
        <v>72.43648305409401</v>
      </c>
      <c r="AK2" t="n">
        <v>0.9827</v>
      </c>
      <c r="AL2" t="n">
        <v>71.18300000000001</v>
      </c>
      <c r="AM2" t="n">
        <v>8.9176</v>
      </c>
      <c r="AN2" t="n">
        <v>9.566587534677272</v>
      </c>
      <c r="AO2" t="n">
        <v>0.913</v>
      </c>
      <c r="AP2" t="n">
        <v>6064.919358776563</v>
      </c>
      <c r="AQ2" t="n">
        <v>0.9936514234698939</v>
      </c>
      <c r="AR2" t="n">
        <v>6026.4158</v>
      </c>
      <c r="AT2" t="inlineStr">
        <is>
          <t>PNP_19T_30-12-2020</t>
        </is>
      </c>
      <c r="AU2" t="inlineStr">
        <is>
          <t>PNCP_12T_10-08-2020</t>
        </is>
      </c>
      <c r="AV2" t="inlineStr">
        <is>
          <t>PNCP_4T_30-04-2013</t>
        </is>
      </c>
      <c r="AW2" t="inlineStr">
        <is>
          <t>ALTO JAHUEL 220</t>
        </is>
      </c>
      <c r="AX2" t="n">
        <v>111.133</v>
      </c>
      <c r="AY2" t="n">
        <v>1.083385174100913</v>
      </c>
      <c r="AZ2" t="n">
        <v>120.3998445533567</v>
      </c>
      <c r="BA2" t="n">
        <v>801.49</v>
      </c>
      <c r="BB2" t="n">
        <v>0.905</v>
      </c>
      <c r="BC2" t="n">
        <v>87.33184062701827</v>
      </c>
      <c r="BD2" t="n">
        <v>0.9752999999999999</v>
      </c>
      <c r="BE2" t="n">
        <v>85.175</v>
      </c>
      <c r="BF2" t="n">
        <v>8.9176</v>
      </c>
      <c r="BG2" t="n">
        <v>0.77</v>
      </c>
      <c r="BH2" t="n">
        <v>5962.380796939026</v>
      </c>
      <c r="BI2" t="n">
        <v>0.9846245412161493</v>
      </c>
      <c r="BJ2" t="n">
        <v>5870.7065</v>
      </c>
    </row>
    <row r="3">
      <c r="A3" t="n">
        <v>23</v>
      </c>
      <c r="B3" t="inlineStr">
        <is>
          <t>01-01-2021</t>
        </is>
      </c>
      <c r="C3" t="n">
        <v>2021</v>
      </c>
      <c r="D3" t="n">
        <v>1</v>
      </c>
      <c r="E3" t="inlineStr">
        <is>
          <t>CAREN</t>
        </is>
      </c>
      <c r="F3" t="inlineStr">
        <is>
          <t>SUM_EEPA_C</t>
        </is>
      </c>
      <c r="G3" t="inlineStr">
        <is>
          <t>C</t>
        </is>
      </c>
      <c r="H3" t="inlineStr">
        <is>
          <t>EEPA</t>
        </is>
      </c>
      <c r="I3" t="inlineStr">
        <is>
          <t>EEPACOSTC</t>
        </is>
      </c>
      <c r="J3" t="inlineStr">
        <is>
          <t>COSTANERA</t>
        </is>
      </c>
      <c r="K3" t="n">
        <v>-1563.38996912</v>
      </c>
      <c r="L3" t="inlineStr">
        <is>
          <t>COSTANERA</t>
        </is>
      </c>
      <c r="M3" t="inlineStr">
        <is>
          <t>CERRO NAVIA</t>
        </is>
      </c>
      <c r="N3" t="n">
        <v>0.19609494774531</v>
      </c>
      <c r="O3" t="n">
        <v>306.572874</v>
      </c>
      <c r="P3" t="inlineStr">
        <is>
          <t>BS1C</t>
        </is>
      </c>
      <c r="Q3" t="n">
        <v>2</v>
      </c>
      <c r="W3" t="n">
        <v>2</v>
      </c>
      <c r="X3" t="n">
        <v>0</v>
      </c>
      <c r="AA3" t="inlineStr">
        <is>
          <t>PNP_6T_08-05-2020</t>
        </is>
      </c>
      <c r="AB3" t="inlineStr">
        <is>
          <t>PNCP_9T_12-08-2019</t>
        </is>
      </c>
      <c r="AC3" t="inlineStr">
        <is>
          <t>PNCP_4T_30-04-2013</t>
        </is>
      </c>
      <c r="AD3" t="inlineStr">
        <is>
          <t>CERRO NAVIA 220</t>
        </is>
      </c>
      <c r="AE3" t="n">
        <v>111.133</v>
      </c>
      <c r="AF3" t="n">
        <v>1.072776031070834</v>
      </c>
      <c r="AG3" t="n">
        <v>119.220818660995</v>
      </c>
      <c r="AH3" t="n">
        <v>694.38</v>
      </c>
      <c r="AI3" t="n">
        <v>0.875</v>
      </c>
      <c r="AJ3" t="n">
        <v>72.43648305409401</v>
      </c>
      <c r="AK3" t="n">
        <v>1.0051</v>
      </c>
      <c r="AL3" t="n">
        <v>72.806</v>
      </c>
      <c r="AM3" t="n">
        <v>8.9176</v>
      </c>
      <c r="AN3" t="n">
        <v>9.566587534677272</v>
      </c>
      <c r="AO3" t="n">
        <v>0.913</v>
      </c>
      <c r="AP3" t="n">
        <v>6064.919358776563</v>
      </c>
      <c r="AQ3" t="n">
        <v>0.9896251345796222</v>
      </c>
      <c r="AR3" t="n">
        <v>6001.9966</v>
      </c>
      <c r="AT3" t="inlineStr">
        <is>
          <t>PNP_19T_30-12-2020</t>
        </is>
      </c>
      <c r="AU3" t="inlineStr">
        <is>
          <t>PNCP_12T_10-08-2020</t>
        </is>
      </c>
      <c r="AV3" t="inlineStr">
        <is>
          <t>PNCP_4T_30-04-2013</t>
        </is>
      </c>
      <c r="AW3" t="inlineStr">
        <is>
          <t>CERRO NAVIA 220</t>
        </is>
      </c>
      <c r="AX3" t="n">
        <v>111.133</v>
      </c>
      <c r="AY3" t="n">
        <v>1.083385174100913</v>
      </c>
      <c r="AZ3" t="n">
        <v>120.3998445533567</v>
      </c>
      <c r="BA3" t="n">
        <v>801.49</v>
      </c>
      <c r="BB3" t="n">
        <v>0.905</v>
      </c>
      <c r="BC3" t="n">
        <v>87.33184062701827</v>
      </c>
      <c r="BD3" t="n">
        <v>0.9953</v>
      </c>
      <c r="BE3" t="n">
        <v>86.92100000000001</v>
      </c>
      <c r="BF3" t="n">
        <v>8.9176</v>
      </c>
      <c r="BG3" t="n">
        <v>0.77</v>
      </c>
      <c r="BH3" t="n">
        <v>5962.380796939026</v>
      </c>
      <c r="BI3" t="n">
        <v>0.9890378780463932</v>
      </c>
      <c r="BJ3" t="n">
        <v>5897.0205</v>
      </c>
    </row>
    <row r="4">
      <c r="A4" t="n">
        <v>25</v>
      </c>
      <c r="B4" t="inlineStr">
        <is>
          <t>01-01-2021</t>
        </is>
      </c>
      <c r="C4" t="n">
        <v>2021</v>
      </c>
      <c r="D4" t="n">
        <v>1</v>
      </c>
      <c r="E4" t="inlineStr">
        <is>
          <t>CAREN</t>
        </is>
      </c>
      <c r="F4" t="inlineStr">
        <is>
          <t>SUM_EEPA_C</t>
        </is>
      </c>
      <c r="G4" t="inlineStr">
        <is>
          <t>C</t>
        </is>
      </c>
      <c r="H4" t="inlineStr">
        <is>
          <t>EEPA</t>
        </is>
      </c>
      <c r="I4" t="inlineStr">
        <is>
          <t>EEPACOSTC</t>
        </is>
      </c>
      <c r="J4" t="inlineStr">
        <is>
          <t>COSTANERA</t>
        </is>
      </c>
      <c r="K4" t="n">
        <v>-1563.38996912</v>
      </c>
      <c r="L4" t="inlineStr">
        <is>
          <t>COSTANERA</t>
        </is>
      </c>
      <c r="M4" t="inlineStr">
        <is>
          <t>CHENA</t>
        </is>
      </c>
      <c r="N4" t="n">
        <v>0.18034246662267</v>
      </c>
      <c r="O4" t="n">
        <v>281.945603</v>
      </c>
      <c r="P4" t="inlineStr">
        <is>
          <t>BS1C</t>
        </is>
      </c>
      <c r="Q4" t="n">
        <v>2</v>
      </c>
      <c r="W4" t="n">
        <v>2</v>
      </c>
      <c r="X4" t="n">
        <v>0</v>
      </c>
      <c r="AA4" t="inlineStr">
        <is>
          <t>PNP_6T_08-05-2020</t>
        </is>
      </c>
      <c r="AB4" t="inlineStr">
        <is>
          <t>PNCP_9T_12-08-2019</t>
        </is>
      </c>
      <c r="AC4" t="inlineStr">
        <is>
          <t>PNCP_4T_30-04-2013</t>
        </is>
      </c>
      <c r="AD4" t="inlineStr">
        <is>
          <t>CHENA 220</t>
        </is>
      </c>
      <c r="AE4" t="n">
        <v>111.133</v>
      </c>
      <c r="AF4" t="n">
        <v>1.072776031070834</v>
      </c>
      <c r="AG4" t="n">
        <v>119.220818660995</v>
      </c>
      <c r="AH4" t="n">
        <v>694.38</v>
      </c>
      <c r="AI4" t="n">
        <v>0.875</v>
      </c>
      <c r="AJ4" t="n">
        <v>72.43648305409401</v>
      </c>
      <c r="AK4" t="n">
        <v>0.9989</v>
      </c>
      <c r="AL4" t="n">
        <v>72.357</v>
      </c>
      <c r="AM4" t="n">
        <v>8.9176</v>
      </c>
      <c r="AN4" t="n">
        <v>9.566587534677272</v>
      </c>
      <c r="AO4" t="n">
        <v>0.913</v>
      </c>
      <c r="AP4" t="n">
        <v>6064.919358776563</v>
      </c>
      <c r="AQ4" t="n">
        <v>0.9923529411764705</v>
      </c>
      <c r="AR4" t="n">
        <v>6018.5406</v>
      </c>
      <c r="AT4" t="inlineStr">
        <is>
          <t>PNP_19T_30-12-2020</t>
        </is>
      </c>
      <c r="AU4" t="inlineStr">
        <is>
          <t>PNCP_12T_10-08-2020</t>
        </is>
      </c>
      <c r="AV4" t="inlineStr">
        <is>
          <t>PNCP_4T_30-04-2013</t>
        </is>
      </c>
      <c r="AW4" t="inlineStr">
        <is>
          <t>CHENA 220</t>
        </is>
      </c>
      <c r="AX4" t="n">
        <v>111.133</v>
      </c>
      <c r="AY4" t="n">
        <v>1.083385174100913</v>
      </c>
      <c r="AZ4" t="n">
        <v>120.3998445533567</v>
      </c>
      <c r="BA4" t="n">
        <v>801.49</v>
      </c>
      <c r="BB4" t="n">
        <v>0.905</v>
      </c>
      <c r="BC4" t="n">
        <v>87.33184062701827</v>
      </c>
      <c r="BD4" t="n">
        <v>0.9893</v>
      </c>
      <c r="BE4" t="n">
        <v>86.39700000000001</v>
      </c>
      <c r="BF4" t="n">
        <v>8.9176</v>
      </c>
      <c r="BG4" t="n">
        <v>0.77</v>
      </c>
      <c r="BH4" t="n">
        <v>5962.380796939026</v>
      </c>
      <c r="BI4" t="n">
        <v>0.9908823529411764</v>
      </c>
      <c r="BJ4" t="n">
        <v>5908.0179</v>
      </c>
    </row>
    <row r="5">
      <c r="A5" t="n">
        <v>27</v>
      </c>
      <c r="B5" t="inlineStr">
        <is>
          <t>01-01-2021</t>
        </is>
      </c>
      <c r="C5" t="n">
        <v>2021</v>
      </c>
      <c r="D5" t="n">
        <v>1</v>
      </c>
      <c r="E5" t="inlineStr">
        <is>
          <t>CAREN</t>
        </is>
      </c>
      <c r="F5" t="inlineStr">
        <is>
          <t>SUM_EEPA_C</t>
        </is>
      </c>
      <c r="G5" t="inlineStr">
        <is>
          <t>C</t>
        </is>
      </c>
      <c r="H5" t="inlineStr">
        <is>
          <t>EEPA</t>
        </is>
      </c>
      <c r="I5" t="inlineStr">
        <is>
          <t>EEPACOSTC</t>
        </is>
      </c>
      <c r="J5" t="inlineStr">
        <is>
          <t>COSTANERA</t>
        </is>
      </c>
      <c r="K5" t="n">
        <v>-1563.38996912</v>
      </c>
      <c r="L5" t="inlineStr">
        <is>
          <t>COSTANERA</t>
        </is>
      </c>
      <c r="M5" t="inlineStr">
        <is>
          <t>POLPAICO</t>
        </is>
      </c>
      <c r="N5" t="n">
        <v>0.15818216643697</v>
      </c>
      <c r="O5" t="n">
        <v>247.300412</v>
      </c>
      <c r="P5" t="inlineStr">
        <is>
          <t>BS1C</t>
        </is>
      </c>
      <c r="Q5" t="n">
        <v>2</v>
      </c>
      <c r="W5" t="n">
        <v>2</v>
      </c>
      <c r="X5" t="n">
        <v>0</v>
      </c>
      <c r="AA5" t="inlineStr">
        <is>
          <t>PNP_6T_08-05-2020</t>
        </is>
      </c>
      <c r="AB5" t="inlineStr">
        <is>
          <t>PNCP_9T_12-08-2019</t>
        </is>
      </c>
      <c r="AC5" t="inlineStr">
        <is>
          <t>PNCP_4T_30-04-2013</t>
        </is>
      </c>
      <c r="AD5" t="inlineStr">
        <is>
          <t>POLPAICO 220</t>
        </is>
      </c>
      <c r="AE5" t="n">
        <v>111.133</v>
      </c>
      <c r="AF5" t="n">
        <v>1.072776031070834</v>
      </c>
      <c r="AG5" t="n">
        <v>119.220818660995</v>
      </c>
      <c r="AH5" t="n">
        <v>694.38</v>
      </c>
      <c r="AI5" t="n">
        <v>0.875</v>
      </c>
      <c r="AJ5" t="n">
        <v>72.43648305409401</v>
      </c>
      <c r="AK5" t="n">
        <v>1</v>
      </c>
      <c r="AL5" t="n">
        <v>72.43600000000001</v>
      </c>
      <c r="AM5" t="n">
        <v>8.9176</v>
      </c>
      <c r="AN5" t="n">
        <v>9.566587534677272</v>
      </c>
      <c r="AO5" t="n">
        <v>0.913</v>
      </c>
      <c r="AP5" t="n">
        <v>6064.919358776563</v>
      </c>
      <c r="AQ5" t="n">
        <v>1</v>
      </c>
      <c r="AR5" t="n">
        <v>6064.9194</v>
      </c>
      <c r="AT5" t="inlineStr">
        <is>
          <t>PNP_19T_30-12-2020</t>
        </is>
      </c>
      <c r="AU5" t="inlineStr">
        <is>
          <t>PNCP_12T_10-08-2020</t>
        </is>
      </c>
      <c r="AV5" t="inlineStr">
        <is>
          <t>PNCP_4T_30-04-2013</t>
        </is>
      </c>
      <c r="AW5" t="inlineStr">
        <is>
          <t>POLPAICO 220</t>
        </is>
      </c>
      <c r="AX5" t="n">
        <v>111.133</v>
      </c>
      <c r="AY5" t="n">
        <v>1.083385174100913</v>
      </c>
      <c r="AZ5" t="n">
        <v>120.3998445533567</v>
      </c>
      <c r="BA5" t="n">
        <v>801.49</v>
      </c>
      <c r="BB5" t="n">
        <v>0.905</v>
      </c>
      <c r="BC5" t="n">
        <v>87.33184062701827</v>
      </c>
      <c r="BD5" t="n">
        <v>1</v>
      </c>
      <c r="BE5" t="n">
        <v>87.33199999999999</v>
      </c>
      <c r="BF5" t="n">
        <v>8.9176</v>
      </c>
      <c r="BG5" t="n">
        <v>0.77</v>
      </c>
      <c r="BH5" t="n">
        <v>5962.380796939026</v>
      </c>
      <c r="BI5" t="n">
        <v>1</v>
      </c>
      <c r="BJ5" t="n">
        <v>5962.3808</v>
      </c>
    </row>
    <row r="6">
      <c r="A6" t="n">
        <v>29</v>
      </c>
      <c r="B6" t="inlineStr">
        <is>
          <t>01-01-2021</t>
        </is>
      </c>
      <c r="C6" t="n">
        <v>2021</v>
      </c>
      <c r="D6" t="n">
        <v>1</v>
      </c>
      <c r="E6" t="inlineStr">
        <is>
          <t>CAREN</t>
        </is>
      </c>
      <c r="F6" t="inlineStr">
        <is>
          <t>SUM_EEPA_C</t>
        </is>
      </c>
      <c r="G6" t="inlineStr">
        <is>
          <t>C</t>
        </is>
      </c>
      <c r="H6" t="inlineStr">
        <is>
          <t>EEPA</t>
        </is>
      </c>
      <c r="I6" t="inlineStr">
        <is>
          <t>EEPACOSTC</t>
        </is>
      </c>
      <c r="J6" t="inlineStr">
        <is>
          <t>COSTANERA</t>
        </is>
      </c>
      <c r="K6" t="n">
        <v>-1563.38996912</v>
      </c>
      <c r="L6" t="inlineStr">
        <is>
          <t>COSTANERA</t>
        </is>
      </c>
      <c r="M6" t="inlineStr">
        <is>
          <t>QUILLOTA</t>
        </is>
      </c>
      <c r="N6" t="n">
        <v>0.0008185282539</v>
      </c>
      <c r="O6" t="n">
        <v>1.279679</v>
      </c>
      <c r="P6" t="inlineStr">
        <is>
          <t>BS1C</t>
        </is>
      </c>
      <c r="Q6" t="n">
        <v>2</v>
      </c>
      <c r="W6" t="n">
        <v>2</v>
      </c>
      <c r="X6" t="n">
        <v>0</v>
      </c>
      <c r="AA6" t="inlineStr">
        <is>
          <t>PNP_6T_08-05-2020</t>
        </is>
      </c>
      <c r="AB6" t="inlineStr">
        <is>
          <t>PNCP_9T_12-08-2019</t>
        </is>
      </c>
      <c r="AC6" t="inlineStr">
        <is>
          <t>PNCP_4T_30-04-2013</t>
        </is>
      </c>
      <c r="AD6" t="inlineStr">
        <is>
          <t>QUILLOTA 220</t>
        </is>
      </c>
      <c r="AE6" t="n">
        <v>111.133</v>
      </c>
      <c r="AF6" t="n">
        <v>1.072776031070834</v>
      </c>
      <c r="AG6" t="n">
        <v>119.220818660995</v>
      </c>
      <c r="AH6" t="n">
        <v>694.38</v>
      </c>
      <c r="AI6" t="n">
        <v>0.875</v>
      </c>
      <c r="AJ6" t="n">
        <v>72.43648305409401</v>
      </c>
      <c r="AK6" t="n">
        <v>1.0077</v>
      </c>
      <c r="AL6" t="n">
        <v>72.994</v>
      </c>
      <c r="AM6" t="n">
        <v>8.9176</v>
      </c>
      <c r="AN6" t="n">
        <v>9.566587534677272</v>
      </c>
      <c r="AO6" t="n">
        <v>0.913</v>
      </c>
      <c r="AP6" t="n">
        <v>6064.919358776563</v>
      </c>
      <c r="AQ6" t="n">
        <v>1.025526742301459</v>
      </c>
      <c r="AR6" t="n">
        <v>6219.737</v>
      </c>
      <c r="AT6" t="inlineStr">
        <is>
          <t>PNP_19T_30-12-2020</t>
        </is>
      </c>
      <c r="AU6" t="inlineStr">
        <is>
          <t>PNCP_12T_10-08-2020</t>
        </is>
      </c>
      <c r="AV6" t="inlineStr">
        <is>
          <t>PNCP_4T_30-04-2013</t>
        </is>
      </c>
      <c r="AW6" t="inlineStr">
        <is>
          <t>QUILLOTA 220</t>
        </is>
      </c>
      <c r="AX6" t="n">
        <v>111.133</v>
      </c>
      <c r="AY6" t="n">
        <v>1.083385174100913</v>
      </c>
      <c r="AZ6" t="n">
        <v>120.3998445533567</v>
      </c>
      <c r="BA6" t="n">
        <v>801.49</v>
      </c>
      <c r="BB6" t="n">
        <v>0.905</v>
      </c>
      <c r="BC6" t="n">
        <v>87.33184062701827</v>
      </c>
      <c r="BD6" t="n">
        <v>1.0154</v>
      </c>
      <c r="BE6" t="n">
        <v>88.67700000000001</v>
      </c>
      <c r="BF6" t="n">
        <v>8.9176</v>
      </c>
      <c r="BG6" t="n">
        <v>0.77</v>
      </c>
      <c r="BH6" t="n">
        <v>5962.380796939026</v>
      </c>
      <c r="BI6" t="n">
        <v>1.01509319286872</v>
      </c>
      <c r="BJ6" t="n">
        <v>6052.3722</v>
      </c>
    </row>
    <row r="7">
      <c r="A7" t="n">
        <v>21</v>
      </c>
      <c r="B7" t="inlineStr">
        <is>
          <t>01-01-2021</t>
        </is>
      </c>
      <c r="C7" t="n">
        <v>2021</v>
      </c>
      <c r="D7" t="n">
        <v>1</v>
      </c>
      <c r="E7" t="inlineStr">
        <is>
          <t>CAREN</t>
        </is>
      </c>
      <c r="F7" t="inlineStr">
        <is>
          <t>SUM_EEPA_C</t>
        </is>
      </c>
      <c r="G7" t="inlineStr">
        <is>
          <t>C</t>
        </is>
      </c>
      <c r="H7" t="inlineStr">
        <is>
          <t>EEPA</t>
        </is>
      </c>
      <c r="I7" t="inlineStr">
        <is>
          <t>EEPAPINTC</t>
        </is>
      </c>
      <c r="J7" t="inlineStr">
        <is>
          <t>LA_PINTANA</t>
        </is>
      </c>
      <c r="K7" t="n">
        <v>-2517.94564747</v>
      </c>
      <c r="L7" t="inlineStr">
        <is>
          <t>LA PINTANA</t>
        </is>
      </c>
      <c r="M7" t="inlineStr">
        <is>
          <t>ALTO JAHUEL</t>
        </is>
      </c>
      <c r="N7" t="n">
        <v>0.57002694767702</v>
      </c>
      <c r="O7" t="n">
        <v>1435.296872</v>
      </c>
      <c r="P7" t="inlineStr">
        <is>
          <t>BS1C</t>
        </is>
      </c>
      <c r="Q7" t="n">
        <v>2</v>
      </c>
      <c r="W7" t="n">
        <v>2</v>
      </c>
      <c r="X7" t="n">
        <v>0</v>
      </c>
      <c r="AA7" t="inlineStr">
        <is>
          <t>PNP_6T_08-05-2020</t>
        </is>
      </c>
      <c r="AB7" t="inlineStr">
        <is>
          <t>PNCP_9T_12-08-2019</t>
        </is>
      </c>
      <c r="AC7" t="inlineStr">
        <is>
          <t>PNCP_4T_30-04-2013</t>
        </is>
      </c>
      <c r="AD7" t="inlineStr">
        <is>
          <t>ALTO JAHUEL 220</t>
        </is>
      </c>
      <c r="AE7" t="n">
        <v>111.133</v>
      </c>
      <c r="AF7" t="n">
        <v>1.072776031070834</v>
      </c>
      <c r="AG7" t="n">
        <v>119.220818660995</v>
      </c>
      <c r="AH7" t="n">
        <v>694.38</v>
      </c>
      <c r="AI7" t="n">
        <v>0.875</v>
      </c>
      <c r="AJ7" t="n">
        <v>72.43648305409401</v>
      </c>
      <c r="AK7" t="n">
        <v>0.9827</v>
      </c>
      <c r="AL7" t="n">
        <v>71.18300000000001</v>
      </c>
      <c r="AM7" t="n">
        <v>8.9176</v>
      </c>
      <c r="AN7" t="n">
        <v>9.566587534677272</v>
      </c>
      <c r="AO7" t="n">
        <v>0.913</v>
      </c>
      <c r="AP7" t="n">
        <v>6064.919358776563</v>
      </c>
      <c r="AQ7" t="n">
        <v>0.9936514234698939</v>
      </c>
      <c r="AR7" t="n">
        <v>6026.4158</v>
      </c>
      <c r="AT7" t="inlineStr">
        <is>
          <t>PNP_19T_30-12-2020</t>
        </is>
      </c>
      <c r="AU7" t="inlineStr">
        <is>
          <t>PNCP_12T_10-08-2020</t>
        </is>
      </c>
      <c r="AV7" t="inlineStr">
        <is>
          <t>PNCP_4T_30-04-2013</t>
        </is>
      </c>
      <c r="AW7" t="inlineStr">
        <is>
          <t>ALTO JAHUEL 220</t>
        </is>
      </c>
      <c r="AX7" t="n">
        <v>111.133</v>
      </c>
      <c r="AY7" t="n">
        <v>1.083385174100913</v>
      </c>
      <c r="AZ7" t="n">
        <v>120.3998445533567</v>
      </c>
      <c r="BA7" t="n">
        <v>801.49</v>
      </c>
      <c r="BB7" t="n">
        <v>0.905</v>
      </c>
      <c r="BC7" t="n">
        <v>87.33184062701827</v>
      </c>
      <c r="BD7" t="n">
        <v>0.9752999999999999</v>
      </c>
      <c r="BE7" t="n">
        <v>85.175</v>
      </c>
      <c r="BF7" t="n">
        <v>8.9176</v>
      </c>
      <c r="BG7" t="n">
        <v>0.77</v>
      </c>
      <c r="BH7" t="n">
        <v>5962.380796939026</v>
      </c>
      <c r="BI7" t="n">
        <v>0.9846245412161493</v>
      </c>
      <c r="BJ7" t="n">
        <v>5870.7065</v>
      </c>
    </row>
    <row r="8">
      <c r="A8" t="n">
        <v>23</v>
      </c>
      <c r="B8" t="inlineStr">
        <is>
          <t>01-01-2021</t>
        </is>
      </c>
      <c r="C8" t="n">
        <v>2021</v>
      </c>
      <c r="D8" t="n">
        <v>1</v>
      </c>
      <c r="E8" t="inlineStr">
        <is>
          <t>CAREN</t>
        </is>
      </c>
      <c r="F8" t="inlineStr">
        <is>
          <t>SUM_EEPA_C</t>
        </is>
      </c>
      <c r="G8" t="inlineStr">
        <is>
          <t>C</t>
        </is>
      </c>
      <c r="H8" t="inlineStr">
        <is>
          <t>EEPA</t>
        </is>
      </c>
      <c r="I8" t="inlineStr">
        <is>
          <t>EEPAPINTC</t>
        </is>
      </c>
      <c r="J8" t="inlineStr">
        <is>
          <t>LA_PINTANA</t>
        </is>
      </c>
      <c r="K8" t="n">
        <v>-2517.94564747</v>
      </c>
      <c r="L8" t="inlineStr">
        <is>
          <t>LA PINTANA</t>
        </is>
      </c>
      <c r="M8" t="inlineStr">
        <is>
          <t>CERRO NAVIA</t>
        </is>
      </c>
      <c r="N8" t="n">
        <v>0.15751145288655</v>
      </c>
      <c r="O8" t="n">
        <v>396.605277</v>
      </c>
      <c r="P8" t="inlineStr">
        <is>
          <t>BS1C</t>
        </is>
      </c>
      <c r="Q8" t="n">
        <v>2</v>
      </c>
      <c r="W8" t="n">
        <v>2</v>
      </c>
      <c r="X8" t="n">
        <v>0</v>
      </c>
      <c r="AA8" t="inlineStr">
        <is>
          <t>PNP_6T_08-05-2020</t>
        </is>
      </c>
      <c r="AB8" t="inlineStr">
        <is>
          <t>PNCP_9T_12-08-2019</t>
        </is>
      </c>
      <c r="AC8" t="inlineStr">
        <is>
          <t>PNCP_4T_30-04-2013</t>
        </is>
      </c>
      <c r="AD8" t="inlineStr">
        <is>
          <t>CERRO NAVIA 220</t>
        </is>
      </c>
      <c r="AE8" t="n">
        <v>111.133</v>
      </c>
      <c r="AF8" t="n">
        <v>1.072776031070834</v>
      </c>
      <c r="AG8" t="n">
        <v>119.220818660995</v>
      </c>
      <c r="AH8" t="n">
        <v>694.38</v>
      </c>
      <c r="AI8" t="n">
        <v>0.875</v>
      </c>
      <c r="AJ8" t="n">
        <v>72.43648305409401</v>
      </c>
      <c r="AK8" t="n">
        <v>1.0051</v>
      </c>
      <c r="AL8" t="n">
        <v>72.806</v>
      </c>
      <c r="AM8" t="n">
        <v>8.9176</v>
      </c>
      <c r="AN8" t="n">
        <v>9.566587534677272</v>
      </c>
      <c r="AO8" t="n">
        <v>0.913</v>
      </c>
      <c r="AP8" t="n">
        <v>6064.919358776563</v>
      </c>
      <c r="AQ8" t="n">
        <v>0.9896251345796222</v>
      </c>
      <c r="AR8" t="n">
        <v>6001.9966</v>
      </c>
      <c r="AT8" t="inlineStr">
        <is>
          <t>PNP_19T_30-12-2020</t>
        </is>
      </c>
      <c r="AU8" t="inlineStr">
        <is>
          <t>PNCP_12T_10-08-2020</t>
        </is>
      </c>
      <c r="AV8" t="inlineStr">
        <is>
          <t>PNCP_4T_30-04-2013</t>
        </is>
      </c>
      <c r="AW8" t="inlineStr">
        <is>
          <t>CERRO NAVIA 220</t>
        </is>
      </c>
      <c r="AX8" t="n">
        <v>111.133</v>
      </c>
      <c r="AY8" t="n">
        <v>1.083385174100913</v>
      </c>
      <c r="AZ8" t="n">
        <v>120.3998445533567</v>
      </c>
      <c r="BA8" t="n">
        <v>801.49</v>
      </c>
      <c r="BB8" t="n">
        <v>0.905</v>
      </c>
      <c r="BC8" t="n">
        <v>87.33184062701827</v>
      </c>
      <c r="BD8" t="n">
        <v>0.9953</v>
      </c>
      <c r="BE8" t="n">
        <v>86.92100000000001</v>
      </c>
      <c r="BF8" t="n">
        <v>8.9176</v>
      </c>
      <c r="BG8" t="n">
        <v>0.77</v>
      </c>
      <c r="BH8" t="n">
        <v>5962.380796939026</v>
      </c>
      <c r="BI8" t="n">
        <v>0.9890378780463932</v>
      </c>
      <c r="BJ8" t="n">
        <v>5897.0205</v>
      </c>
    </row>
    <row r="9">
      <c r="A9" t="n">
        <v>25</v>
      </c>
      <c r="B9" t="inlineStr">
        <is>
          <t>01-01-2021</t>
        </is>
      </c>
      <c r="C9" t="n">
        <v>2021</v>
      </c>
      <c r="D9" t="n">
        <v>1</v>
      </c>
      <c r="E9" t="inlineStr">
        <is>
          <t>CAREN</t>
        </is>
      </c>
      <c r="F9" t="inlineStr">
        <is>
          <t>SUM_EEPA_C</t>
        </is>
      </c>
      <c r="G9" t="inlineStr">
        <is>
          <t>C</t>
        </is>
      </c>
      <c r="H9" t="inlineStr">
        <is>
          <t>EEPA</t>
        </is>
      </c>
      <c r="I9" t="inlineStr">
        <is>
          <t>EEPAPINTC</t>
        </is>
      </c>
      <c r="J9" t="inlineStr">
        <is>
          <t>LA_PINTANA</t>
        </is>
      </c>
      <c r="K9" t="n">
        <v>-2517.94564747</v>
      </c>
      <c r="L9" t="inlineStr">
        <is>
          <t>LA PINTANA</t>
        </is>
      </c>
      <c r="M9" t="inlineStr">
        <is>
          <t>CHENA</t>
        </is>
      </c>
      <c r="N9" t="n">
        <v>0.15945027119167</v>
      </c>
      <c r="O9" t="n">
        <v>401.487116</v>
      </c>
      <c r="P9" t="inlineStr">
        <is>
          <t>BS1C</t>
        </is>
      </c>
      <c r="Q9" t="n">
        <v>2</v>
      </c>
      <c r="W9" t="n">
        <v>2</v>
      </c>
      <c r="X9" t="n">
        <v>0</v>
      </c>
      <c r="AA9" t="inlineStr">
        <is>
          <t>PNP_6T_08-05-2020</t>
        </is>
      </c>
      <c r="AB9" t="inlineStr">
        <is>
          <t>PNCP_9T_12-08-2019</t>
        </is>
      </c>
      <c r="AC9" t="inlineStr">
        <is>
          <t>PNCP_4T_30-04-2013</t>
        </is>
      </c>
      <c r="AD9" t="inlineStr">
        <is>
          <t>CHENA 220</t>
        </is>
      </c>
      <c r="AE9" t="n">
        <v>111.133</v>
      </c>
      <c r="AF9" t="n">
        <v>1.072776031070834</v>
      </c>
      <c r="AG9" t="n">
        <v>119.220818660995</v>
      </c>
      <c r="AH9" t="n">
        <v>694.38</v>
      </c>
      <c r="AI9" t="n">
        <v>0.875</v>
      </c>
      <c r="AJ9" t="n">
        <v>72.43648305409401</v>
      </c>
      <c r="AK9" t="n">
        <v>0.9989</v>
      </c>
      <c r="AL9" t="n">
        <v>72.357</v>
      </c>
      <c r="AM9" t="n">
        <v>8.9176</v>
      </c>
      <c r="AN9" t="n">
        <v>9.566587534677272</v>
      </c>
      <c r="AO9" t="n">
        <v>0.913</v>
      </c>
      <c r="AP9" t="n">
        <v>6064.919358776563</v>
      </c>
      <c r="AQ9" t="n">
        <v>0.9923529411764705</v>
      </c>
      <c r="AR9" t="n">
        <v>6018.5406</v>
      </c>
      <c r="AT9" t="inlineStr">
        <is>
          <t>PNP_19T_30-12-2020</t>
        </is>
      </c>
      <c r="AU9" t="inlineStr">
        <is>
          <t>PNCP_12T_10-08-2020</t>
        </is>
      </c>
      <c r="AV9" t="inlineStr">
        <is>
          <t>PNCP_4T_30-04-2013</t>
        </is>
      </c>
      <c r="AW9" t="inlineStr">
        <is>
          <t>CHENA 220</t>
        </is>
      </c>
      <c r="AX9" t="n">
        <v>111.133</v>
      </c>
      <c r="AY9" t="n">
        <v>1.083385174100913</v>
      </c>
      <c r="AZ9" t="n">
        <v>120.3998445533567</v>
      </c>
      <c r="BA9" t="n">
        <v>801.49</v>
      </c>
      <c r="BB9" t="n">
        <v>0.905</v>
      </c>
      <c r="BC9" t="n">
        <v>87.33184062701827</v>
      </c>
      <c r="BD9" t="n">
        <v>0.9893</v>
      </c>
      <c r="BE9" t="n">
        <v>86.39700000000001</v>
      </c>
      <c r="BF9" t="n">
        <v>8.9176</v>
      </c>
      <c r="BG9" t="n">
        <v>0.77</v>
      </c>
      <c r="BH9" t="n">
        <v>5962.380796939026</v>
      </c>
      <c r="BI9" t="n">
        <v>0.9908823529411764</v>
      </c>
      <c r="BJ9" t="n">
        <v>5908.0179</v>
      </c>
    </row>
    <row r="10">
      <c r="A10" t="n">
        <v>27</v>
      </c>
      <c r="B10" t="inlineStr">
        <is>
          <t>01-01-2021</t>
        </is>
      </c>
      <c r="C10" t="n">
        <v>2021</v>
      </c>
      <c r="D10" t="n">
        <v>1</v>
      </c>
      <c r="E10" t="inlineStr">
        <is>
          <t>CAREN</t>
        </is>
      </c>
      <c r="F10" t="inlineStr">
        <is>
          <t>SUM_EEPA_C</t>
        </is>
      </c>
      <c r="G10" t="inlineStr">
        <is>
          <t>C</t>
        </is>
      </c>
      <c r="H10" t="inlineStr">
        <is>
          <t>EEPA</t>
        </is>
      </c>
      <c r="I10" t="inlineStr">
        <is>
          <t>EEPAPINTC</t>
        </is>
      </c>
      <c r="J10" t="inlineStr">
        <is>
          <t>LA_PINTANA</t>
        </is>
      </c>
      <c r="K10" t="n">
        <v>-2517.94564747</v>
      </c>
      <c r="L10" t="inlineStr">
        <is>
          <t>LA PINTANA</t>
        </is>
      </c>
      <c r="M10" t="inlineStr">
        <is>
          <t>POLPAICO</t>
        </is>
      </c>
      <c r="N10" t="n">
        <v>0.12720010987134</v>
      </c>
      <c r="O10" t="n">
        <v>320.282963</v>
      </c>
      <c r="P10" t="inlineStr">
        <is>
          <t>BS1C</t>
        </is>
      </c>
      <c r="Q10" t="n">
        <v>2</v>
      </c>
      <c r="W10" t="n">
        <v>2</v>
      </c>
      <c r="X10" t="n">
        <v>0</v>
      </c>
      <c r="AA10" t="inlineStr">
        <is>
          <t>PNP_6T_08-05-2020</t>
        </is>
      </c>
      <c r="AB10" t="inlineStr">
        <is>
          <t>PNCP_9T_12-08-2019</t>
        </is>
      </c>
      <c r="AC10" t="inlineStr">
        <is>
          <t>PNCP_4T_30-04-2013</t>
        </is>
      </c>
      <c r="AD10" t="inlineStr">
        <is>
          <t>POLPAICO 220</t>
        </is>
      </c>
      <c r="AE10" t="n">
        <v>111.133</v>
      </c>
      <c r="AF10" t="n">
        <v>1.072776031070834</v>
      </c>
      <c r="AG10" t="n">
        <v>119.220818660995</v>
      </c>
      <c r="AH10" t="n">
        <v>694.38</v>
      </c>
      <c r="AI10" t="n">
        <v>0.875</v>
      </c>
      <c r="AJ10" t="n">
        <v>72.43648305409401</v>
      </c>
      <c r="AK10" t="n">
        <v>1</v>
      </c>
      <c r="AL10" t="n">
        <v>72.43600000000001</v>
      </c>
      <c r="AM10" t="n">
        <v>8.9176</v>
      </c>
      <c r="AN10" t="n">
        <v>9.566587534677272</v>
      </c>
      <c r="AO10" t="n">
        <v>0.913</v>
      </c>
      <c r="AP10" t="n">
        <v>6064.919358776563</v>
      </c>
      <c r="AQ10" t="n">
        <v>1</v>
      </c>
      <c r="AR10" t="n">
        <v>6064.9194</v>
      </c>
      <c r="AT10" t="inlineStr">
        <is>
          <t>PNP_19T_30-12-2020</t>
        </is>
      </c>
      <c r="AU10" t="inlineStr">
        <is>
          <t>PNCP_12T_10-08-2020</t>
        </is>
      </c>
      <c r="AV10" t="inlineStr">
        <is>
          <t>PNCP_4T_30-04-2013</t>
        </is>
      </c>
      <c r="AW10" t="inlineStr">
        <is>
          <t>POLPAICO 220</t>
        </is>
      </c>
      <c r="AX10" t="n">
        <v>111.133</v>
      </c>
      <c r="AY10" t="n">
        <v>1.083385174100913</v>
      </c>
      <c r="AZ10" t="n">
        <v>120.3998445533567</v>
      </c>
      <c r="BA10" t="n">
        <v>801.49</v>
      </c>
      <c r="BB10" t="n">
        <v>0.905</v>
      </c>
      <c r="BC10" t="n">
        <v>87.33184062701827</v>
      </c>
      <c r="BD10" t="n">
        <v>1</v>
      </c>
      <c r="BE10" t="n">
        <v>87.33199999999999</v>
      </c>
      <c r="BF10" t="n">
        <v>8.9176</v>
      </c>
      <c r="BG10" t="n">
        <v>0.77</v>
      </c>
      <c r="BH10" t="n">
        <v>5962.380796939026</v>
      </c>
      <c r="BI10" t="n">
        <v>1</v>
      </c>
      <c r="BJ10" t="n">
        <v>5962.3808</v>
      </c>
    </row>
    <row r="11">
      <c r="A11" t="n">
        <v>29</v>
      </c>
      <c r="B11" t="inlineStr">
        <is>
          <t>01-01-2021</t>
        </is>
      </c>
      <c r="C11" t="n">
        <v>2021</v>
      </c>
      <c r="D11" t="n">
        <v>1</v>
      </c>
      <c r="E11" t="inlineStr">
        <is>
          <t>CAREN</t>
        </is>
      </c>
      <c r="F11" t="inlineStr">
        <is>
          <t>SUM_EEPA_C</t>
        </is>
      </c>
      <c r="G11" t="inlineStr">
        <is>
          <t>C</t>
        </is>
      </c>
      <c r="H11" t="inlineStr">
        <is>
          <t>EEPA</t>
        </is>
      </c>
      <c r="I11" t="inlineStr">
        <is>
          <t>EEPAPINTC</t>
        </is>
      </c>
      <c r="J11" t="inlineStr">
        <is>
          <t>LA_PINTANA</t>
        </is>
      </c>
      <c r="K11" t="n">
        <v>-2517.94564747</v>
      </c>
      <c r="L11" t="inlineStr">
        <is>
          <t>LA PINTANA</t>
        </is>
      </c>
      <c r="M11" t="inlineStr">
        <is>
          <t>QUILLOTA</t>
        </is>
      </c>
      <c r="N11" t="n">
        <v>0.00035050547515</v>
      </c>
      <c r="O11" t="n">
        <v>0.8825539999999999</v>
      </c>
      <c r="P11" t="inlineStr">
        <is>
          <t>BS1C</t>
        </is>
      </c>
      <c r="Q11" t="n">
        <v>2</v>
      </c>
      <c r="W11" t="n">
        <v>2</v>
      </c>
      <c r="X11" t="n">
        <v>0</v>
      </c>
      <c r="AA11" t="inlineStr">
        <is>
          <t>PNP_6T_08-05-2020</t>
        </is>
      </c>
      <c r="AB11" t="inlineStr">
        <is>
          <t>PNCP_9T_12-08-2019</t>
        </is>
      </c>
      <c r="AC11" t="inlineStr">
        <is>
          <t>PNCP_4T_30-04-2013</t>
        </is>
      </c>
      <c r="AD11" t="inlineStr">
        <is>
          <t>QUILLOTA 220</t>
        </is>
      </c>
      <c r="AE11" t="n">
        <v>111.133</v>
      </c>
      <c r="AF11" t="n">
        <v>1.072776031070834</v>
      </c>
      <c r="AG11" t="n">
        <v>119.220818660995</v>
      </c>
      <c r="AH11" t="n">
        <v>694.38</v>
      </c>
      <c r="AI11" t="n">
        <v>0.875</v>
      </c>
      <c r="AJ11" t="n">
        <v>72.43648305409401</v>
      </c>
      <c r="AK11" t="n">
        <v>1.0077</v>
      </c>
      <c r="AL11" t="n">
        <v>72.994</v>
      </c>
      <c r="AM11" t="n">
        <v>8.9176</v>
      </c>
      <c r="AN11" t="n">
        <v>9.566587534677272</v>
      </c>
      <c r="AO11" t="n">
        <v>0.913</v>
      </c>
      <c r="AP11" t="n">
        <v>6064.919358776563</v>
      </c>
      <c r="AQ11" t="n">
        <v>1.025526742301459</v>
      </c>
      <c r="AR11" t="n">
        <v>6219.737</v>
      </c>
      <c r="AT11" t="inlineStr">
        <is>
          <t>PNP_19T_30-12-2020</t>
        </is>
      </c>
      <c r="AU11" t="inlineStr">
        <is>
          <t>PNCP_12T_10-08-2020</t>
        </is>
      </c>
      <c r="AV11" t="inlineStr">
        <is>
          <t>PNCP_4T_30-04-2013</t>
        </is>
      </c>
      <c r="AW11" t="inlineStr">
        <is>
          <t>QUILLOTA 220</t>
        </is>
      </c>
      <c r="AX11" t="n">
        <v>111.133</v>
      </c>
      <c r="AY11" t="n">
        <v>1.083385174100913</v>
      </c>
      <c r="AZ11" t="n">
        <v>120.3998445533567</v>
      </c>
      <c r="BA11" t="n">
        <v>801.49</v>
      </c>
      <c r="BB11" t="n">
        <v>0.905</v>
      </c>
      <c r="BC11" t="n">
        <v>87.33184062701827</v>
      </c>
      <c r="BD11" t="n">
        <v>1.0154</v>
      </c>
      <c r="BE11" t="n">
        <v>88.67700000000001</v>
      </c>
      <c r="BF11" t="n">
        <v>8.9176</v>
      </c>
      <c r="BG11" t="n">
        <v>0.77</v>
      </c>
      <c r="BH11" t="n">
        <v>5962.380796939026</v>
      </c>
      <c r="BI11" t="n">
        <v>1.01509319286872</v>
      </c>
      <c r="BJ11" t="n">
        <v>6052.3722</v>
      </c>
    </row>
    <row r="12">
      <c r="A12" t="n">
        <v>2176</v>
      </c>
      <c r="B12" t="inlineStr">
        <is>
          <t>01-01-2021</t>
        </is>
      </c>
      <c r="C12" t="n">
        <v>2021</v>
      </c>
      <c r="D12" t="n">
        <v>1</v>
      </c>
      <c r="E12" t="inlineStr">
        <is>
          <t>CAREN</t>
        </is>
      </c>
      <c r="F12" t="inlineStr">
        <is>
          <t>SUM_EEPA_C</t>
        </is>
      </c>
      <c r="G12" t="inlineStr">
        <is>
          <t>C</t>
        </is>
      </c>
      <c r="H12" t="inlineStr">
        <is>
          <t>EEPA</t>
        </is>
      </c>
      <c r="I12" t="inlineStr">
        <is>
          <t>EEPAPTEAC</t>
        </is>
      </c>
      <c r="J12" t="inlineStr">
        <is>
          <t>P.ALTO</t>
        </is>
      </c>
      <c r="K12" t="n">
        <v>-2754.90884354</v>
      </c>
      <c r="L12" t="inlineStr">
        <is>
          <t>PUENTE ALTO</t>
        </is>
      </c>
      <c r="M12" t="inlineStr">
        <is>
          <t>ALTO JAHUEL</t>
        </is>
      </c>
      <c r="N12" t="n">
        <v>0.47942546746253</v>
      </c>
      <c r="O12" t="n">
        <v>1320.77346</v>
      </c>
      <c r="P12" t="inlineStr">
        <is>
          <t>BS1C</t>
        </is>
      </c>
      <c r="Q12" t="n">
        <v>2</v>
      </c>
      <c r="W12" t="n">
        <v>2</v>
      </c>
      <c r="X12" t="n">
        <v>0</v>
      </c>
      <c r="AA12" t="inlineStr">
        <is>
          <t>PNP_6T_08-05-2020</t>
        </is>
      </c>
      <c r="AB12" t="inlineStr">
        <is>
          <t>PNCP_9T_12-08-2019</t>
        </is>
      </c>
      <c r="AC12" t="inlineStr">
        <is>
          <t>PNCP_4T_30-04-2013</t>
        </is>
      </c>
      <c r="AD12" t="inlineStr">
        <is>
          <t>ALTO JAHUEL 220</t>
        </is>
      </c>
      <c r="AE12" t="n">
        <v>111.133</v>
      </c>
      <c r="AF12" t="n">
        <v>1.072776031070834</v>
      </c>
      <c r="AG12" t="n">
        <v>119.220818660995</v>
      </c>
      <c r="AH12" t="n">
        <v>694.38</v>
      </c>
      <c r="AI12" t="n">
        <v>0.875</v>
      </c>
      <c r="AJ12" t="n">
        <v>72.43648305409401</v>
      </c>
      <c r="AK12" t="n">
        <v>0.9827</v>
      </c>
      <c r="AL12" t="n">
        <v>71.18300000000001</v>
      </c>
      <c r="AM12" t="n">
        <v>8.9176</v>
      </c>
      <c r="AN12" t="n">
        <v>9.566587534677272</v>
      </c>
      <c r="AO12" t="n">
        <v>0.913</v>
      </c>
      <c r="AP12" t="n">
        <v>6064.919358776563</v>
      </c>
      <c r="AQ12" t="n">
        <v>0.9936514234698939</v>
      </c>
      <c r="AR12" t="n">
        <v>6026.4158</v>
      </c>
      <c r="AT12" t="inlineStr">
        <is>
          <t>PNP_19T_30-12-2020</t>
        </is>
      </c>
      <c r="AU12" t="inlineStr">
        <is>
          <t>PNCP_12T_10-08-2020</t>
        </is>
      </c>
      <c r="AV12" t="inlineStr">
        <is>
          <t>PNCP_4T_30-04-2013</t>
        </is>
      </c>
      <c r="AW12" t="inlineStr">
        <is>
          <t>ALTO JAHUEL 220</t>
        </is>
      </c>
      <c r="AX12" t="n">
        <v>111.133</v>
      </c>
      <c r="AY12" t="n">
        <v>1.083385174100913</v>
      </c>
      <c r="AZ12" t="n">
        <v>120.3998445533567</v>
      </c>
      <c r="BA12" t="n">
        <v>801.49</v>
      </c>
      <c r="BB12" t="n">
        <v>0.905</v>
      </c>
      <c r="BC12" t="n">
        <v>87.33184062701827</v>
      </c>
      <c r="BD12" t="n">
        <v>0.9752999999999999</v>
      </c>
      <c r="BE12" t="n">
        <v>85.175</v>
      </c>
      <c r="BF12" t="n">
        <v>8.9176</v>
      </c>
      <c r="BG12" t="n">
        <v>0.77</v>
      </c>
      <c r="BH12" t="n">
        <v>5962.380796939026</v>
      </c>
      <c r="BI12" t="n">
        <v>0.9846245412161493</v>
      </c>
      <c r="BJ12" t="n">
        <v>5870.7065</v>
      </c>
    </row>
    <row r="13">
      <c r="A13" t="n">
        <v>2178</v>
      </c>
      <c r="B13" t="inlineStr">
        <is>
          <t>01-01-2021</t>
        </is>
      </c>
      <c r="C13" t="n">
        <v>2021</v>
      </c>
      <c r="D13" t="n">
        <v>1</v>
      </c>
      <c r="E13" t="inlineStr">
        <is>
          <t>CAREN</t>
        </is>
      </c>
      <c r="F13" t="inlineStr">
        <is>
          <t>SUM_EEPA_C</t>
        </is>
      </c>
      <c r="G13" t="inlineStr">
        <is>
          <t>C</t>
        </is>
      </c>
      <c r="H13" t="inlineStr">
        <is>
          <t>EEPA</t>
        </is>
      </c>
      <c r="I13" t="inlineStr">
        <is>
          <t>EEPAPTEAC</t>
        </is>
      </c>
      <c r="J13" t="inlineStr">
        <is>
          <t>P.ALTO</t>
        </is>
      </c>
      <c r="K13" t="n">
        <v>-2754.90884354</v>
      </c>
      <c r="L13" t="inlineStr">
        <is>
          <t>PUENTE ALTO</t>
        </is>
      </c>
      <c r="M13" t="inlineStr">
        <is>
          <t>CERRO NAVIA</t>
        </is>
      </c>
      <c r="N13" t="n">
        <v>0.19633406892894</v>
      </c>
      <c r="O13" t="n">
        <v>540.882463</v>
      </c>
      <c r="P13" t="inlineStr">
        <is>
          <t>BS1C</t>
        </is>
      </c>
      <c r="Q13" t="n">
        <v>2</v>
      </c>
      <c r="W13" t="n">
        <v>2</v>
      </c>
      <c r="X13" t="n">
        <v>0</v>
      </c>
      <c r="AA13" t="inlineStr">
        <is>
          <t>PNP_6T_08-05-2020</t>
        </is>
      </c>
      <c r="AB13" t="inlineStr">
        <is>
          <t>PNCP_9T_12-08-2019</t>
        </is>
      </c>
      <c r="AC13" t="inlineStr">
        <is>
          <t>PNCP_4T_30-04-2013</t>
        </is>
      </c>
      <c r="AD13" t="inlineStr">
        <is>
          <t>CERRO NAVIA 220</t>
        </is>
      </c>
      <c r="AE13" t="n">
        <v>111.133</v>
      </c>
      <c r="AF13" t="n">
        <v>1.072776031070834</v>
      </c>
      <c r="AG13" t="n">
        <v>119.220818660995</v>
      </c>
      <c r="AH13" t="n">
        <v>694.38</v>
      </c>
      <c r="AI13" t="n">
        <v>0.875</v>
      </c>
      <c r="AJ13" t="n">
        <v>72.43648305409401</v>
      </c>
      <c r="AK13" t="n">
        <v>1.0051</v>
      </c>
      <c r="AL13" t="n">
        <v>72.806</v>
      </c>
      <c r="AM13" t="n">
        <v>8.9176</v>
      </c>
      <c r="AN13" t="n">
        <v>9.566587534677272</v>
      </c>
      <c r="AO13" t="n">
        <v>0.913</v>
      </c>
      <c r="AP13" t="n">
        <v>6064.919358776563</v>
      </c>
      <c r="AQ13" t="n">
        <v>0.9896251345796222</v>
      </c>
      <c r="AR13" t="n">
        <v>6001.9966</v>
      </c>
      <c r="AT13" t="inlineStr">
        <is>
          <t>PNP_19T_30-12-2020</t>
        </is>
      </c>
      <c r="AU13" t="inlineStr">
        <is>
          <t>PNCP_12T_10-08-2020</t>
        </is>
      </c>
      <c r="AV13" t="inlineStr">
        <is>
          <t>PNCP_4T_30-04-2013</t>
        </is>
      </c>
      <c r="AW13" t="inlineStr">
        <is>
          <t>CERRO NAVIA 220</t>
        </is>
      </c>
      <c r="AX13" t="n">
        <v>111.133</v>
      </c>
      <c r="AY13" t="n">
        <v>1.083385174100913</v>
      </c>
      <c r="AZ13" t="n">
        <v>120.3998445533567</v>
      </c>
      <c r="BA13" t="n">
        <v>801.49</v>
      </c>
      <c r="BB13" t="n">
        <v>0.905</v>
      </c>
      <c r="BC13" t="n">
        <v>87.33184062701827</v>
      </c>
      <c r="BD13" t="n">
        <v>0.9953</v>
      </c>
      <c r="BE13" t="n">
        <v>86.92100000000001</v>
      </c>
      <c r="BF13" t="n">
        <v>8.9176</v>
      </c>
      <c r="BG13" t="n">
        <v>0.77</v>
      </c>
      <c r="BH13" t="n">
        <v>5962.380796939026</v>
      </c>
      <c r="BI13" t="n">
        <v>0.9890378780463932</v>
      </c>
      <c r="BJ13" t="n">
        <v>5897.0205</v>
      </c>
    </row>
    <row r="14">
      <c r="A14" t="n">
        <v>2180</v>
      </c>
      <c r="B14" t="inlineStr">
        <is>
          <t>01-01-2021</t>
        </is>
      </c>
      <c r="C14" t="n">
        <v>2021</v>
      </c>
      <c r="D14" t="n">
        <v>1</v>
      </c>
      <c r="E14" t="inlineStr">
        <is>
          <t>CAREN</t>
        </is>
      </c>
      <c r="F14" t="inlineStr">
        <is>
          <t>SUM_EEPA_C</t>
        </is>
      </c>
      <c r="G14" t="inlineStr">
        <is>
          <t>C</t>
        </is>
      </c>
      <c r="H14" t="inlineStr">
        <is>
          <t>EEPA</t>
        </is>
      </c>
      <c r="I14" t="inlineStr">
        <is>
          <t>EEPAPTEAC</t>
        </is>
      </c>
      <c r="J14" t="inlineStr">
        <is>
          <t>P.ALTO</t>
        </is>
      </c>
      <c r="K14" t="n">
        <v>-2754.90884354</v>
      </c>
      <c r="L14" t="inlineStr">
        <is>
          <t>PUENTE ALTO</t>
        </is>
      </c>
      <c r="M14" t="inlineStr">
        <is>
          <t>CHENA</t>
        </is>
      </c>
      <c r="N14" t="n">
        <v>0.18022957546229</v>
      </c>
      <c r="O14" t="n">
        <v>496.516051</v>
      </c>
      <c r="P14" t="inlineStr">
        <is>
          <t>BS1C</t>
        </is>
      </c>
      <c r="Q14" t="n">
        <v>2</v>
      </c>
      <c r="W14" t="n">
        <v>2</v>
      </c>
      <c r="X14" t="n">
        <v>0</v>
      </c>
      <c r="AA14" t="inlineStr">
        <is>
          <t>PNP_6T_08-05-2020</t>
        </is>
      </c>
      <c r="AB14" t="inlineStr">
        <is>
          <t>PNCP_9T_12-08-2019</t>
        </is>
      </c>
      <c r="AC14" t="inlineStr">
        <is>
          <t>PNCP_4T_30-04-2013</t>
        </is>
      </c>
      <c r="AD14" t="inlineStr">
        <is>
          <t>CHENA 220</t>
        </is>
      </c>
      <c r="AE14" t="n">
        <v>111.133</v>
      </c>
      <c r="AF14" t="n">
        <v>1.072776031070834</v>
      </c>
      <c r="AG14" t="n">
        <v>119.220818660995</v>
      </c>
      <c r="AH14" t="n">
        <v>694.38</v>
      </c>
      <c r="AI14" t="n">
        <v>0.875</v>
      </c>
      <c r="AJ14" t="n">
        <v>72.43648305409401</v>
      </c>
      <c r="AK14" t="n">
        <v>0.9989</v>
      </c>
      <c r="AL14" t="n">
        <v>72.357</v>
      </c>
      <c r="AM14" t="n">
        <v>8.9176</v>
      </c>
      <c r="AN14" t="n">
        <v>9.566587534677272</v>
      </c>
      <c r="AO14" t="n">
        <v>0.913</v>
      </c>
      <c r="AP14" t="n">
        <v>6064.919358776563</v>
      </c>
      <c r="AQ14" t="n">
        <v>0.9923529411764705</v>
      </c>
      <c r="AR14" t="n">
        <v>6018.5406</v>
      </c>
      <c r="AT14" t="inlineStr">
        <is>
          <t>PNP_19T_30-12-2020</t>
        </is>
      </c>
      <c r="AU14" t="inlineStr">
        <is>
          <t>PNCP_12T_10-08-2020</t>
        </is>
      </c>
      <c r="AV14" t="inlineStr">
        <is>
          <t>PNCP_4T_30-04-2013</t>
        </is>
      </c>
      <c r="AW14" t="inlineStr">
        <is>
          <t>CHENA 220</t>
        </is>
      </c>
      <c r="AX14" t="n">
        <v>111.133</v>
      </c>
      <c r="AY14" t="n">
        <v>1.083385174100913</v>
      </c>
      <c r="AZ14" t="n">
        <v>120.3998445533567</v>
      </c>
      <c r="BA14" t="n">
        <v>801.49</v>
      </c>
      <c r="BB14" t="n">
        <v>0.905</v>
      </c>
      <c r="BC14" t="n">
        <v>87.33184062701827</v>
      </c>
      <c r="BD14" t="n">
        <v>0.9893</v>
      </c>
      <c r="BE14" t="n">
        <v>86.39700000000001</v>
      </c>
      <c r="BF14" t="n">
        <v>8.9176</v>
      </c>
      <c r="BG14" t="n">
        <v>0.77</v>
      </c>
      <c r="BH14" t="n">
        <v>5962.380796939026</v>
      </c>
      <c r="BI14" t="n">
        <v>0.9908823529411764</v>
      </c>
      <c r="BJ14" t="n">
        <v>5908.0179</v>
      </c>
    </row>
    <row r="15">
      <c r="A15" t="n">
        <v>2182</v>
      </c>
      <c r="B15" t="inlineStr">
        <is>
          <t>01-01-2021</t>
        </is>
      </c>
      <c r="C15" t="n">
        <v>2021</v>
      </c>
      <c r="D15" t="n">
        <v>1</v>
      </c>
      <c r="E15" t="inlineStr">
        <is>
          <t>CAREN</t>
        </is>
      </c>
      <c r="F15" t="inlineStr">
        <is>
          <t>SUM_EEPA_C</t>
        </is>
      </c>
      <c r="G15" t="inlineStr">
        <is>
          <t>C</t>
        </is>
      </c>
      <c r="H15" t="inlineStr">
        <is>
          <t>EEPA</t>
        </is>
      </c>
      <c r="I15" t="inlineStr">
        <is>
          <t>EEPAPTEAC</t>
        </is>
      </c>
      <c r="J15" t="inlineStr">
        <is>
          <t>P.ALTO</t>
        </is>
      </c>
      <c r="K15" t="n">
        <v>-2754.90884354</v>
      </c>
      <c r="L15" t="inlineStr">
        <is>
          <t>PUENTE ALTO</t>
        </is>
      </c>
      <c r="M15" t="inlineStr">
        <is>
          <t>POLPAICO</t>
        </is>
      </c>
      <c r="N15" t="n">
        <v>0.15806680720659</v>
      </c>
      <c r="O15" t="n">
        <v>435.459645</v>
      </c>
      <c r="P15" t="inlineStr">
        <is>
          <t>BS1C</t>
        </is>
      </c>
      <c r="Q15" t="n">
        <v>2</v>
      </c>
      <c r="W15" t="n">
        <v>2</v>
      </c>
      <c r="X15" t="n">
        <v>0</v>
      </c>
      <c r="AA15" t="inlineStr">
        <is>
          <t>PNP_6T_08-05-2020</t>
        </is>
      </c>
      <c r="AB15" t="inlineStr">
        <is>
          <t>PNCP_9T_12-08-2019</t>
        </is>
      </c>
      <c r="AC15" t="inlineStr">
        <is>
          <t>PNCP_4T_30-04-2013</t>
        </is>
      </c>
      <c r="AD15" t="inlineStr">
        <is>
          <t>POLPAICO 220</t>
        </is>
      </c>
      <c r="AE15" t="n">
        <v>111.133</v>
      </c>
      <c r="AF15" t="n">
        <v>1.072776031070834</v>
      </c>
      <c r="AG15" t="n">
        <v>119.220818660995</v>
      </c>
      <c r="AH15" t="n">
        <v>694.38</v>
      </c>
      <c r="AI15" t="n">
        <v>0.875</v>
      </c>
      <c r="AJ15" t="n">
        <v>72.43648305409401</v>
      </c>
      <c r="AK15" t="n">
        <v>1</v>
      </c>
      <c r="AL15" t="n">
        <v>72.43600000000001</v>
      </c>
      <c r="AM15" t="n">
        <v>8.9176</v>
      </c>
      <c r="AN15" t="n">
        <v>9.566587534677272</v>
      </c>
      <c r="AO15" t="n">
        <v>0.913</v>
      </c>
      <c r="AP15" t="n">
        <v>6064.919358776563</v>
      </c>
      <c r="AQ15" t="n">
        <v>1</v>
      </c>
      <c r="AR15" t="n">
        <v>6064.9194</v>
      </c>
      <c r="AT15" t="inlineStr">
        <is>
          <t>PNP_19T_30-12-2020</t>
        </is>
      </c>
      <c r="AU15" t="inlineStr">
        <is>
          <t>PNCP_12T_10-08-2020</t>
        </is>
      </c>
      <c r="AV15" t="inlineStr">
        <is>
          <t>PNCP_4T_30-04-2013</t>
        </is>
      </c>
      <c r="AW15" t="inlineStr">
        <is>
          <t>POLPAICO 220</t>
        </is>
      </c>
      <c r="AX15" t="n">
        <v>111.133</v>
      </c>
      <c r="AY15" t="n">
        <v>1.083385174100913</v>
      </c>
      <c r="AZ15" t="n">
        <v>120.3998445533567</v>
      </c>
      <c r="BA15" t="n">
        <v>801.49</v>
      </c>
      <c r="BB15" t="n">
        <v>0.905</v>
      </c>
      <c r="BC15" t="n">
        <v>87.33184062701827</v>
      </c>
      <c r="BD15" t="n">
        <v>1</v>
      </c>
      <c r="BE15" t="n">
        <v>87.33199999999999</v>
      </c>
      <c r="BF15" t="n">
        <v>8.9176</v>
      </c>
      <c r="BG15" t="n">
        <v>0.77</v>
      </c>
      <c r="BH15" t="n">
        <v>5962.380796939026</v>
      </c>
      <c r="BI15" t="n">
        <v>1</v>
      </c>
      <c r="BJ15" t="n">
        <v>5962.3808</v>
      </c>
    </row>
    <row r="16">
      <c r="A16" t="n">
        <v>2184</v>
      </c>
      <c r="B16" t="inlineStr">
        <is>
          <t>01-01-2021</t>
        </is>
      </c>
      <c r="C16" t="n">
        <v>2021</v>
      </c>
      <c r="D16" t="n">
        <v>1</v>
      </c>
      <c r="E16" t="inlineStr">
        <is>
          <t>CAREN</t>
        </is>
      </c>
      <c r="F16" t="inlineStr">
        <is>
          <t>SUM_EEPA_C</t>
        </is>
      </c>
      <c r="G16" t="inlineStr">
        <is>
          <t>C</t>
        </is>
      </c>
      <c r="H16" t="inlineStr">
        <is>
          <t>EEPA</t>
        </is>
      </c>
      <c r="I16" t="inlineStr">
        <is>
          <t>EEPAPTEAC</t>
        </is>
      </c>
      <c r="J16" t="inlineStr">
        <is>
          <t>P.ALTO</t>
        </is>
      </c>
      <c r="K16" t="n">
        <v>-2754.90884354</v>
      </c>
      <c r="L16" t="inlineStr">
        <is>
          <t>PUENTE ALTO</t>
        </is>
      </c>
      <c r="M16" t="inlineStr">
        <is>
          <t>QUILLOTA</t>
        </is>
      </c>
      <c r="N16" t="n">
        <v>0.00052325762944</v>
      </c>
      <c r="O16" t="n">
        <v>1.441527</v>
      </c>
      <c r="P16" t="inlineStr">
        <is>
          <t>BS1C</t>
        </is>
      </c>
      <c r="Q16" t="n">
        <v>2</v>
      </c>
      <c r="W16" t="n">
        <v>2</v>
      </c>
      <c r="X16" t="n">
        <v>0</v>
      </c>
      <c r="AA16" t="inlineStr">
        <is>
          <t>PNP_6T_08-05-2020</t>
        </is>
      </c>
      <c r="AB16" t="inlineStr">
        <is>
          <t>PNCP_9T_12-08-2019</t>
        </is>
      </c>
      <c r="AC16" t="inlineStr">
        <is>
          <t>PNCP_4T_30-04-2013</t>
        </is>
      </c>
      <c r="AD16" t="inlineStr">
        <is>
          <t>QUILLOTA 220</t>
        </is>
      </c>
      <c r="AE16" t="n">
        <v>111.133</v>
      </c>
      <c r="AF16" t="n">
        <v>1.072776031070834</v>
      </c>
      <c r="AG16" t="n">
        <v>119.220818660995</v>
      </c>
      <c r="AH16" t="n">
        <v>694.38</v>
      </c>
      <c r="AI16" t="n">
        <v>0.875</v>
      </c>
      <c r="AJ16" t="n">
        <v>72.43648305409401</v>
      </c>
      <c r="AK16" t="n">
        <v>1.0077</v>
      </c>
      <c r="AL16" t="n">
        <v>72.994</v>
      </c>
      <c r="AM16" t="n">
        <v>8.9176</v>
      </c>
      <c r="AN16" t="n">
        <v>9.566587534677272</v>
      </c>
      <c r="AO16" t="n">
        <v>0.913</v>
      </c>
      <c r="AP16" t="n">
        <v>6064.919358776563</v>
      </c>
      <c r="AQ16" t="n">
        <v>1.025526742301459</v>
      </c>
      <c r="AR16" t="n">
        <v>6219.737</v>
      </c>
      <c r="AT16" t="inlineStr">
        <is>
          <t>PNP_19T_30-12-2020</t>
        </is>
      </c>
      <c r="AU16" t="inlineStr">
        <is>
          <t>PNCP_12T_10-08-2020</t>
        </is>
      </c>
      <c r="AV16" t="inlineStr">
        <is>
          <t>PNCP_4T_30-04-2013</t>
        </is>
      </c>
      <c r="AW16" t="inlineStr">
        <is>
          <t>QUILLOTA 220</t>
        </is>
      </c>
      <c r="AX16" t="n">
        <v>111.133</v>
      </c>
      <c r="AY16" t="n">
        <v>1.083385174100913</v>
      </c>
      <c r="AZ16" t="n">
        <v>120.3998445533567</v>
      </c>
      <c r="BA16" t="n">
        <v>801.49</v>
      </c>
      <c r="BB16" t="n">
        <v>0.905</v>
      </c>
      <c r="BC16" t="n">
        <v>87.33184062701827</v>
      </c>
      <c r="BD16" t="n">
        <v>1.0154</v>
      </c>
      <c r="BE16" t="n">
        <v>88.67700000000001</v>
      </c>
      <c r="BF16" t="n">
        <v>8.9176</v>
      </c>
      <c r="BG16" t="n">
        <v>0.77</v>
      </c>
      <c r="BH16" t="n">
        <v>5962.380796939026</v>
      </c>
      <c r="BI16" t="n">
        <v>1.01509319286872</v>
      </c>
      <c r="BJ16" t="n">
        <v>6052.3722</v>
      </c>
    </row>
    <row r="17">
      <c r="A17" t="n">
        <v>91</v>
      </c>
      <c r="B17" t="inlineStr">
        <is>
          <t>01-02-2021</t>
        </is>
      </c>
      <c r="C17" t="n">
        <v>2021</v>
      </c>
      <c r="D17" t="n">
        <v>1</v>
      </c>
      <c r="E17" t="inlineStr">
        <is>
          <t>CAREN</t>
        </is>
      </c>
      <c r="F17" t="inlineStr">
        <is>
          <t>SUM_EEPA_C</t>
        </is>
      </c>
      <c r="G17" t="inlineStr">
        <is>
          <t>C</t>
        </is>
      </c>
      <c r="H17" t="inlineStr">
        <is>
          <t>EEPA</t>
        </is>
      </c>
      <c r="I17" t="inlineStr">
        <is>
          <t>EEPACOSTC</t>
        </is>
      </c>
      <c r="J17" t="inlineStr">
        <is>
          <t>COSTANERA</t>
        </is>
      </c>
      <c r="K17" t="n">
        <v>-1350.07810826</v>
      </c>
      <c r="L17" t="inlineStr">
        <is>
          <t>COSTANERA</t>
        </is>
      </c>
      <c r="M17" t="inlineStr">
        <is>
          <t>ALTO JAHUEL</t>
        </is>
      </c>
      <c r="N17" t="n">
        <v>0.47916568150411</v>
      </c>
      <c r="O17" t="n">
        <v>646.911097</v>
      </c>
      <c r="P17" t="inlineStr">
        <is>
          <t>BS1C</t>
        </is>
      </c>
      <c r="Q17" t="n">
        <v>2</v>
      </c>
      <c r="W17" t="n">
        <v>2</v>
      </c>
      <c r="X17" t="n">
        <v>0</v>
      </c>
      <c r="AA17" t="inlineStr">
        <is>
          <t>PNP_6T_08-05-2020</t>
        </is>
      </c>
      <c r="AB17" t="inlineStr">
        <is>
          <t>PNCP_9T_12-08-2019</t>
        </is>
      </c>
      <c r="AC17" t="inlineStr">
        <is>
          <t>PNCP_4T_30-04-2013</t>
        </is>
      </c>
      <c r="AD17" t="inlineStr">
        <is>
          <t>ALTO JAHUEL 220</t>
        </is>
      </c>
      <c r="AE17" t="n">
        <v>111.133</v>
      </c>
      <c r="AF17" t="n">
        <v>1.072776031070834</v>
      </c>
      <c r="AG17" t="n">
        <v>119.220818660995</v>
      </c>
      <c r="AH17" t="n">
        <v>694.38</v>
      </c>
      <c r="AI17" t="n">
        <v>0.875</v>
      </c>
      <c r="AJ17" t="n">
        <v>72.43648305409401</v>
      </c>
      <c r="AK17" t="n">
        <v>0.9827</v>
      </c>
      <c r="AL17" t="n">
        <v>71.18300000000001</v>
      </c>
      <c r="AM17" t="n">
        <v>8.9176</v>
      </c>
      <c r="AN17" t="n">
        <v>9.566587534677272</v>
      </c>
      <c r="AO17" t="n">
        <v>0.913</v>
      </c>
      <c r="AP17" t="n">
        <v>6064.919358776563</v>
      </c>
      <c r="AQ17" t="n">
        <v>0.9936514234698939</v>
      </c>
      <c r="AR17" t="n">
        <v>6026.4158</v>
      </c>
      <c r="AT17" t="inlineStr">
        <is>
          <t>PNP_19T_30-12-2020</t>
        </is>
      </c>
      <c r="AU17" t="inlineStr">
        <is>
          <t>PNCP_12T_10-08-2020</t>
        </is>
      </c>
      <c r="AV17" t="inlineStr">
        <is>
          <t>PNCP_4T_30-04-2013</t>
        </is>
      </c>
      <c r="AW17" t="inlineStr">
        <is>
          <t>ALTO JAHUEL 220</t>
        </is>
      </c>
      <c r="AX17" t="n">
        <v>111.133</v>
      </c>
      <c r="AY17" t="n">
        <v>1.083385174100913</v>
      </c>
      <c r="AZ17" t="n">
        <v>120.3998445533567</v>
      </c>
      <c r="BA17" t="n">
        <v>801.49</v>
      </c>
      <c r="BB17" t="n">
        <v>0.905</v>
      </c>
      <c r="BC17" t="n">
        <v>87.33184062701827</v>
      </c>
      <c r="BD17" t="n">
        <v>0.9752999999999999</v>
      </c>
      <c r="BE17" t="n">
        <v>85.175</v>
      </c>
      <c r="BF17" t="n">
        <v>8.9176</v>
      </c>
      <c r="BG17" t="n">
        <v>0.77</v>
      </c>
      <c r="BH17" t="n">
        <v>5962.380796939026</v>
      </c>
      <c r="BI17" t="n">
        <v>0.9846245412161493</v>
      </c>
      <c r="BJ17" t="n">
        <v>5870.7065</v>
      </c>
    </row>
    <row r="18">
      <c r="A18" t="n">
        <v>93</v>
      </c>
      <c r="B18" t="inlineStr">
        <is>
          <t>01-02-2021</t>
        </is>
      </c>
      <c r="C18" t="n">
        <v>2021</v>
      </c>
      <c r="D18" t="n">
        <v>1</v>
      </c>
      <c r="E18" t="inlineStr">
        <is>
          <t>CAREN</t>
        </is>
      </c>
      <c r="F18" t="inlineStr">
        <is>
          <t>SUM_EEPA_C</t>
        </is>
      </c>
      <c r="G18" t="inlineStr">
        <is>
          <t>C</t>
        </is>
      </c>
      <c r="H18" t="inlineStr">
        <is>
          <t>EEPA</t>
        </is>
      </c>
      <c r="I18" t="inlineStr">
        <is>
          <t>EEPACOSTC</t>
        </is>
      </c>
      <c r="J18" t="inlineStr">
        <is>
          <t>COSTANERA</t>
        </is>
      </c>
      <c r="K18" t="n">
        <v>-1350.07810826</v>
      </c>
      <c r="L18" t="inlineStr">
        <is>
          <t>COSTANERA</t>
        </is>
      </c>
      <c r="M18" t="inlineStr">
        <is>
          <t>CERRO NAVIA</t>
        </is>
      </c>
      <c r="N18" t="n">
        <v>0.19609494774531</v>
      </c>
      <c r="O18" t="n">
        <v>264.743496</v>
      </c>
      <c r="P18" t="inlineStr">
        <is>
          <t>BS1C</t>
        </is>
      </c>
      <c r="Q18" t="n">
        <v>2</v>
      </c>
      <c r="W18" t="n">
        <v>2</v>
      </c>
      <c r="X18" t="n">
        <v>0</v>
      </c>
      <c r="AA18" t="inlineStr">
        <is>
          <t>PNP_6T_08-05-2020</t>
        </is>
      </c>
      <c r="AB18" t="inlineStr">
        <is>
          <t>PNCP_9T_12-08-2019</t>
        </is>
      </c>
      <c r="AC18" t="inlineStr">
        <is>
          <t>PNCP_4T_30-04-2013</t>
        </is>
      </c>
      <c r="AD18" t="inlineStr">
        <is>
          <t>CERRO NAVIA 220</t>
        </is>
      </c>
      <c r="AE18" t="n">
        <v>111.133</v>
      </c>
      <c r="AF18" t="n">
        <v>1.072776031070834</v>
      </c>
      <c r="AG18" t="n">
        <v>119.220818660995</v>
      </c>
      <c r="AH18" t="n">
        <v>694.38</v>
      </c>
      <c r="AI18" t="n">
        <v>0.875</v>
      </c>
      <c r="AJ18" t="n">
        <v>72.43648305409401</v>
      </c>
      <c r="AK18" t="n">
        <v>1.0051</v>
      </c>
      <c r="AL18" t="n">
        <v>72.806</v>
      </c>
      <c r="AM18" t="n">
        <v>8.9176</v>
      </c>
      <c r="AN18" t="n">
        <v>9.566587534677272</v>
      </c>
      <c r="AO18" t="n">
        <v>0.913</v>
      </c>
      <c r="AP18" t="n">
        <v>6064.919358776563</v>
      </c>
      <c r="AQ18" t="n">
        <v>0.9896251345796222</v>
      </c>
      <c r="AR18" t="n">
        <v>6001.9966</v>
      </c>
      <c r="AT18" t="inlineStr">
        <is>
          <t>PNP_19T_30-12-2020</t>
        </is>
      </c>
      <c r="AU18" t="inlineStr">
        <is>
          <t>PNCP_12T_10-08-2020</t>
        </is>
      </c>
      <c r="AV18" t="inlineStr">
        <is>
          <t>PNCP_4T_30-04-2013</t>
        </is>
      </c>
      <c r="AW18" t="inlineStr">
        <is>
          <t>CERRO NAVIA 220</t>
        </is>
      </c>
      <c r="AX18" t="n">
        <v>111.133</v>
      </c>
      <c r="AY18" t="n">
        <v>1.083385174100913</v>
      </c>
      <c r="AZ18" t="n">
        <v>120.3998445533567</v>
      </c>
      <c r="BA18" t="n">
        <v>801.49</v>
      </c>
      <c r="BB18" t="n">
        <v>0.905</v>
      </c>
      <c r="BC18" t="n">
        <v>87.33184062701827</v>
      </c>
      <c r="BD18" t="n">
        <v>0.9953</v>
      </c>
      <c r="BE18" t="n">
        <v>86.92100000000001</v>
      </c>
      <c r="BF18" t="n">
        <v>8.9176</v>
      </c>
      <c r="BG18" t="n">
        <v>0.77</v>
      </c>
      <c r="BH18" t="n">
        <v>5962.380796939026</v>
      </c>
      <c r="BI18" t="n">
        <v>0.9890378780463932</v>
      </c>
      <c r="BJ18" t="n">
        <v>5897.0205</v>
      </c>
    </row>
    <row r="19">
      <c r="A19" t="n">
        <v>95</v>
      </c>
      <c r="B19" t="inlineStr">
        <is>
          <t>01-02-2021</t>
        </is>
      </c>
      <c r="C19" t="n">
        <v>2021</v>
      </c>
      <c r="D19" t="n">
        <v>1</v>
      </c>
      <c r="E19" t="inlineStr">
        <is>
          <t>CAREN</t>
        </is>
      </c>
      <c r="F19" t="inlineStr">
        <is>
          <t>SUM_EEPA_C</t>
        </is>
      </c>
      <c r="G19" t="inlineStr">
        <is>
          <t>C</t>
        </is>
      </c>
      <c r="H19" t="inlineStr">
        <is>
          <t>EEPA</t>
        </is>
      </c>
      <c r="I19" t="inlineStr">
        <is>
          <t>EEPACOSTC</t>
        </is>
      </c>
      <c r="J19" t="inlineStr">
        <is>
          <t>COSTANERA</t>
        </is>
      </c>
      <c r="K19" t="n">
        <v>-1350.07810826</v>
      </c>
      <c r="L19" t="inlineStr">
        <is>
          <t>COSTANERA</t>
        </is>
      </c>
      <c r="M19" t="inlineStr">
        <is>
          <t>CHENA</t>
        </is>
      </c>
      <c r="N19" t="n">
        <v>0.18034246662267</v>
      </c>
      <c r="O19" t="n">
        <v>243.476416</v>
      </c>
      <c r="P19" t="inlineStr">
        <is>
          <t>BS1C</t>
        </is>
      </c>
      <c r="Q19" t="n">
        <v>2</v>
      </c>
      <c r="W19" t="n">
        <v>2</v>
      </c>
      <c r="X19" t="n">
        <v>0</v>
      </c>
      <c r="AA19" t="inlineStr">
        <is>
          <t>PNP_6T_08-05-2020</t>
        </is>
      </c>
      <c r="AB19" t="inlineStr">
        <is>
          <t>PNCP_9T_12-08-2019</t>
        </is>
      </c>
      <c r="AC19" t="inlineStr">
        <is>
          <t>PNCP_4T_30-04-2013</t>
        </is>
      </c>
      <c r="AD19" t="inlineStr">
        <is>
          <t>CHENA 220</t>
        </is>
      </c>
      <c r="AE19" t="n">
        <v>111.133</v>
      </c>
      <c r="AF19" t="n">
        <v>1.072776031070834</v>
      </c>
      <c r="AG19" t="n">
        <v>119.220818660995</v>
      </c>
      <c r="AH19" t="n">
        <v>694.38</v>
      </c>
      <c r="AI19" t="n">
        <v>0.875</v>
      </c>
      <c r="AJ19" t="n">
        <v>72.43648305409401</v>
      </c>
      <c r="AK19" t="n">
        <v>0.9989</v>
      </c>
      <c r="AL19" t="n">
        <v>72.357</v>
      </c>
      <c r="AM19" t="n">
        <v>8.9176</v>
      </c>
      <c r="AN19" t="n">
        <v>9.566587534677272</v>
      </c>
      <c r="AO19" t="n">
        <v>0.913</v>
      </c>
      <c r="AP19" t="n">
        <v>6064.919358776563</v>
      </c>
      <c r="AQ19" t="n">
        <v>0.9923529411764705</v>
      </c>
      <c r="AR19" t="n">
        <v>6018.5406</v>
      </c>
      <c r="AT19" t="inlineStr">
        <is>
          <t>PNP_19T_30-12-2020</t>
        </is>
      </c>
      <c r="AU19" t="inlineStr">
        <is>
          <t>PNCP_12T_10-08-2020</t>
        </is>
      </c>
      <c r="AV19" t="inlineStr">
        <is>
          <t>PNCP_4T_30-04-2013</t>
        </is>
      </c>
      <c r="AW19" t="inlineStr">
        <is>
          <t>CHENA 220</t>
        </is>
      </c>
      <c r="AX19" t="n">
        <v>111.133</v>
      </c>
      <c r="AY19" t="n">
        <v>1.083385174100913</v>
      </c>
      <c r="AZ19" t="n">
        <v>120.3998445533567</v>
      </c>
      <c r="BA19" t="n">
        <v>801.49</v>
      </c>
      <c r="BB19" t="n">
        <v>0.905</v>
      </c>
      <c r="BC19" t="n">
        <v>87.33184062701827</v>
      </c>
      <c r="BD19" t="n">
        <v>0.9893</v>
      </c>
      <c r="BE19" t="n">
        <v>86.39700000000001</v>
      </c>
      <c r="BF19" t="n">
        <v>8.9176</v>
      </c>
      <c r="BG19" t="n">
        <v>0.77</v>
      </c>
      <c r="BH19" t="n">
        <v>5962.380796939026</v>
      </c>
      <c r="BI19" t="n">
        <v>0.9908823529411764</v>
      </c>
      <c r="BJ19" t="n">
        <v>5908.0179</v>
      </c>
    </row>
    <row r="20">
      <c r="A20" t="n">
        <v>97</v>
      </c>
      <c r="B20" t="inlineStr">
        <is>
          <t>01-02-2021</t>
        </is>
      </c>
      <c r="C20" t="n">
        <v>2021</v>
      </c>
      <c r="D20" t="n">
        <v>1</v>
      </c>
      <c r="E20" t="inlineStr">
        <is>
          <t>CAREN</t>
        </is>
      </c>
      <c r="F20" t="inlineStr">
        <is>
          <t>SUM_EEPA_C</t>
        </is>
      </c>
      <c r="G20" t="inlineStr">
        <is>
          <t>C</t>
        </is>
      </c>
      <c r="H20" t="inlineStr">
        <is>
          <t>EEPA</t>
        </is>
      </c>
      <c r="I20" t="inlineStr">
        <is>
          <t>EEPACOSTC</t>
        </is>
      </c>
      <c r="J20" t="inlineStr">
        <is>
          <t>COSTANERA</t>
        </is>
      </c>
      <c r="K20" t="n">
        <v>-1350.07810826</v>
      </c>
      <c r="L20" t="inlineStr">
        <is>
          <t>COSTANERA</t>
        </is>
      </c>
      <c r="M20" t="inlineStr">
        <is>
          <t>POLPAICO</t>
        </is>
      </c>
      <c r="N20" t="n">
        <v>0.15818216643697</v>
      </c>
      <c r="O20" t="n">
        <v>213.55828</v>
      </c>
      <c r="P20" t="inlineStr">
        <is>
          <t>BS1C</t>
        </is>
      </c>
      <c r="Q20" t="n">
        <v>2</v>
      </c>
      <c r="W20" t="n">
        <v>2</v>
      </c>
      <c r="X20" t="n">
        <v>0</v>
      </c>
      <c r="AA20" t="inlineStr">
        <is>
          <t>PNP_6T_08-05-2020</t>
        </is>
      </c>
      <c r="AB20" t="inlineStr">
        <is>
          <t>PNCP_9T_12-08-2019</t>
        </is>
      </c>
      <c r="AC20" t="inlineStr">
        <is>
          <t>PNCP_4T_30-04-2013</t>
        </is>
      </c>
      <c r="AD20" t="inlineStr">
        <is>
          <t>POLPAICO 220</t>
        </is>
      </c>
      <c r="AE20" t="n">
        <v>111.133</v>
      </c>
      <c r="AF20" t="n">
        <v>1.072776031070834</v>
      </c>
      <c r="AG20" t="n">
        <v>119.220818660995</v>
      </c>
      <c r="AH20" t="n">
        <v>694.38</v>
      </c>
      <c r="AI20" t="n">
        <v>0.875</v>
      </c>
      <c r="AJ20" t="n">
        <v>72.43648305409401</v>
      </c>
      <c r="AK20" t="n">
        <v>1</v>
      </c>
      <c r="AL20" t="n">
        <v>72.43600000000001</v>
      </c>
      <c r="AM20" t="n">
        <v>8.9176</v>
      </c>
      <c r="AN20" t="n">
        <v>9.566587534677272</v>
      </c>
      <c r="AO20" t="n">
        <v>0.913</v>
      </c>
      <c r="AP20" t="n">
        <v>6064.919358776563</v>
      </c>
      <c r="AQ20" t="n">
        <v>1</v>
      </c>
      <c r="AR20" t="n">
        <v>6064.9194</v>
      </c>
      <c r="AT20" t="inlineStr">
        <is>
          <t>PNP_19T_30-12-2020</t>
        </is>
      </c>
      <c r="AU20" t="inlineStr">
        <is>
          <t>PNCP_12T_10-08-2020</t>
        </is>
      </c>
      <c r="AV20" t="inlineStr">
        <is>
          <t>PNCP_4T_30-04-2013</t>
        </is>
      </c>
      <c r="AW20" t="inlineStr">
        <is>
          <t>POLPAICO 220</t>
        </is>
      </c>
      <c r="AX20" t="n">
        <v>111.133</v>
      </c>
      <c r="AY20" t="n">
        <v>1.083385174100913</v>
      </c>
      <c r="AZ20" t="n">
        <v>120.3998445533567</v>
      </c>
      <c r="BA20" t="n">
        <v>801.49</v>
      </c>
      <c r="BB20" t="n">
        <v>0.905</v>
      </c>
      <c r="BC20" t="n">
        <v>87.33184062701827</v>
      </c>
      <c r="BD20" t="n">
        <v>1</v>
      </c>
      <c r="BE20" t="n">
        <v>87.33199999999999</v>
      </c>
      <c r="BF20" t="n">
        <v>8.9176</v>
      </c>
      <c r="BG20" t="n">
        <v>0.77</v>
      </c>
      <c r="BH20" t="n">
        <v>5962.380796939026</v>
      </c>
      <c r="BI20" t="n">
        <v>1</v>
      </c>
      <c r="BJ20" t="n">
        <v>5962.3808</v>
      </c>
    </row>
    <row r="21">
      <c r="A21" t="n">
        <v>99</v>
      </c>
      <c r="B21" t="inlineStr">
        <is>
          <t>01-02-2021</t>
        </is>
      </c>
      <c r="C21" t="n">
        <v>2021</v>
      </c>
      <c r="D21" t="n">
        <v>1</v>
      </c>
      <c r="E21" t="inlineStr">
        <is>
          <t>CAREN</t>
        </is>
      </c>
      <c r="F21" t="inlineStr">
        <is>
          <t>SUM_EEPA_C</t>
        </is>
      </c>
      <c r="G21" t="inlineStr">
        <is>
          <t>C</t>
        </is>
      </c>
      <c r="H21" t="inlineStr">
        <is>
          <t>EEPA</t>
        </is>
      </c>
      <c r="I21" t="inlineStr">
        <is>
          <t>EEPACOSTC</t>
        </is>
      </c>
      <c r="J21" t="inlineStr">
        <is>
          <t>COSTANERA</t>
        </is>
      </c>
      <c r="K21" t="n">
        <v>-1350.07810826</v>
      </c>
      <c r="L21" t="inlineStr">
        <is>
          <t>COSTANERA</t>
        </is>
      </c>
      <c r="M21" t="inlineStr">
        <is>
          <t>QUILLOTA</t>
        </is>
      </c>
      <c r="N21" t="n">
        <v>0.0008185282539</v>
      </c>
      <c r="O21" t="n">
        <v>1.105077</v>
      </c>
      <c r="P21" t="inlineStr">
        <is>
          <t>BS1C</t>
        </is>
      </c>
      <c r="Q21" t="n">
        <v>2</v>
      </c>
      <c r="W21" t="n">
        <v>2</v>
      </c>
      <c r="X21" t="n">
        <v>0</v>
      </c>
      <c r="AA21" t="inlineStr">
        <is>
          <t>PNP_6T_08-05-2020</t>
        </is>
      </c>
      <c r="AB21" t="inlineStr">
        <is>
          <t>PNCP_9T_12-08-2019</t>
        </is>
      </c>
      <c r="AC21" t="inlineStr">
        <is>
          <t>PNCP_4T_30-04-2013</t>
        </is>
      </c>
      <c r="AD21" t="inlineStr">
        <is>
          <t>QUILLOTA 220</t>
        </is>
      </c>
      <c r="AE21" t="n">
        <v>111.133</v>
      </c>
      <c r="AF21" t="n">
        <v>1.072776031070834</v>
      </c>
      <c r="AG21" t="n">
        <v>119.220818660995</v>
      </c>
      <c r="AH21" t="n">
        <v>694.38</v>
      </c>
      <c r="AI21" t="n">
        <v>0.875</v>
      </c>
      <c r="AJ21" t="n">
        <v>72.43648305409401</v>
      </c>
      <c r="AK21" t="n">
        <v>1.0077</v>
      </c>
      <c r="AL21" t="n">
        <v>72.994</v>
      </c>
      <c r="AM21" t="n">
        <v>8.9176</v>
      </c>
      <c r="AN21" t="n">
        <v>9.566587534677272</v>
      </c>
      <c r="AO21" t="n">
        <v>0.913</v>
      </c>
      <c r="AP21" t="n">
        <v>6064.919358776563</v>
      </c>
      <c r="AQ21" t="n">
        <v>1.025526742301459</v>
      </c>
      <c r="AR21" t="n">
        <v>6219.737</v>
      </c>
      <c r="AT21" t="inlineStr">
        <is>
          <t>PNP_19T_30-12-2020</t>
        </is>
      </c>
      <c r="AU21" t="inlineStr">
        <is>
          <t>PNCP_12T_10-08-2020</t>
        </is>
      </c>
      <c r="AV21" t="inlineStr">
        <is>
          <t>PNCP_4T_30-04-2013</t>
        </is>
      </c>
      <c r="AW21" t="inlineStr">
        <is>
          <t>QUILLOTA 220</t>
        </is>
      </c>
      <c r="AX21" t="n">
        <v>111.133</v>
      </c>
      <c r="AY21" t="n">
        <v>1.083385174100913</v>
      </c>
      <c r="AZ21" t="n">
        <v>120.3998445533567</v>
      </c>
      <c r="BA21" t="n">
        <v>801.49</v>
      </c>
      <c r="BB21" t="n">
        <v>0.905</v>
      </c>
      <c r="BC21" t="n">
        <v>87.33184062701827</v>
      </c>
      <c r="BD21" t="n">
        <v>1.0154</v>
      </c>
      <c r="BE21" t="n">
        <v>88.67700000000001</v>
      </c>
      <c r="BF21" t="n">
        <v>8.9176</v>
      </c>
      <c r="BG21" t="n">
        <v>0.77</v>
      </c>
      <c r="BH21" t="n">
        <v>5962.380796939026</v>
      </c>
      <c r="BI21" t="n">
        <v>1.01509319286872</v>
      </c>
      <c r="BJ21" t="n">
        <v>6052.3722</v>
      </c>
    </row>
    <row r="22">
      <c r="A22" t="n">
        <v>91</v>
      </c>
      <c r="B22" t="inlineStr">
        <is>
          <t>01-02-2021</t>
        </is>
      </c>
      <c r="C22" t="n">
        <v>2021</v>
      </c>
      <c r="D22" t="n">
        <v>1</v>
      </c>
      <c r="E22" t="inlineStr">
        <is>
          <t>CAREN</t>
        </is>
      </c>
      <c r="F22" t="inlineStr">
        <is>
          <t>SUM_EEPA_C</t>
        </is>
      </c>
      <c r="G22" t="inlineStr">
        <is>
          <t>C</t>
        </is>
      </c>
      <c r="H22" t="inlineStr">
        <is>
          <t>EEPA</t>
        </is>
      </c>
      <c r="I22" t="inlineStr">
        <is>
          <t>EEPAPINTC</t>
        </is>
      </c>
      <c r="J22" t="inlineStr">
        <is>
          <t>LA_PINTANA</t>
        </is>
      </c>
      <c r="K22" t="n">
        <v>-2189.78274094</v>
      </c>
      <c r="L22" t="inlineStr">
        <is>
          <t>LA PINTANA</t>
        </is>
      </c>
      <c r="M22" t="inlineStr">
        <is>
          <t>ALTO JAHUEL</t>
        </is>
      </c>
      <c r="N22" t="n">
        <v>0.57002694767702</v>
      </c>
      <c r="O22" t="n">
        <v>1248.235172</v>
      </c>
      <c r="P22" t="inlineStr">
        <is>
          <t>BS1C</t>
        </is>
      </c>
      <c r="Q22" t="n">
        <v>2</v>
      </c>
      <c r="W22" t="n">
        <v>2</v>
      </c>
      <c r="X22" t="n">
        <v>0</v>
      </c>
      <c r="AA22" t="inlineStr">
        <is>
          <t>PNP_6T_08-05-2020</t>
        </is>
      </c>
      <c r="AB22" t="inlineStr">
        <is>
          <t>PNCP_9T_12-08-2019</t>
        </is>
      </c>
      <c r="AC22" t="inlineStr">
        <is>
          <t>PNCP_4T_30-04-2013</t>
        </is>
      </c>
      <c r="AD22" t="inlineStr">
        <is>
          <t>ALTO JAHUEL 220</t>
        </is>
      </c>
      <c r="AE22" t="n">
        <v>111.133</v>
      </c>
      <c r="AF22" t="n">
        <v>1.072776031070834</v>
      </c>
      <c r="AG22" t="n">
        <v>119.220818660995</v>
      </c>
      <c r="AH22" t="n">
        <v>694.38</v>
      </c>
      <c r="AI22" t="n">
        <v>0.875</v>
      </c>
      <c r="AJ22" t="n">
        <v>72.43648305409401</v>
      </c>
      <c r="AK22" t="n">
        <v>0.9827</v>
      </c>
      <c r="AL22" t="n">
        <v>71.18300000000001</v>
      </c>
      <c r="AM22" t="n">
        <v>8.9176</v>
      </c>
      <c r="AN22" t="n">
        <v>9.566587534677272</v>
      </c>
      <c r="AO22" t="n">
        <v>0.913</v>
      </c>
      <c r="AP22" t="n">
        <v>6064.919358776563</v>
      </c>
      <c r="AQ22" t="n">
        <v>0.9936514234698939</v>
      </c>
      <c r="AR22" t="n">
        <v>6026.4158</v>
      </c>
      <c r="AT22" t="inlineStr">
        <is>
          <t>PNP_19T_30-12-2020</t>
        </is>
      </c>
      <c r="AU22" t="inlineStr">
        <is>
          <t>PNCP_12T_10-08-2020</t>
        </is>
      </c>
      <c r="AV22" t="inlineStr">
        <is>
          <t>PNCP_4T_30-04-2013</t>
        </is>
      </c>
      <c r="AW22" t="inlineStr">
        <is>
          <t>ALTO JAHUEL 220</t>
        </is>
      </c>
      <c r="AX22" t="n">
        <v>111.133</v>
      </c>
      <c r="AY22" t="n">
        <v>1.083385174100913</v>
      </c>
      <c r="AZ22" t="n">
        <v>120.3998445533567</v>
      </c>
      <c r="BA22" t="n">
        <v>801.49</v>
      </c>
      <c r="BB22" t="n">
        <v>0.905</v>
      </c>
      <c r="BC22" t="n">
        <v>87.33184062701827</v>
      </c>
      <c r="BD22" t="n">
        <v>0.9752999999999999</v>
      </c>
      <c r="BE22" t="n">
        <v>85.175</v>
      </c>
      <c r="BF22" t="n">
        <v>8.9176</v>
      </c>
      <c r="BG22" t="n">
        <v>0.77</v>
      </c>
      <c r="BH22" t="n">
        <v>5962.380796939026</v>
      </c>
      <c r="BI22" t="n">
        <v>0.9846245412161493</v>
      </c>
      <c r="BJ22" t="n">
        <v>5870.7065</v>
      </c>
    </row>
    <row r="23">
      <c r="A23" t="n">
        <v>93</v>
      </c>
      <c r="B23" t="inlineStr">
        <is>
          <t>01-02-2021</t>
        </is>
      </c>
      <c r="C23" t="n">
        <v>2021</v>
      </c>
      <c r="D23" t="n">
        <v>1</v>
      </c>
      <c r="E23" t="inlineStr">
        <is>
          <t>CAREN</t>
        </is>
      </c>
      <c r="F23" t="inlineStr">
        <is>
          <t>SUM_EEPA_C</t>
        </is>
      </c>
      <c r="G23" t="inlineStr">
        <is>
          <t>C</t>
        </is>
      </c>
      <c r="H23" t="inlineStr">
        <is>
          <t>EEPA</t>
        </is>
      </c>
      <c r="I23" t="inlineStr">
        <is>
          <t>EEPAPINTC</t>
        </is>
      </c>
      <c r="J23" t="inlineStr">
        <is>
          <t>LA_PINTANA</t>
        </is>
      </c>
      <c r="K23" t="n">
        <v>-2189.78274094</v>
      </c>
      <c r="L23" t="inlineStr">
        <is>
          <t>LA PINTANA</t>
        </is>
      </c>
      <c r="M23" t="inlineStr">
        <is>
          <t>CERRO NAVIA</t>
        </is>
      </c>
      <c r="N23" t="n">
        <v>0.15751145288655</v>
      </c>
      <c r="O23" t="n">
        <v>344.915861</v>
      </c>
      <c r="P23" t="inlineStr">
        <is>
          <t>BS1C</t>
        </is>
      </c>
      <c r="Q23" t="n">
        <v>2</v>
      </c>
      <c r="W23" t="n">
        <v>2</v>
      </c>
      <c r="X23" t="n">
        <v>0</v>
      </c>
      <c r="AA23" t="inlineStr">
        <is>
          <t>PNP_6T_08-05-2020</t>
        </is>
      </c>
      <c r="AB23" t="inlineStr">
        <is>
          <t>PNCP_9T_12-08-2019</t>
        </is>
      </c>
      <c r="AC23" t="inlineStr">
        <is>
          <t>PNCP_4T_30-04-2013</t>
        </is>
      </c>
      <c r="AD23" t="inlineStr">
        <is>
          <t>CERRO NAVIA 220</t>
        </is>
      </c>
      <c r="AE23" t="n">
        <v>111.133</v>
      </c>
      <c r="AF23" t="n">
        <v>1.072776031070834</v>
      </c>
      <c r="AG23" t="n">
        <v>119.220818660995</v>
      </c>
      <c r="AH23" t="n">
        <v>694.38</v>
      </c>
      <c r="AI23" t="n">
        <v>0.875</v>
      </c>
      <c r="AJ23" t="n">
        <v>72.43648305409401</v>
      </c>
      <c r="AK23" t="n">
        <v>1.0051</v>
      </c>
      <c r="AL23" t="n">
        <v>72.806</v>
      </c>
      <c r="AM23" t="n">
        <v>8.9176</v>
      </c>
      <c r="AN23" t="n">
        <v>9.566587534677272</v>
      </c>
      <c r="AO23" t="n">
        <v>0.913</v>
      </c>
      <c r="AP23" t="n">
        <v>6064.919358776563</v>
      </c>
      <c r="AQ23" t="n">
        <v>0.9896251345796222</v>
      </c>
      <c r="AR23" t="n">
        <v>6001.9966</v>
      </c>
      <c r="AT23" t="inlineStr">
        <is>
          <t>PNP_19T_30-12-2020</t>
        </is>
      </c>
      <c r="AU23" t="inlineStr">
        <is>
          <t>PNCP_12T_10-08-2020</t>
        </is>
      </c>
      <c r="AV23" t="inlineStr">
        <is>
          <t>PNCP_4T_30-04-2013</t>
        </is>
      </c>
      <c r="AW23" t="inlineStr">
        <is>
          <t>CERRO NAVIA 220</t>
        </is>
      </c>
      <c r="AX23" t="n">
        <v>111.133</v>
      </c>
      <c r="AY23" t="n">
        <v>1.083385174100913</v>
      </c>
      <c r="AZ23" t="n">
        <v>120.3998445533567</v>
      </c>
      <c r="BA23" t="n">
        <v>801.49</v>
      </c>
      <c r="BB23" t="n">
        <v>0.905</v>
      </c>
      <c r="BC23" t="n">
        <v>87.33184062701827</v>
      </c>
      <c r="BD23" t="n">
        <v>0.9953</v>
      </c>
      <c r="BE23" t="n">
        <v>86.92100000000001</v>
      </c>
      <c r="BF23" t="n">
        <v>8.9176</v>
      </c>
      <c r="BG23" t="n">
        <v>0.77</v>
      </c>
      <c r="BH23" t="n">
        <v>5962.380796939026</v>
      </c>
      <c r="BI23" t="n">
        <v>0.9890378780463932</v>
      </c>
      <c r="BJ23" t="n">
        <v>5897.0205</v>
      </c>
    </row>
    <row r="24">
      <c r="A24" t="n">
        <v>95</v>
      </c>
      <c r="B24" t="inlineStr">
        <is>
          <t>01-02-2021</t>
        </is>
      </c>
      <c r="C24" t="n">
        <v>2021</v>
      </c>
      <c r="D24" t="n">
        <v>1</v>
      </c>
      <c r="E24" t="inlineStr">
        <is>
          <t>CAREN</t>
        </is>
      </c>
      <c r="F24" t="inlineStr">
        <is>
          <t>SUM_EEPA_C</t>
        </is>
      </c>
      <c r="G24" t="inlineStr">
        <is>
          <t>C</t>
        </is>
      </c>
      <c r="H24" t="inlineStr">
        <is>
          <t>EEPA</t>
        </is>
      </c>
      <c r="I24" t="inlineStr">
        <is>
          <t>EEPAPINTC</t>
        </is>
      </c>
      <c r="J24" t="inlineStr">
        <is>
          <t>LA_PINTANA</t>
        </is>
      </c>
      <c r="K24" t="n">
        <v>-2189.78274094</v>
      </c>
      <c r="L24" t="inlineStr">
        <is>
          <t>LA PINTANA</t>
        </is>
      </c>
      <c r="M24" t="inlineStr">
        <is>
          <t>CHENA</t>
        </is>
      </c>
      <c r="N24" t="n">
        <v>0.15945027119167</v>
      </c>
      <c r="O24" t="n">
        <v>349.161452</v>
      </c>
      <c r="P24" t="inlineStr">
        <is>
          <t>BS1C</t>
        </is>
      </c>
      <c r="Q24" t="n">
        <v>2</v>
      </c>
      <c r="W24" t="n">
        <v>2</v>
      </c>
      <c r="X24" t="n">
        <v>0</v>
      </c>
      <c r="AA24" t="inlineStr">
        <is>
          <t>PNP_6T_08-05-2020</t>
        </is>
      </c>
      <c r="AB24" t="inlineStr">
        <is>
          <t>PNCP_9T_12-08-2019</t>
        </is>
      </c>
      <c r="AC24" t="inlineStr">
        <is>
          <t>PNCP_4T_30-04-2013</t>
        </is>
      </c>
      <c r="AD24" t="inlineStr">
        <is>
          <t>CHENA 220</t>
        </is>
      </c>
      <c r="AE24" t="n">
        <v>111.133</v>
      </c>
      <c r="AF24" t="n">
        <v>1.072776031070834</v>
      </c>
      <c r="AG24" t="n">
        <v>119.220818660995</v>
      </c>
      <c r="AH24" t="n">
        <v>694.38</v>
      </c>
      <c r="AI24" t="n">
        <v>0.875</v>
      </c>
      <c r="AJ24" t="n">
        <v>72.43648305409401</v>
      </c>
      <c r="AK24" t="n">
        <v>0.9989</v>
      </c>
      <c r="AL24" t="n">
        <v>72.357</v>
      </c>
      <c r="AM24" t="n">
        <v>8.9176</v>
      </c>
      <c r="AN24" t="n">
        <v>9.566587534677272</v>
      </c>
      <c r="AO24" t="n">
        <v>0.913</v>
      </c>
      <c r="AP24" t="n">
        <v>6064.919358776563</v>
      </c>
      <c r="AQ24" t="n">
        <v>0.9923529411764705</v>
      </c>
      <c r="AR24" t="n">
        <v>6018.5406</v>
      </c>
      <c r="AT24" t="inlineStr">
        <is>
          <t>PNP_19T_30-12-2020</t>
        </is>
      </c>
      <c r="AU24" t="inlineStr">
        <is>
          <t>PNCP_12T_10-08-2020</t>
        </is>
      </c>
      <c r="AV24" t="inlineStr">
        <is>
          <t>PNCP_4T_30-04-2013</t>
        </is>
      </c>
      <c r="AW24" t="inlineStr">
        <is>
          <t>CHENA 220</t>
        </is>
      </c>
      <c r="AX24" t="n">
        <v>111.133</v>
      </c>
      <c r="AY24" t="n">
        <v>1.083385174100913</v>
      </c>
      <c r="AZ24" t="n">
        <v>120.3998445533567</v>
      </c>
      <c r="BA24" t="n">
        <v>801.49</v>
      </c>
      <c r="BB24" t="n">
        <v>0.905</v>
      </c>
      <c r="BC24" t="n">
        <v>87.33184062701827</v>
      </c>
      <c r="BD24" t="n">
        <v>0.9893</v>
      </c>
      <c r="BE24" t="n">
        <v>86.39700000000001</v>
      </c>
      <c r="BF24" t="n">
        <v>8.9176</v>
      </c>
      <c r="BG24" t="n">
        <v>0.77</v>
      </c>
      <c r="BH24" t="n">
        <v>5962.380796939026</v>
      </c>
      <c r="BI24" t="n">
        <v>0.9908823529411764</v>
      </c>
      <c r="BJ24" t="n">
        <v>5908.0179</v>
      </c>
    </row>
    <row r="25">
      <c r="A25" t="n">
        <v>97</v>
      </c>
      <c r="B25" t="inlineStr">
        <is>
          <t>01-02-2021</t>
        </is>
      </c>
      <c r="C25" t="n">
        <v>2021</v>
      </c>
      <c r="D25" t="n">
        <v>1</v>
      </c>
      <c r="E25" t="inlineStr">
        <is>
          <t>CAREN</t>
        </is>
      </c>
      <c r="F25" t="inlineStr">
        <is>
          <t>SUM_EEPA_C</t>
        </is>
      </c>
      <c r="G25" t="inlineStr">
        <is>
          <t>C</t>
        </is>
      </c>
      <c r="H25" t="inlineStr">
        <is>
          <t>EEPA</t>
        </is>
      </c>
      <c r="I25" t="inlineStr">
        <is>
          <t>EEPAPINTC</t>
        </is>
      </c>
      <c r="J25" t="inlineStr">
        <is>
          <t>LA_PINTANA</t>
        </is>
      </c>
      <c r="K25" t="n">
        <v>-2189.78274094</v>
      </c>
      <c r="L25" t="inlineStr">
        <is>
          <t>LA PINTANA</t>
        </is>
      </c>
      <c r="M25" t="inlineStr">
        <is>
          <t>POLPAICO</t>
        </is>
      </c>
      <c r="N25" t="n">
        <v>0.12720010987134</v>
      </c>
      <c r="O25" t="n">
        <v>278.540605</v>
      </c>
      <c r="P25" t="inlineStr">
        <is>
          <t>BS1C</t>
        </is>
      </c>
      <c r="Q25" t="n">
        <v>2</v>
      </c>
      <c r="W25" t="n">
        <v>2</v>
      </c>
      <c r="X25" t="n">
        <v>0</v>
      </c>
      <c r="AA25" t="inlineStr">
        <is>
          <t>PNP_6T_08-05-2020</t>
        </is>
      </c>
      <c r="AB25" t="inlineStr">
        <is>
          <t>PNCP_9T_12-08-2019</t>
        </is>
      </c>
      <c r="AC25" t="inlineStr">
        <is>
          <t>PNCP_4T_30-04-2013</t>
        </is>
      </c>
      <c r="AD25" t="inlineStr">
        <is>
          <t>POLPAICO 220</t>
        </is>
      </c>
      <c r="AE25" t="n">
        <v>111.133</v>
      </c>
      <c r="AF25" t="n">
        <v>1.072776031070834</v>
      </c>
      <c r="AG25" t="n">
        <v>119.220818660995</v>
      </c>
      <c r="AH25" t="n">
        <v>694.38</v>
      </c>
      <c r="AI25" t="n">
        <v>0.875</v>
      </c>
      <c r="AJ25" t="n">
        <v>72.43648305409401</v>
      </c>
      <c r="AK25" t="n">
        <v>1</v>
      </c>
      <c r="AL25" t="n">
        <v>72.43600000000001</v>
      </c>
      <c r="AM25" t="n">
        <v>8.9176</v>
      </c>
      <c r="AN25" t="n">
        <v>9.566587534677272</v>
      </c>
      <c r="AO25" t="n">
        <v>0.913</v>
      </c>
      <c r="AP25" t="n">
        <v>6064.919358776563</v>
      </c>
      <c r="AQ25" t="n">
        <v>1</v>
      </c>
      <c r="AR25" t="n">
        <v>6064.9194</v>
      </c>
      <c r="AT25" t="inlineStr">
        <is>
          <t>PNP_19T_30-12-2020</t>
        </is>
      </c>
      <c r="AU25" t="inlineStr">
        <is>
          <t>PNCP_12T_10-08-2020</t>
        </is>
      </c>
      <c r="AV25" t="inlineStr">
        <is>
          <t>PNCP_4T_30-04-2013</t>
        </is>
      </c>
      <c r="AW25" t="inlineStr">
        <is>
          <t>POLPAICO 220</t>
        </is>
      </c>
      <c r="AX25" t="n">
        <v>111.133</v>
      </c>
      <c r="AY25" t="n">
        <v>1.083385174100913</v>
      </c>
      <c r="AZ25" t="n">
        <v>120.3998445533567</v>
      </c>
      <c r="BA25" t="n">
        <v>801.49</v>
      </c>
      <c r="BB25" t="n">
        <v>0.905</v>
      </c>
      <c r="BC25" t="n">
        <v>87.33184062701827</v>
      </c>
      <c r="BD25" t="n">
        <v>1</v>
      </c>
      <c r="BE25" t="n">
        <v>87.33199999999999</v>
      </c>
      <c r="BF25" t="n">
        <v>8.9176</v>
      </c>
      <c r="BG25" t="n">
        <v>0.77</v>
      </c>
      <c r="BH25" t="n">
        <v>5962.380796939026</v>
      </c>
      <c r="BI25" t="n">
        <v>1</v>
      </c>
      <c r="BJ25" t="n">
        <v>5962.3808</v>
      </c>
    </row>
    <row r="26">
      <c r="A26" t="n">
        <v>99</v>
      </c>
      <c r="B26" t="inlineStr">
        <is>
          <t>01-02-2021</t>
        </is>
      </c>
      <c r="C26" t="n">
        <v>2021</v>
      </c>
      <c r="D26" t="n">
        <v>1</v>
      </c>
      <c r="E26" t="inlineStr">
        <is>
          <t>CAREN</t>
        </is>
      </c>
      <c r="F26" t="inlineStr">
        <is>
          <t>SUM_EEPA_C</t>
        </is>
      </c>
      <c r="G26" t="inlineStr">
        <is>
          <t>C</t>
        </is>
      </c>
      <c r="H26" t="inlineStr">
        <is>
          <t>EEPA</t>
        </is>
      </c>
      <c r="I26" t="inlineStr">
        <is>
          <t>EEPAPINTC</t>
        </is>
      </c>
      <c r="J26" t="inlineStr">
        <is>
          <t>LA_PINTANA</t>
        </is>
      </c>
      <c r="K26" t="n">
        <v>-2189.78274094</v>
      </c>
      <c r="L26" t="inlineStr">
        <is>
          <t>LA PINTANA</t>
        </is>
      </c>
      <c r="M26" t="inlineStr">
        <is>
          <t>QUILLOTA</t>
        </is>
      </c>
      <c r="N26" t="n">
        <v>0.00035050547515</v>
      </c>
      <c r="O26" t="n">
        <v>0.767531</v>
      </c>
      <c r="P26" t="inlineStr">
        <is>
          <t>BS1C</t>
        </is>
      </c>
      <c r="Q26" t="n">
        <v>2</v>
      </c>
      <c r="W26" t="n">
        <v>2</v>
      </c>
      <c r="X26" t="n">
        <v>0</v>
      </c>
      <c r="AA26" t="inlineStr">
        <is>
          <t>PNP_6T_08-05-2020</t>
        </is>
      </c>
      <c r="AB26" t="inlineStr">
        <is>
          <t>PNCP_9T_12-08-2019</t>
        </is>
      </c>
      <c r="AC26" t="inlineStr">
        <is>
          <t>PNCP_4T_30-04-2013</t>
        </is>
      </c>
      <c r="AD26" t="inlineStr">
        <is>
          <t>QUILLOTA 220</t>
        </is>
      </c>
      <c r="AE26" t="n">
        <v>111.133</v>
      </c>
      <c r="AF26" t="n">
        <v>1.072776031070834</v>
      </c>
      <c r="AG26" t="n">
        <v>119.220818660995</v>
      </c>
      <c r="AH26" t="n">
        <v>694.38</v>
      </c>
      <c r="AI26" t="n">
        <v>0.875</v>
      </c>
      <c r="AJ26" t="n">
        <v>72.43648305409401</v>
      </c>
      <c r="AK26" t="n">
        <v>1.0077</v>
      </c>
      <c r="AL26" t="n">
        <v>72.994</v>
      </c>
      <c r="AM26" t="n">
        <v>8.9176</v>
      </c>
      <c r="AN26" t="n">
        <v>9.566587534677272</v>
      </c>
      <c r="AO26" t="n">
        <v>0.913</v>
      </c>
      <c r="AP26" t="n">
        <v>6064.919358776563</v>
      </c>
      <c r="AQ26" t="n">
        <v>1.025526742301459</v>
      </c>
      <c r="AR26" t="n">
        <v>6219.737</v>
      </c>
      <c r="AT26" t="inlineStr">
        <is>
          <t>PNP_19T_30-12-2020</t>
        </is>
      </c>
      <c r="AU26" t="inlineStr">
        <is>
          <t>PNCP_12T_10-08-2020</t>
        </is>
      </c>
      <c r="AV26" t="inlineStr">
        <is>
          <t>PNCP_4T_30-04-2013</t>
        </is>
      </c>
      <c r="AW26" t="inlineStr">
        <is>
          <t>QUILLOTA 220</t>
        </is>
      </c>
      <c r="AX26" t="n">
        <v>111.133</v>
      </c>
      <c r="AY26" t="n">
        <v>1.083385174100913</v>
      </c>
      <c r="AZ26" t="n">
        <v>120.3998445533567</v>
      </c>
      <c r="BA26" t="n">
        <v>801.49</v>
      </c>
      <c r="BB26" t="n">
        <v>0.905</v>
      </c>
      <c r="BC26" t="n">
        <v>87.33184062701827</v>
      </c>
      <c r="BD26" t="n">
        <v>1.0154</v>
      </c>
      <c r="BE26" t="n">
        <v>88.67700000000001</v>
      </c>
      <c r="BF26" t="n">
        <v>8.9176</v>
      </c>
      <c r="BG26" t="n">
        <v>0.77</v>
      </c>
      <c r="BH26" t="n">
        <v>5962.380796939026</v>
      </c>
      <c r="BI26" t="n">
        <v>1.01509319286872</v>
      </c>
      <c r="BJ26" t="n">
        <v>6052.3722</v>
      </c>
    </row>
    <row r="27">
      <c r="A27" t="n">
        <v>2316</v>
      </c>
      <c r="B27" t="inlineStr">
        <is>
          <t>01-02-2021</t>
        </is>
      </c>
      <c r="C27" t="n">
        <v>2021</v>
      </c>
      <c r="D27" t="n">
        <v>1</v>
      </c>
      <c r="E27" t="inlineStr">
        <is>
          <t>CAREN</t>
        </is>
      </c>
      <c r="F27" t="inlineStr">
        <is>
          <t>SUM_EEPA_C</t>
        </is>
      </c>
      <c r="G27" t="inlineStr">
        <is>
          <t>C</t>
        </is>
      </c>
      <c r="H27" t="inlineStr">
        <is>
          <t>EEPA</t>
        </is>
      </c>
      <c r="I27" t="inlineStr">
        <is>
          <t>EEPAPTEAC</t>
        </is>
      </c>
      <c r="J27" t="inlineStr">
        <is>
          <t>P.ALTO</t>
        </is>
      </c>
      <c r="K27" t="n">
        <v>-2375.54362663</v>
      </c>
      <c r="L27" t="inlineStr">
        <is>
          <t>PUENTE ALTO</t>
        </is>
      </c>
      <c r="M27" t="inlineStr">
        <is>
          <t>ALTO JAHUEL</t>
        </is>
      </c>
      <c r="N27" t="n">
        <v>0.47942546746253</v>
      </c>
      <c r="O27" t="n">
        <v>1138.896114</v>
      </c>
      <c r="P27" t="inlineStr">
        <is>
          <t>BS1C</t>
        </is>
      </c>
      <c r="Q27" t="n">
        <v>2</v>
      </c>
      <c r="W27" t="n">
        <v>2</v>
      </c>
      <c r="X27" t="n">
        <v>0</v>
      </c>
      <c r="AA27" t="inlineStr">
        <is>
          <t>PNP_6T_08-05-2020</t>
        </is>
      </c>
      <c r="AB27" t="inlineStr">
        <is>
          <t>PNCP_9T_12-08-2019</t>
        </is>
      </c>
      <c r="AC27" t="inlineStr">
        <is>
          <t>PNCP_4T_30-04-2013</t>
        </is>
      </c>
      <c r="AD27" t="inlineStr">
        <is>
          <t>ALTO JAHUEL 220</t>
        </is>
      </c>
      <c r="AE27" t="n">
        <v>111.133</v>
      </c>
      <c r="AF27" t="n">
        <v>1.072776031070834</v>
      </c>
      <c r="AG27" t="n">
        <v>119.220818660995</v>
      </c>
      <c r="AH27" t="n">
        <v>694.38</v>
      </c>
      <c r="AI27" t="n">
        <v>0.875</v>
      </c>
      <c r="AJ27" t="n">
        <v>72.43648305409401</v>
      </c>
      <c r="AK27" t="n">
        <v>0.9827</v>
      </c>
      <c r="AL27" t="n">
        <v>71.18300000000001</v>
      </c>
      <c r="AM27" t="n">
        <v>8.9176</v>
      </c>
      <c r="AN27" t="n">
        <v>9.566587534677272</v>
      </c>
      <c r="AO27" t="n">
        <v>0.913</v>
      </c>
      <c r="AP27" t="n">
        <v>6064.919358776563</v>
      </c>
      <c r="AQ27" t="n">
        <v>0.9936514234698939</v>
      </c>
      <c r="AR27" t="n">
        <v>6026.4158</v>
      </c>
      <c r="AT27" t="inlineStr">
        <is>
          <t>PNP_19T_30-12-2020</t>
        </is>
      </c>
      <c r="AU27" t="inlineStr">
        <is>
          <t>PNCP_12T_10-08-2020</t>
        </is>
      </c>
      <c r="AV27" t="inlineStr">
        <is>
          <t>PNCP_4T_30-04-2013</t>
        </is>
      </c>
      <c r="AW27" t="inlineStr">
        <is>
          <t>ALTO JAHUEL 220</t>
        </is>
      </c>
      <c r="AX27" t="n">
        <v>111.133</v>
      </c>
      <c r="AY27" t="n">
        <v>1.083385174100913</v>
      </c>
      <c r="AZ27" t="n">
        <v>120.3998445533567</v>
      </c>
      <c r="BA27" t="n">
        <v>801.49</v>
      </c>
      <c r="BB27" t="n">
        <v>0.905</v>
      </c>
      <c r="BC27" t="n">
        <v>87.33184062701827</v>
      </c>
      <c r="BD27" t="n">
        <v>0.9752999999999999</v>
      </c>
      <c r="BE27" t="n">
        <v>85.175</v>
      </c>
      <c r="BF27" t="n">
        <v>8.9176</v>
      </c>
      <c r="BG27" t="n">
        <v>0.77</v>
      </c>
      <c r="BH27" t="n">
        <v>5962.380796939026</v>
      </c>
      <c r="BI27" t="n">
        <v>0.9846245412161493</v>
      </c>
      <c r="BJ27" t="n">
        <v>5870.7065</v>
      </c>
    </row>
    <row r="28">
      <c r="A28" t="n">
        <v>2318</v>
      </c>
      <c r="B28" t="inlineStr">
        <is>
          <t>01-02-2021</t>
        </is>
      </c>
      <c r="C28" t="n">
        <v>2021</v>
      </c>
      <c r="D28" t="n">
        <v>1</v>
      </c>
      <c r="E28" t="inlineStr">
        <is>
          <t>CAREN</t>
        </is>
      </c>
      <c r="F28" t="inlineStr">
        <is>
          <t>SUM_EEPA_C</t>
        </is>
      </c>
      <c r="G28" t="inlineStr">
        <is>
          <t>C</t>
        </is>
      </c>
      <c r="H28" t="inlineStr">
        <is>
          <t>EEPA</t>
        </is>
      </c>
      <c r="I28" t="inlineStr">
        <is>
          <t>EEPAPTEAC</t>
        </is>
      </c>
      <c r="J28" t="inlineStr">
        <is>
          <t>P.ALTO</t>
        </is>
      </c>
      <c r="K28" t="n">
        <v>-2375.54362663</v>
      </c>
      <c r="L28" t="inlineStr">
        <is>
          <t>PUENTE ALTO</t>
        </is>
      </c>
      <c r="M28" t="inlineStr">
        <is>
          <t>CERRO NAVIA</t>
        </is>
      </c>
      <c r="N28" t="n">
        <v>0.19633406892894</v>
      </c>
      <c r="O28" t="n">
        <v>466.400146</v>
      </c>
      <c r="P28" t="inlineStr">
        <is>
          <t>BS1C</t>
        </is>
      </c>
      <c r="Q28" t="n">
        <v>2</v>
      </c>
      <c r="W28" t="n">
        <v>2</v>
      </c>
      <c r="X28" t="n">
        <v>0</v>
      </c>
      <c r="AA28" t="inlineStr">
        <is>
          <t>PNP_6T_08-05-2020</t>
        </is>
      </c>
      <c r="AB28" t="inlineStr">
        <is>
          <t>PNCP_9T_12-08-2019</t>
        </is>
      </c>
      <c r="AC28" t="inlineStr">
        <is>
          <t>PNCP_4T_30-04-2013</t>
        </is>
      </c>
      <c r="AD28" t="inlineStr">
        <is>
          <t>CERRO NAVIA 220</t>
        </is>
      </c>
      <c r="AE28" t="n">
        <v>111.133</v>
      </c>
      <c r="AF28" t="n">
        <v>1.072776031070834</v>
      </c>
      <c r="AG28" t="n">
        <v>119.220818660995</v>
      </c>
      <c r="AH28" t="n">
        <v>694.38</v>
      </c>
      <c r="AI28" t="n">
        <v>0.875</v>
      </c>
      <c r="AJ28" t="n">
        <v>72.43648305409401</v>
      </c>
      <c r="AK28" t="n">
        <v>1.0051</v>
      </c>
      <c r="AL28" t="n">
        <v>72.806</v>
      </c>
      <c r="AM28" t="n">
        <v>8.9176</v>
      </c>
      <c r="AN28" t="n">
        <v>9.566587534677272</v>
      </c>
      <c r="AO28" t="n">
        <v>0.913</v>
      </c>
      <c r="AP28" t="n">
        <v>6064.919358776563</v>
      </c>
      <c r="AQ28" t="n">
        <v>0.9896251345796222</v>
      </c>
      <c r="AR28" t="n">
        <v>6001.9966</v>
      </c>
      <c r="AT28" t="inlineStr">
        <is>
          <t>PNP_19T_30-12-2020</t>
        </is>
      </c>
      <c r="AU28" t="inlineStr">
        <is>
          <t>PNCP_12T_10-08-2020</t>
        </is>
      </c>
      <c r="AV28" t="inlineStr">
        <is>
          <t>PNCP_4T_30-04-2013</t>
        </is>
      </c>
      <c r="AW28" t="inlineStr">
        <is>
          <t>CERRO NAVIA 220</t>
        </is>
      </c>
      <c r="AX28" t="n">
        <v>111.133</v>
      </c>
      <c r="AY28" t="n">
        <v>1.083385174100913</v>
      </c>
      <c r="AZ28" t="n">
        <v>120.3998445533567</v>
      </c>
      <c r="BA28" t="n">
        <v>801.49</v>
      </c>
      <c r="BB28" t="n">
        <v>0.905</v>
      </c>
      <c r="BC28" t="n">
        <v>87.33184062701827</v>
      </c>
      <c r="BD28" t="n">
        <v>0.9953</v>
      </c>
      <c r="BE28" t="n">
        <v>86.92100000000001</v>
      </c>
      <c r="BF28" t="n">
        <v>8.9176</v>
      </c>
      <c r="BG28" t="n">
        <v>0.77</v>
      </c>
      <c r="BH28" t="n">
        <v>5962.380796939026</v>
      </c>
      <c r="BI28" t="n">
        <v>0.9890378780463932</v>
      </c>
      <c r="BJ28" t="n">
        <v>5897.0205</v>
      </c>
    </row>
    <row r="29">
      <c r="A29" t="n">
        <v>2320</v>
      </c>
      <c r="B29" t="inlineStr">
        <is>
          <t>01-02-2021</t>
        </is>
      </c>
      <c r="C29" t="n">
        <v>2021</v>
      </c>
      <c r="D29" t="n">
        <v>1</v>
      </c>
      <c r="E29" t="inlineStr">
        <is>
          <t>CAREN</t>
        </is>
      </c>
      <c r="F29" t="inlineStr">
        <is>
          <t>SUM_EEPA_C</t>
        </is>
      </c>
      <c r="G29" t="inlineStr">
        <is>
          <t>C</t>
        </is>
      </c>
      <c r="H29" t="inlineStr">
        <is>
          <t>EEPA</t>
        </is>
      </c>
      <c r="I29" t="inlineStr">
        <is>
          <t>EEPAPTEAC</t>
        </is>
      </c>
      <c r="J29" t="inlineStr">
        <is>
          <t>P.ALTO</t>
        </is>
      </c>
      <c r="K29" t="n">
        <v>-2375.54362663</v>
      </c>
      <c r="L29" t="inlineStr">
        <is>
          <t>PUENTE ALTO</t>
        </is>
      </c>
      <c r="M29" t="inlineStr">
        <is>
          <t>CHENA</t>
        </is>
      </c>
      <c r="N29" t="n">
        <v>0.18022957546229</v>
      </c>
      <c r="O29" t="n">
        <v>428.143219</v>
      </c>
      <c r="P29" t="inlineStr">
        <is>
          <t>BS1C</t>
        </is>
      </c>
      <c r="Q29" t="n">
        <v>2</v>
      </c>
      <c r="W29" t="n">
        <v>2</v>
      </c>
      <c r="X29" t="n">
        <v>0</v>
      </c>
      <c r="AA29" t="inlineStr">
        <is>
          <t>PNP_6T_08-05-2020</t>
        </is>
      </c>
      <c r="AB29" t="inlineStr">
        <is>
          <t>PNCP_9T_12-08-2019</t>
        </is>
      </c>
      <c r="AC29" t="inlineStr">
        <is>
          <t>PNCP_4T_30-04-2013</t>
        </is>
      </c>
      <c r="AD29" t="inlineStr">
        <is>
          <t>CHENA 220</t>
        </is>
      </c>
      <c r="AE29" t="n">
        <v>111.133</v>
      </c>
      <c r="AF29" t="n">
        <v>1.072776031070834</v>
      </c>
      <c r="AG29" t="n">
        <v>119.220818660995</v>
      </c>
      <c r="AH29" t="n">
        <v>694.38</v>
      </c>
      <c r="AI29" t="n">
        <v>0.875</v>
      </c>
      <c r="AJ29" t="n">
        <v>72.43648305409401</v>
      </c>
      <c r="AK29" t="n">
        <v>0.9989</v>
      </c>
      <c r="AL29" t="n">
        <v>72.357</v>
      </c>
      <c r="AM29" t="n">
        <v>8.9176</v>
      </c>
      <c r="AN29" t="n">
        <v>9.566587534677272</v>
      </c>
      <c r="AO29" t="n">
        <v>0.913</v>
      </c>
      <c r="AP29" t="n">
        <v>6064.919358776563</v>
      </c>
      <c r="AQ29" t="n">
        <v>0.9923529411764705</v>
      </c>
      <c r="AR29" t="n">
        <v>6018.5406</v>
      </c>
      <c r="AT29" t="inlineStr">
        <is>
          <t>PNP_19T_30-12-2020</t>
        </is>
      </c>
      <c r="AU29" t="inlineStr">
        <is>
          <t>PNCP_12T_10-08-2020</t>
        </is>
      </c>
      <c r="AV29" t="inlineStr">
        <is>
          <t>PNCP_4T_30-04-2013</t>
        </is>
      </c>
      <c r="AW29" t="inlineStr">
        <is>
          <t>CHENA 220</t>
        </is>
      </c>
      <c r="AX29" t="n">
        <v>111.133</v>
      </c>
      <c r="AY29" t="n">
        <v>1.083385174100913</v>
      </c>
      <c r="AZ29" t="n">
        <v>120.3998445533567</v>
      </c>
      <c r="BA29" t="n">
        <v>801.49</v>
      </c>
      <c r="BB29" t="n">
        <v>0.905</v>
      </c>
      <c r="BC29" t="n">
        <v>87.33184062701827</v>
      </c>
      <c r="BD29" t="n">
        <v>0.9893</v>
      </c>
      <c r="BE29" t="n">
        <v>86.39700000000001</v>
      </c>
      <c r="BF29" t="n">
        <v>8.9176</v>
      </c>
      <c r="BG29" t="n">
        <v>0.77</v>
      </c>
      <c r="BH29" t="n">
        <v>5962.380796939026</v>
      </c>
      <c r="BI29" t="n">
        <v>0.9908823529411764</v>
      </c>
      <c r="BJ29" t="n">
        <v>5908.0179</v>
      </c>
    </row>
    <row r="30">
      <c r="A30" t="n">
        <v>2322</v>
      </c>
      <c r="B30" t="inlineStr">
        <is>
          <t>01-02-2021</t>
        </is>
      </c>
      <c r="C30" t="n">
        <v>2021</v>
      </c>
      <c r="D30" t="n">
        <v>1</v>
      </c>
      <c r="E30" t="inlineStr">
        <is>
          <t>CAREN</t>
        </is>
      </c>
      <c r="F30" t="inlineStr">
        <is>
          <t>SUM_EEPA_C</t>
        </is>
      </c>
      <c r="G30" t="inlineStr">
        <is>
          <t>C</t>
        </is>
      </c>
      <c r="H30" t="inlineStr">
        <is>
          <t>EEPA</t>
        </is>
      </c>
      <c r="I30" t="inlineStr">
        <is>
          <t>EEPAPTEAC</t>
        </is>
      </c>
      <c r="J30" t="inlineStr">
        <is>
          <t>P.ALTO</t>
        </is>
      </c>
      <c r="K30" t="n">
        <v>-2375.54362663</v>
      </c>
      <c r="L30" t="inlineStr">
        <is>
          <t>PUENTE ALTO</t>
        </is>
      </c>
      <c r="M30" t="inlineStr">
        <is>
          <t>POLPAICO</t>
        </is>
      </c>
      <c r="N30" t="n">
        <v>0.15806680720659</v>
      </c>
      <c r="O30" t="n">
        <v>375.494596</v>
      </c>
      <c r="P30" t="inlineStr">
        <is>
          <t>BS1C</t>
        </is>
      </c>
      <c r="Q30" t="n">
        <v>2</v>
      </c>
      <c r="W30" t="n">
        <v>2</v>
      </c>
      <c r="X30" t="n">
        <v>0</v>
      </c>
      <c r="AA30" t="inlineStr">
        <is>
          <t>PNP_6T_08-05-2020</t>
        </is>
      </c>
      <c r="AB30" t="inlineStr">
        <is>
          <t>PNCP_9T_12-08-2019</t>
        </is>
      </c>
      <c r="AC30" t="inlineStr">
        <is>
          <t>PNCP_4T_30-04-2013</t>
        </is>
      </c>
      <c r="AD30" t="inlineStr">
        <is>
          <t>POLPAICO 220</t>
        </is>
      </c>
      <c r="AE30" t="n">
        <v>111.133</v>
      </c>
      <c r="AF30" t="n">
        <v>1.072776031070834</v>
      </c>
      <c r="AG30" t="n">
        <v>119.220818660995</v>
      </c>
      <c r="AH30" t="n">
        <v>694.38</v>
      </c>
      <c r="AI30" t="n">
        <v>0.875</v>
      </c>
      <c r="AJ30" t="n">
        <v>72.43648305409401</v>
      </c>
      <c r="AK30" t="n">
        <v>1</v>
      </c>
      <c r="AL30" t="n">
        <v>72.43600000000001</v>
      </c>
      <c r="AM30" t="n">
        <v>8.9176</v>
      </c>
      <c r="AN30" t="n">
        <v>9.566587534677272</v>
      </c>
      <c r="AO30" t="n">
        <v>0.913</v>
      </c>
      <c r="AP30" t="n">
        <v>6064.919358776563</v>
      </c>
      <c r="AQ30" t="n">
        <v>1</v>
      </c>
      <c r="AR30" t="n">
        <v>6064.9194</v>
      </c>
      <c r="AT30" t="inlineStr">
        <is>
          <t>PNP_19T_30-12-2020</t>
        </is>
      </c>
      <c r="AU30" t="inlineStr">
        <is>
          <t>PNCP_12T_10-08-2020</t>
        </is>
      </c>
      <c r="AV30" t="inlineStr">
        <is>
          <t>PNCP_4T_30-04-2013</t>
        </is>
      </c>
      <c r="AW30" t="inlineStr">
        <is>
          <t>POLPAICO 220</t>
        </is>
      </c>
      <c r="AX30" t="n">
        <v>111.133</v>
      </c>
      <c r="AY30" t="n">
        <v>1.083385174100913</v>
      </c>
      <c r="AZ30" t="n">
        <v>120.3998445533567</v>
      </c>
      <c r="BA30" t="n">
        <v>801.49</v>
      </c>
      <c r="BB30" t="n">
        <v>0.905</v>
      </c>
      <c r="BC30" t="n">
        <v>87.33184062701827</v>
      </c>
      <c r="BD30" t="n">
        <v>1</v>
      </c>
      <c r="BE30" t="n">
        <v>87.33199999999999</v>
      </c>
      <c r="BF30" t="n">
        <v>8.9176</v>
      </c>
      <c r="BG30" t="n">
        <v>0.77</v>
      </c>
      <c r="BH30" t="n">
        <v>5962.380796939026</v>
      </c>
      <c r="BI30" t="n">
        <v>1</v>
      </c>
      <c r="BJ30" t="n">
        <v>5962.3808</v>
      </c>
    </row>
    <row r="31">
      <c r="A31" t="n">
        <v>2324</v>
      </c>
      <c r="B31" t="inlineStr">
        <is>
          <t>01-02-2021</t>
        </is>
      </c>
      <c r="C31" t="n">
        <v>2021</v>
      </c>
      <c r="D31" t="n">
        <v>1</v>
      </c>
      <c r="E31" t="inlineStr">
        <is>
          <t>CAREN</t>
        </is>
      </c>
      <c r="F31" t="inlineStr">
        <is>
          <t>SUM_EEPA_C</t>
        </is>
      </c>
      <c r="G31" t="inlineStr">
        <is>
          <t>C</t>
        </is>
      </c>
      <c r="H31" t="inlineStr">
        <is>
          <t>EEPA</t>
        </is>
      </c>
      <c r="I31" t="inlineStr">
        <is>
          <t>EEPAPTEAC</t>
        </is>
      </c>
      <c r="J31" t="inlineStr">
        <is>
          <t>P.ALTO</t>
        </is>
      </c>
      <c r="K31" t="n">
        <v>-2375.54362663</v>
      </c>
      <c r="L31" t="inlineStr">
        <is>
          <t>PUENTE ALTO</t>
        </is>
      </c>
      <c r="M31" t="inlineStr">
        <is>
          <t>QUILLOTA</t>
        </is>
      </c>
      <c r="N31" t="n">
        <v>0.00052325762944</v>
      </c>
      <c r="O31" t="n">
        <v>1.243021</v>
      </c>
      <c r="P31" t="inlineStr">
        <is>
          <t>BS1C</t>
        </is>
      </c>
      <c r="Q31" t="n">
        <v>2</v>
      </c>
      <c r="W31" t="n">
        <v>2</v>
      </c>
      <c r="X31" t="n">
        <v>0</v>
      </c>
      <c r="AA31" t="inlineStr">
        <is>
          <t>PNP_6T_08-05-2020</t>
        </is>
      </c>
      <c r="AB31" t="inlineStr">
        <is>
          <t>PNCP_9T_12-08-2019</t>
        </is>
      </c>
      <c r="AC31" t="inlineStr">
        <is>
          <t>PNCP_4T_30-04-2013</t>
        </is>
      </c>
      <c r="AD31" t="inlineStr">
        <is>
          <t>QUILLOTA 220</t>
        </is>
      </c>
      <c r="AE31" t="n">
        <v>111.133</v>
      </c>
      <c r="AF31" t="n">
        <v>1.072776031070834</v>
      </c>
      <c r="AG31" t="n">
        <v>119.220818660995</v>
      </c>
      <c r="AH31" t="n">
        <v>694.38</v>
      </c>
      <c r="AI31" t="n">
        <v>0.875</v>
      </c>
      <c r="AJ31" t="n">
        <v>72.43648305409401</v>
      </c>
      <c r="AK31" t="n">
        <v>1.0077</v>
      </c>
      <c r="AL31" t="n">
        <v>72.994</v>
      </c>
      <c r="AM31" t="n">
        <v>8.9176</v>
      </c>
      <c r="AN31" t="n">
        <v>9.566587534677272</v>
      </c>
      <c r="AO31" t="n">
        <v>0.913</v>
      </c>
      <c r="AP31" t="n">
        <v>6064.919358776563</v>
      </c>
      <c r="AQ31" t="n">
        <v>1.025526742301459</v>
      </c>
      <c r="AR31" t="n">
        <v>6219.737</v>
      </c>
      <c r="AT31" t="inlineStr">
        <is>
          <t>PNP_19T_30-12-2020</t>
        </is>
      </c>
      <c r="AU31" t="inlineStr">
        <is>
          <t>PNCP_12T_10-08-2020</t>
        </is>
      </c>
      <c r="AV31" t="inlineStr">
        <is>
          <t>PNCP_4T_30-04-2013</t>
        </is>
      </c>
      <c r="AW31" t="inlineStr">
        <is>
          <t>QUILLOTA 220</t>
        </is>
      </c>
      <c r="AX31" t="n">
        <v>111.133</v>
      </c>
      <c r="AY31" t="n">
        <v>1.083385174100913</v>
      </c>
      <c r="AZ31" t="n">
        <v>120.3998445533567</v>
      </c>
      <c r="BA31" t="n">
        <v>801.49</v>
      </c>
      <c r="BB31" t="n">
        <v>0.905</v>
      </c>
      <c r="BC31" t="n">
        <v>87.33184062701827</v>
      </c>
      <c r="BD31" t="n">
        <v>1.0154</v>
      </c>
      <c r="BE31" t="n">
        <v>88.67700000000001</v>
      </c>
      <c r="BF31" t="n">
        <v>8.9176</v>
      </c>
      <c r="BG31" t="n">
        <v>0.77</v>
      </c>
      <c r="BH31" t="n">
        <v>5962.380796939026</v>
      </c>
      <c r="BI31" t="n">
        <v>1.01509319286872</v>
      </c>
      <c r="BJ31" t="n">
        <v>6052.3722</v>
      </c>
    </row>
    <row r="32">
      <c r="A32" t="n">
        <v>161</v>
      </c>
      <c r="B32" t="inlineStr">
        <is>
          <t>01-03-2021</t>
        </is>
      </c>
      <c r="C32" t="n">
        <v>2021</v>
      </c>
      <c r="D32" t="n">
        <v>1</v>
      </c>
      <c r="E32" t="inlineStr">
        <is>
          <t>CAREN</t>
        </is>
      </c>
      <c r="F32" t="inlineStr">
        <is>
          <t>SUM_EEPA_C</t>
        </is>
      </c>
      <c r="G32" t="inlineStr">
        <is>
          <t>C</t>
        </is>
      </c>
      <c r="H32" t="inlineStr">
        <is>
          <t>EEPA</t>
        </is>
      </c>
      <c r="I32" t="inlineStr">
        <is>
          <t>EEPACOSTC</t>
        </is>
      </c>
      <c r="J32" t="inlineStr">
        <is>
          <t>COSTANERA</t>
        </is>
      </c>
      <c r="K32" t="n">
        <v>-1546.20756907</v>
      </c>
      <c r="L32" t="inlineStr">
        <is>
          <t>COSTANERA</t>
        </is>
      </c>
      <c r="M32" t="inlineStr">
        <is>
          <t>ALTO JAHUEL</t>
        </is>
      </c>
      <c r="N32" t="n">
        <v>0.47916568150411</v>
      </c>
      <c r="O32" t="n">
        <v>740.889604</v>
      </c>
      <c r="P32" t="inlineStr">
        <is>
          <t>BS1C</t>
        </is>
      </c>
      <c r="Q32" t="n">
        <v>2</v>
      </c>
      <c r="W32" t="n">
        <v>2</v>
      </c>
      <c r="X32" t="n">
        <v>0</v>
      </c>
      <c r="AA32" t="inlineStr">
        <is>
          <t>PNP_16T_02-11-2020</t>
        </is>
      </c>
      <c r="AB32" t="inlineStr">
        <is>
          <t>PNCP_2T_10-02-2020</t>
        </is>
      </c>
      <c r="AC32" t="inlineStr">
        <is>
          <t>PNCP_4T_30-04-2013</t>
        </is>
      </c>
      <c r="AD32" t="inlineStr">
        <is>
          <t>ALTO JAHUEL 220</t>
        </is>
      </c>
      <c r="AE32" t="n">
        <v>111.133</v>
      </c>
      <c r="AF32" t="n">
        <v>1.080821157758461</v>
      </c>
      <c r="AG32" t="n">
        <v>120.1148977251711</v>
      </c>
      <c r="AH32" t="n">
        <v>779.3099999999999</v>
      </c>
      <c r="AI32" t="n">
        <v>0.879</v>
      </c>
      <c r="AJ32" t="n">
        <v>82.2803252917125</v>
      </c>
      <c r="AK32" t="n">
        <v>0.976</v>
      </c>
      <c r="AL32" t="n">
        <v>80.306</v>
      </c>
      <c r="AM32" t="n">
        <v>8.9176</v>
      </c>
      <c r="AN32" t="n">
        <v>9.638330756426855</v>
      </c>
      <c r="AO32" t="n">
        <v>0.804</v>
      </c>
      <c r="AP32" t="n">
        <v>6039.043023599974</v>
      </c>
      <c r="AQ32" t="n">
        <v>0.9955361571272692</v>
      </c>
      <c r="AR32" t="n">
        <v>6012.0857</v>
      </c>
      <c r="AT32" t="inlineStr">
        <is>
          <t>PNP_19T_30-12-2020</t>
        </is>
      </c>
      <c r="AU32" t="inlineStr">
        <is>
          <t>PNCP_12T_10-08-2020</t>
        </is>
      </c>
      <c r="AV32" t="inlineStr">
        <is>
          <t>PNCP_4T_30-04-2013</t>
        </is>
      </c>
      <c r="AW32" t="inlineStr">
        <is>
          <t>ALTO JAHUEL 220</t>
        </is>
      </c>
      <c r="AX32" t="n">
        <v>111.133</v>
      </c>
      <c r="AY32" t="n">
        <v>1.083385174100913</v>
      </c>
      <c r="AZ32" t="n">
        <v>120.3998445533567</v>
      </c>
      <c r="BA32" t="n">
        <v>801.49</v>
      </c>
      <c r="BB32" t="n">
        <v>0.905</v>
      </c>
      <c r="BC32" t="n">
        <v>87.33184062701827</v>
      </c>
      <c r="BD32" t="n">
        <v>0.9752999999999999</v>
      </c>
      <c r="BE32" t="n">
        <v>85.175</v>
      </c>
      <c r="BF32" t="n">
        <v>8.9176</v>
      </c>
      <c r="BG32" t="n">
        <v>0.77</v>
      </c>
      <c r="BH32" t="n">
        <v>5962.380796939026</v>
      </c>
      <c r="BI32" t="n">
        <v>0.9846245412161493</v>
      </c>
      <c r="BJ32" t="n">
        <v>5870.7065</v>
      </c>
    </row>
    <row r="33">
      <c r="A33" t="n">
        <v>163</v>
      </c>
      <c r="B33" t="inlineStr">
        <is>
          <t>01-03-2021</t>
        </is>
      </c>
      <c r="C33" t="n">
        <v>2021</v>
      </c>
      <c r="D33" t="n">
        <v>1</v>
      </c>
      <c r="E33" t="inlineStr">
        <is>
          <t>CAREN</t>
        </is>
      </c>
      <c r="F33" t="inlineStr">
        <is>
          <t>SUM_EEPA_C</t>
        </is>
      </c>
      <c r="G33" t="inlineStr">
        <is>
          <t>C</t>
        </is>
      </c>
      <c r="H33" t="inlineStr">
        <is>
          <t>EEPA</t>
        </is>
      </c>
      <c r="I33" t="inlineStr">
        <is>
          <t>EEPACOSTC</t>
        </is>
      </c>
      <c r="J33" t="inlineStr">
        <is>
          <t>COSTANERA</t>
        </is>
      </c>
      <c r="K33" t="n">
        <v>-1546.20756907</v>
      </c>
      <c r="L33" t="inlineStr">
        <is>
          <t>COSTANERA</t>
        </is>
      </c>
      <c r="M33" t="inlineStr">
        <is>
          <t>CERRO NAVIA</t>
        </is>
      </c>
      <c r="N33" t="n">
        <v>0.19609494774531</v>
      </c>
      <c r="O33" t="n">
        <v>303.203492</v>
      </c>
      <c r="P33" t="inlineStr">
        <is>
          <t>BS1C</t>
        </is>
      </c>
      <c r="Q33" t="n">
        <v>2</v>
      </c>
      <c r="W33" t="n">
        <v>2</v>
      </c>
      <c r="X33" t="n">
        <v>0</v>
      </c>
      <c r="AA33" t="inlineStr">
        <is>
          <t>PNP_16T_02-11-2020</t>
        </is>
      </c>
      <c r="AB33" t="inlineStr">
        <is>
          <t>PNCP_2T_10-02-2020</t>
        </is>
      </c>
      <c r="AC33" t="inlineStr">
        <is>
          <t>PNCP_4T_30-04-2013</t>
        </is>
      </c>
      <c r="AD33" t="inlineStr">
        <is>
          <t>CERRO NAVIA 220</t>
        </is>
      </c>
      <c r="AE33" t="n">
        <v>111.133</v>
      </c>
      <c r="AF33" t="n">
        <v>1.080821157758461</v>
      </c>
      <c r="AG33" t="n">
        <v>120.1148977251711</v>
      </c>
      <c r="AH33" t="n">
        <v>779.3099999999999</v>
      </c>
      <c r="AI33" t="n">
        <v>0.879</v>
      </c>
      <c r="AJ33" t="n">
        <v>82.2803252917125</v>
      </c>
      <c r="AK33" t="n">
        <v>1.0036</v>
      </c>
      <c r="AL33" t="n">
        <v>82.577</v>
      </c>
      <c r="AM33" t="n">
        <v>8.9176</v>
      </c>
      <c r="AN33" t="n">
        <v>9.638330756426855</v>
      </c>
      <c r="AO33" t="n">
        <v>0.804</v>
      </c>
      <c r="AP33" t="n">
        <v>6039.043023599974</v>
      </c>
      <c r="AQ33" t="n">
        <v>0.9900166389351082</v>
      </c>
      <c r="AR33" t="n">
        <v>5978.7531</v>
      </c>
      <c r="AT33" t="inlineStr">
        <is>
          <t>PNP_19T_30-12-2020</t>
        </is>
      </c>
      <c r="AU33" t="inlineStr">
        <is>
          <t>PNCP_12T_10-08-2020</t>
        </is>
      </c>
      <c r="AV33" t="inlineStr">
        <is>
          <t>PNCP_4T_30-04-2013</t>
        </is>
      </c>
      <c r="AW33" t="inlineStr">
        <is>
          <t>CERRO NAVIA 220</t>
        </is>
      </c>
      <c r="AX33" t="n">
        <v>111.133</v>
      </c>
      <c r="AY33" t="n">
        <v>1.083385174100913</v>
      </c>
      <c r="AZ33" t="n">
        <v>120.3998445533567</v>
      </c>
      <c r="BA33" t="n">
        <v>801.49</v>
      </c>
      <c r="BB33" t="n">
        <v>0.905</v>
      </c>
      <c r="BC33" t="n">
        <v>87.33184062701827</v>
      </c>
      <c r="BD33" t="n">
        <v>0.9953</v>
      </c>
      <c r="BE33" t="n">
        <v>86.92100000000001</v>
      </c>
      <c r="BF33" t="n">
        <v>8.9176</v>
      </c>
      <c r="BG33" t="n">
        <v>0.77</v>
      </c>
      <c r="BH33" t="n">
        <v>5962.380796939026</v>
      </c>
      <c r="BI33" t="n">
        <v>0.9890378780463932</v>
      </c>
      <c r="BJ33" t="n">
        <v>5897.0205</v>
      </c>
    </row>
    <row r="34">
      <c r="A34" t="n">
        <v>165</v>
      </c>
      <c r="B34" t="inlineStr">
        <is>
          <t>01-03-2021</t>
        </is>
      </c>
      <c r="C34" t="n">
        <v>2021</v>
      </c>
      <c r="D34" t="n">
        <v>1</v>
      </c>
      <c r="E34" t="inlineStr">
        <is>
          <t>CAREN</t>
        </is>
      </c>
      <c r="F34" t="inlineStr">
        <is>
          <t>SUM_EEPA_C</t>
        </is>
      </c>
      <c r="G34" t="inlineStr">
        <is>
          <t>C</t>
        </is>
      </c>
      <c r="H34" t="inlineStr">
        <is>
          <t>EEPA</t>
        </is>
      </c>
      <c r="I34" t="inlineStr">
        <is>
          <t>EEPACOSTC</t>
        </is>
      </c>
      <c r="J34" t="inlineStr">
        <is>
          <t>COSTANERA</t>
        </is>
      </c>
      <c r="K34" t="n">
        <v>-1546.20756907</v>
      </c>
      <c r="L34" t="inlineStr">
        <is>
          <t>COSTANERA</t>
        </is>
      </c>
      <c r="M34" t="inlineStr">
        <is>
          <t>CHENA</t>
        </is>
      </c>
      <c r="N34" t="n">
        <v>0.18034246662267</v>
      </c>
      <c r="O34" t="n">
        <v>278.846887</v>
      </c>
      <c r="P34" t="inlineStr">
        <is>
          <t>BS1C</t>
        </is>
      </c>
      <c r="Q34" t="n">
        <v>2</v>
      </c>
      <c r="W34" t="n">
        <v>2</v>
      </c>
      <c r="X34" t="n">
        <v>0</v>
      </c>
      <c r="AA34" t="inlineStr">
        <is>
          <t>PNP_16T_02-11-2020</t>
        </is>
      </c>
      <c r="AB34" t="inlineStr">
        <is>
          <t>PNCP_2T_10-02-2020</t>
        </is>
      </c>
      <c r="AC34" t="inlineStr">
        <is>
          <t>PNCP_4T_30-04-2013</t>
        </is>
      </c>
      <c r="AD34" t="inlineStr">
        <is>
          <t>CHENA 220</t>
        </is>
      </c>
      <c r="AE34" t="n">
        <v>111.133</v>
      </c>
      <c r="AF34" t="n">
        <v>1.080821157758461</v>
      </c>
      <c r="AG34" t="n">
        <v>120.1148977251711</v>
      </c>
      <c r="AH34" t="n">
        <v>779.3099999999999</v>
      </c>
      <c r="AI34" t="n">
        <v>0.879</v>
      </c>
      <c r="AJ34" t="n">
        <v>82.2803252917125</v>
      </c>
      <c r="AK34" t="n">
        <v>0.9927</v>
      </c>
      <c r="AL34" t="n">
        <v>81.68000000000001</v>
      </c>
      <c r="AM34" t="n">
        <v>8.9176</v>
      </c>
      <c r="AN34" t="n">
        <v>9.638330756426855</v>
      </c>
      <c r="AO34" t="n">
        <v>0.804</v>
      </c>
      <c r="AP34" t="n">
        <v>6039.043023599974</v>
      </c>
      <c r="AQ34" t="n">
        <v>0.9931372549019607</v>
      </c>
      <c r="AR34" t="n">
        <v>5997.5986</v>
      </c>
      <c r="AT34" t="inlineStr">
        <is>
          <t>PNP_19T_30-12-2020</t>
        </is>
      </c>
      <c r="AU34" t="inlineStr">
        <is>
          <t>PNCP_12T_10-08-2020</t>
        </is>
      </c>
      <c r="AV34" t="inlineStr">
        <is>
          <t>PNCP_4T_30-04-2013</t>
        </is>
      </c>
      <c r="AW34" t="inlineStr">
        <is>
          <t>CHENA 220</t>
        </is>
      </c>
      <c r="AX34" t="n">
        <v>111.133</v>
      </c>
      <c r="AY34" t="n">
        <v>1.083385174100913</v>
      </c>
      <c r="AZ34" t="n">
        <v>120.3998445533567</v>
      </c>
      <c r="BA34" t="n">
        <v>801.49</v>
      </c>
      <c r="BB34" t="n">
        <v>0.905</v>
      </c>
      <c r="BC34" t="n">
        <v>87.33184062701827</v>
      </c>
      <c r="BD34" t="n">
        <v>0.9893</v>
      </c>
      <c r="BE34" t="n">
        <v>86.39700000000001</v>
      </c>
      <c r="BF34" t="n">
        <v>8.9176</v>
      </c>
      <c r="BG34" t="n">
        <v>0.77</v>
      </c>
      <c r="BH34" t="n">
        <v>5962.380796939026</v>
      </c>
      <c r="BI34" t="n">
        <v>0.9908823529411764</v>
      </c>
      <c r="BJ34" t="n">
        <v>5908.0179</v>
      </c>
    </row>
    <row r="35">
      <c r="A35" t="n">
        <v>167</v>
      </c>
      <c r="B35" t="inlineStr">
        <is>
          <t>01-03-2021</t>
        </is>
      </c>
      <c r="C35" t="n">
        <v>2021</v>
      </c>
      <c r="D35" t="n">
        <v>1</v>
      </c>
      <c r="E35" t="inlineStr">
        <is>
          <t>CAREN</t>
        </is>
      </c>
      <c r="F35" t="inlineStr">
        <is>
          <t>SUM_EEPA_C</t>
        </is>
      </c>
      <c r="G35" t="inlineStr">
        <is>
          <t>C</t>
        </is>
      </c>
      <c r="H35" t="inlineStr">
        <is>
          <t>EEPA</t>
        </is>
      </c>
      <c r="I35" t="inlineStr">
        <is>
          <t>EEPACOSTC</t>
        </is>
      </c>
      <c r="J35" t="inlineStr">
        <is>
          <t>COSTANERA</t>
        </is>
      </c>
      <c r="K35" t="n">
        <v>-1546.20756907</v>
      </c>
      <c r="L35" t="inlineStr">
        <is>
          <t>COSTANERA</t>
        </is>
      </c>
      <c r="M35" t="inlineStr">
        <is>
          <t>POLPAICO</t>
        </is>
      </c>
      <c r="N35" t="n">
        <v>0.15818216643697</v>
      </c>
      <c r="O35" t="n">
        <v>244.582463</v>
      </c>
      <c r="P35" t="inlineStr">
        <is>
          <t>BS1C</t>
        </is>
      </c>
      <c r="Q35" t="n">
        <v>2</v>
      </c>
      <c r="W35" t="n">
        <v>2</v>
      </c>
      <c r="X35" t="n">
        <v>0</v>
      </c>
      <c r="AA35" t="inlineStr">
        <is>
          <t>PNP_16T_02-11-2020</t>
        </is>
      </c>
      <c r="AB35" t="inlineStr">
        <is>
          <t>PNCP_2T_10-02-2020</t>
        </is>
      </c>
      <c r="AC35" t="inlineStr">
        <is>
          <t>PNCP_4T_30-04-2013</t>
        </is>
      </c>
      <c r="AD35" t="inlineStr">
        <is>
          <t>POLPAICO 220</t>
        </is>
      </c>
      <c r="AE35" t="n">
        <v>111.133</v>
      </c>
      <c r="AF35" t="n">
        <v>1.080821157758461</v>
      </c>
      <c r="AG35" t="n">
        <v>120.1148977251711</v>
      </c>
      <c r="AH35" t="n">
        <v>779.3099999999999</v>
      </c>
      <c r="AI35" t="n">
        <v>0.879</v>
      </c>
      <c r="AJ35" t="n">
        <v>82.2803252917125</v>
      </c>
      <c r="AK35" t="n">
        <v>1</v>
      </c>
      <c r="AL35" t="n">
        <v>82.28</v>
      </c>
      <c r="AM35" t="n">
        <v>8.9176</v>
      </c>
      <c r="AN35" t="n">
        <v>9.638330756426855</v>
      </c>
      <c r="AO35" t="n">
        <v>0.804</v>
      </c>
      <c r="AP35" t="n">
        <v>6039.043023599974</v>
      </c>
      <c r="AQ35" t="n">
        <v>1</v>
      </c>
      <c r="AR35" t="n">
        <v>6039.043</v>
      </c>
      <c r="AT35" t="inlineStr">
        <is>
          <t>PNP_19T_30-12-2020</t>
        </is>
      </c>
      <c r="AU35" t="inlineStr">
        <is>
          <t>PNCP_12T_10-08-2020</t>
        </is>
      </c>
      <c r="AV35" t="inlineStr">
        <is>
          <t>PNCP_4T_30-04-2013</t>
        </is>
      </c>
      <c r="AW35" t="inlineStr">
        <is>
          <t>POLPAICO 220</t>
        </is>
      </c>
      <c r="AX35" t="n">
        <v>111.133</v>
      </c>
      <c r="AY35" t="n">
        <v>1.083385174100913</v>
      </c>
      <c r="AZ35" t="n">
        <v>120.3998445533567</v>
      </c>
      <c r="BA35" t="n">
        <v>801.49</v>
      </c>
      <c r="BB35" t="n">
        <v>0.905</v>
      </c>
      <c r="BC35" t="n">
        <v>87.33184062701827</v>
      </c>
      <c r="BD35" t="n">
        <v>1</v>
      </c>
      <c r="BE35" t="n">
        <v>87.33199999999999</v>
      </c>
      <c r="BF35" t="n">
        <v>8.9176</v>
      </c>
      <c r="BG35" t="n">
        <v>0.77</v>
      </c>
      <c r="BH35" t="n">
        <v>5962.380796939026</v>
      </c>
      <c r="BI35" t="n">
        <v>1</v>
      </c>
      <c r="BJ35" t="n">
        <v>5962.3808</v>
      </c>
    </row>
    <row r="36">
      <c r="A36" t="n">
        <v>169</v>
      </c>
      <c r="B36" t="inlineStr">
        <is>
          <t>01-03-2021</t>
        </is>
      </c>
      <c r="C36" t="n">
        <v>2021</v>
      </c>
      <c r="D36" t="n">
        <v>1</v>
      </c>
      <c r="E36" t="inlineStr">
        <is>
          <t>CAREN</t>
        </is>
      </c>
      <c r="F36" t="inlineStr">
        <is>
          <t>SUM_EEPA_C</t>
        </is>
      </c>
      <c r="G36" t="inlineStr">
        <is>
          <t>C</t>
        </is>
      </c>
      <c r="H36" t="inlineStr">
        <is>
          <t>EEPA</t>
        </is>
      </c>
      <c r="I36" t="inlineStr">
        <is>
          <t>EEPACOSTC</t>
        </is>
      </c>
      <c r="J36" t="inlineStr">
        <is>
          <t>COSTANERA</t>
        </is>
      </c>
      <c r="K36" t="n">
        <v>-1546.20756907</v>
      </c>
      <c r="L36" t="inlineStr">
        <is>
          <t>COSTANERA</t>
        </is>
      </c>
      <c r="M36" t="inlineStr">
        <is>
          <t>QUILLOTA</t>
        </is>
      </c>
      <c r="N36" t="n">
        <v>0.0008185282539</v>
      </c>
      <c r="O36" t="n">
        <v>1.265615</v>
      </c>
      <c r="P36" t="inlineStr">
        <is>
          <t>BS1C</t>
        </is>
      </c>
      <c r="Q36" t="n">
        <v>2</v>
      </c>
      <c r="W36" t="n">
        <v>2</v>
      </c>
      <c r="X36" t="n">
        <v>0</v>
      </c>
      <c r="AA36" t="inlineStr">
        <is>
          <t>PNP_16T_02-11-2020</t>
        </is>
      </c>
      <c r="AB36" t="inlineStr">
        <is>
          <t>PNCP_2T_10-02-2020</t>
        </is>
      </c>
      <c r="AC36" t="inlineStr">
        <is>
          <t>PNCP_4T_30-04-2013</t>
        </is>
      </c>
      <c r="AD36" t="inlineStr">
        <is>
          <t>QUILLOTA 220</t>
        </is>
      </c>
      <c r="AE36" t="n">
        <v>111.133</v>
      </c>
      <c r="AF36" t="n">
        <v>1.080821157758461</v>
      </c>
      <c r="AG36" t="n">
        <v>120.1148977251711</v>
      </c>
      <c r="AH36" t="n">
        <v>779.3099999999999</v>
      </c>
      <c r="AI36" t="n">
        <v>0.879</v>
      </c>
      <c r="AJ36" t="n">
        <v>82.2803252917125</v>
      </c>
      <c r="AK36" t="n">
        <v>1.0097</v>
      </c>
      <c r="AL36" t="n">
        <v>83.078</v>
      </c>
      <c r="AM36" t="n">
        <v>8.9176</v>
      </c>
      <c r="AN36" t="n">
        <v>9.638330756426855</v>
      </c>
      <c r="AO36" t="n">
        <v>0.804</v>
      </c>
      <c r="AP36" t="n">
        <v>6039.043023599974</v>
      </c>
      <c r="AQ36" t="n">
        <v>1.02765397082658</v>
      </c>
      <c r="AR36" t="n">
        <v>6206.0465</v>
      </c>
      <c r="AT36" t="inlineStr">
        <is>
          <t>PNP_19T_30-12-2020</t>
        </is>
      </c>
      <c r="AU36" t="inlineStr">
        <is>
          <t>PNCP_12T_10-08-2020</t>
        </is>
      </c>
      <c r="AV36" t="inlineStr">
        <is>
          <t>PNCP_4T_30-04-2013</t>
        </is>
      </c>
      <c r="AW36" t="inlineStr">
        <is>
          <t>QUILLOTA 220</t>
        </is>
      </c>
      <c r="AX36" t="n">
        <v>111.133</v>
      </c>
      <c r="AY36" t="n">
        <v>1.083385174100913</v>
      </c>
      <c r="AZ36" t="n">
        <v>120.3998445533567</v>
      </c>
      <c r="BA36" t="n">
        <v>801.49</v>
      </c>
      <c r="BB36" t="n">
        <v>0.905</v>
      </c>
      <c r="BC36" t="n">
        <v>87.33184062701827</v>
      </c>
      <c r="BD36" t="n">
        <v>1.0154</v>
      </c>
      <c r="BE36" t="n">
        <v>88.67700000000001</v>
      </c>
      <c r="BF36" t="n">
        <v>8.9176</v>
      </c>
      <c r="BG36" t="n">
        <v>0.77</v>
      </c>
      <c r="BH36" t="n">
        <v>5962.380796939026</v>
      </c>
      <c r="BI36" t="n">
        <v>1.01509319286872</v>
      </c>
      <c r="BJ36" t="n">
        <v>6052.3722</v>
      </c>
    </row>
    <row r="37">
      <c r="A37" t="n">
        <v>161</v>
      </c>
      <c r="B37" t="inlineStr">
        <is>
          <t>01-03-2021</t>
        </is>
      </c>
      <c r="C37" t="n">
        <v>2021</v>
      </c>
      <c r="D37" t="n">
        <v>1</v>
      </c>
      <c r="E37" t="inlineStr">
        <is>
          <t>CAREN</t>
        </is>
      </c>
      <c r="F37" t="inlineStr">
        <is>
          <t>SUM_EEPA_C</t>
        </is>
      </c>
      <c r="G37" t="inlineStr">
        <is>
          <t>C</t>
        </is>
      </c>
      <c r="H37" t="inlineStr">
        <is>
          <t>EEPA</t>
        </is>
      </c>
      <c r="I37" t="inlineStr">
        <is>
          <t>EEPAPINTC</t>
        </is>
      </c>
      <c r="J37" t="inlineStr">
        <is>
          <t>LA_PINTANA</t>
        </is>
      </c>
      <c r="K37" t="n">
        <v>-2591.63402248</v>
      </c>
      <c r="L37" t="inlineStr">
        <is>
          <t>LA PINTANA</t>
        </is>
      </c>
      <c r="M37" t="inlineStr">
        <is>
          <t>ALTO JAHUEL</t>
        </is>
      </c>
      <c r="N37" t="n">
        <v>0.57002694767702</v>
      </c>
      <c r="O37" t="n">
        <v>1477.301231</v>
      </c>
      <c r="P37" t="inlineStr">
        <is>
          <t>BS1C</t>
        </is>
      </c>
      <c r="Q37" t="n">
        <v>2</v>
      </c>
      <c r="W37" t="n">
        <v>2</v>
      </c>
      <c r="X37" t="n">
        <v>0</v>
      </c>
      <c r="AA37" t="inlineStr">
        <is>
          <t>PNP_16T_02-11-2020</t>
        </is>
      </c>
      <c r="AB37" t="inlineStr">
        <is>
          <t>PNCP_2T_10-02-2020</t>
        </is>
      </c>
      <c r="AC37" t="inlineStr">
        <is>
          <t>PNCP_4T_30-04-2013</t>
        </is>
      </c>
      <c r="AD37" t="inlineStr">
        <is>
          <t>ALTO JAHUEL 220</t>
        </is>
      </c>
      <c r="AE37" t="n">
        <v>111.133</v>
      </c>
      <c r="AF37" t="n">
        <v>1.080821157758461</v>
      </c>
      <c r="AG37" t="n">
        <v>120.1148977251711</v>
      </c>
      <c r="AH37" t="n">
        <v>779.3099999999999</v>
      </c>
      <c r="AI37" t="n">
        <v>0.879</v>
      </c>
      <c r="AJ37" t="n">
        <v>82.2803252917125</v>
      </c>
      <c r="AK37" t="n">
        <v>0.976</v>
      </c>
      <c r="AL37" t="n">
        <v>80.306</v>
      </c>
      <c r="AM37" t="n">
        <v>8.9176</v>
      </c>
      <c r="AN37" t="n">
        <v>9.638330756426855</v>
      </c>
      <c r="AO37" t="n">
        <v>0.804</v>
      </c>
      <c r="AP37" t="n">
        <v>6039.043023599974</v>
      </c>
      <c r="AQ37" t="n">
        <v>0.9955361571272692</v>
      </c>
      <c r="AR37" t="n">
        <v>6012.0857</v>
      </c>
      <c r="AT37" t="inlineStr">
        <is>
          <t>PNP_19T_30-12-2020</t>
        </is>
      </c>
      <c r="AU37" t="inlineStr">
        <is>
          <t>PNCP_12T_10-08-2020</t>
        </is>
      </c>
      <c r="AV37" t="inlineStr">
        <is>
          <t>PNCP_4T_30-04-2013</t>
        </is>
      </c>
      <c r="AW37" t="inlineStr">
        <is>
          <t>ALTO JAHUEL 220</t>
        </is>
      </c>
      <c r="AX37" t="n">
        <v>111.133</v>
      </c>
      <c r="AY37" t="n">
        <v>1.083385174100913</v>
      </c>
      <c r="AZ37" t="n">
        <v>120.3998445533567</v>
      </c>
      <c r="BA37" t="n">
        <v>801.49</v>
      </c>
      <c r="BB37" t="n">
        <v>0.905</v>
      </c>
      <c r="BC37" t="n">
        <v>87.33184062701827</v>
      </c>
      <c r="BD37" t="n">
        <v>0.9752999999999999</v>
      </c>
      <c r="BE37" t="n">
        <v>85.175</v>
      </c>
      <c r="BF37" t="n">
        <v>8.9176</v>
      </c>
      <c r="BG37" t="n">
        <v>0.77</v>
      </c>
      <c r="BH37" t="n">
        <v>5962.380796939026</v>
      </c>
      <c r="BI37" t="n">
        <v>0.9846245412161493</v>
      </c>
      <c r="BJ37" t="n">
        <v>5870.7065</v>
      </c>
    </row>
    <row r="38">
      <c r="A38" t="n">
        <v>163</v>
      </c>
      <c r="B38" t="inlineStr">
        <is>
          <t>01-03-2021</t>
        </is>
      </c>
      <c r="C38" t="n">
        <v>2021</v>
      </c>
      <c r="D38" t="n">
        <v>1</v>
      </c>
      <c r="E38" t="inlineStr">
        <is>
          <t>CAREN</t>
        </is>
      </c>
      <c r="F38" t="inlineStr">
        <is>
          <t>SUM_EEPA_C</t>
        </is>
      </c>
      <c r="G38" t="inlineStr">
        <is>
          <t>C</t>
        </is>
      </c>
      <c r="H38" t="inlineStr">
        <is>
          <t>EEPA</t>
        </is>
      </c>
      <c r="I38" t="inlineStr">
        <is>
          <t>EEPAPINTC</t>
        </is>
      </c>
      <c r="J38" t="inlineStr">
        <is>
          <t>LA_PINTANA</t>
        </is>
      </c>
      <c r="K38" t="n">
        <v>-2591.63402248</v>
      </c>
      <c r="L38" t="inlineStr">
        <is>
          <t>LA PINTANA</t>
        </is>
      </c>
      <c r="M38" t="inlineStr">
        <is>
          <t>CERRO NAVIA</t>
        </is>
      </c>
      <c r="N38" t="n">
        <v>0.15751145288655</v>
      </c>
      <c r="O38" t="n">
        <v>408.21204</v>
      </c>
      <c r="P38" t="inlineStr">
        <is>
          <t>BS1C</t>
        </is>
      </c>
      <c r="Q38" t="n">
        <v>2</v>
      </c>
      <c r="W38" t="n">
        <v>2</v>
      </c>
      <c r="X38" t="n">
        <v>0</v>
      </c>
      <c r="AA38" t="inlineStr">
        <is>
          <t>PNP_16T_02-11-2020</t>
        </is>
      </c>
      <c r="AB38" t="inlineStr">
        <is>
          <t>PNCP_2T_10-02-2020</t>
        </is>
      </c>
      <c r="AC38" t="inlineStr">
        <is>
          <t>PNCP_4T_30-04-2013</t>
        </is>
      </c>
      <c r="AD38" t="inlineStr">
        <is>
          <t>CERRO NAVIA 220</t>
        </is>
      </c>
      <c r="AE38" t="n">
        <v>111.133</v>
      </c>
      <c r="AF38" t="n">
        <v>1.080821157758461</v>
      </c>
      <c r="AG38" t="n">
        <v>120.1148977251711</v>
      </c>
      <c r="AH38" t="n">
        <v>779.3099999999999</v>
      </c>
      <c r="AI38" t="n">
        <v>0.879</v>
      </c>
      <c r="AJ38" t="n">
        <v>82.2803252917125</v>
      </c>
      <c r="AK38" t="n">
        <v>1.0036</v>
      </c>
      <c r="AL38" t="n">
        <v>82.577</v>
      </c>
      <c r="AM38" t="n">
        <v>8.9176</v>
      </c>
      <c r="AN38" t="n">
        <v>9.638330756426855</v>
      </c>
      <c r="AO38" t="n">
        <v>0.804</v>
      </c>
      <c r="AP38" t="n">
        <v>6039.043023599974</v>
      </c>
      <c r="AQ38" t="n">
        <v>0.9900166389351082</v>
      </c>
      <c r="AR38" t="n">
        <v>5978.7531</v>
      </c>
      <c r="AT38" t="inlineStr">
        <is>
          <t>PNP_19T_30-12-2020</t>
        </is>
      </c>
      <c r="AU38" t="inlineStr">
        <is>
          <t>PNCP_12T_10-08-2020</t>
        </is>
      </c>
      <c r="AV38" t="inlineStr">
        <is>
          <t>PNCP_4T_30-04-2013</t>
        </is>
      </c>
      <c r="AW38" t="inlineStr">
        <is>
          <t>CERRO NAVIA 220</t>
        </is>
      </c>
      <c r="AX38" t="n">
        <v>111.133</v>
      </c>
      <c r="AY38" t="n">
        <v>1.083385174100913</v>
      </c>
      <c r="AZ38" t="n">
        <v>120.3998445533567</v>
      </c>
      <c r="BA38" t="n">
        <v>801.49</v>
      </c>
      <c r="BB38" t="n">
        <v>0.905</v>
      </c>
      <c r="BC38" t="n">
        <v>87.33184062701827</v>
      </c>
      <c r="BD38" t="n">
        <v>0.9953</v>
      </c>
      <c r="BE38" t="n">
        <v>86.92100000000001</v>
      </c>
      <c r="BF38" t="n">
        <v>8.9176</v>
      </c>
      <c r="BG38" t="n">
        <v>0.77</v>
      </c>
      <c r="BH38" t="n">
        <v>5962.380796939026</v>
      </c>
      <c r="BI38" t="n">
        <v>0.9890378780463932</v>
      </c>
      <c r="BJ38" t="n">
        <v>5897.0205</v>
      </c>
    </row>
    <row r="39">
      <c r="A39" t="n">
        <v>165</v>
      </c>
      <c r="B39" t="inlineStr">
        <is>
          <t>01-03-2021</t>
        </is>
      </c>
      <c r="C39" t="n">
        <v>2021</v>
      </c>
      <c r="D39" t="n">
        <v>1</v>
      </c>
      <c r="E39" t="inlineStr">
        <is>
          <t>CAREN</t>
        </is>
      </c>
      <c r="F39" t="inlineStr">
        <is>
          <t>SUM_EEPA_C</t>
        </is>
      </c>
      <c r="G39" t="inlineStr">
        <is>
          <t>C</t>
        </is>
      </c>
      <c r="H39" t="inlineStr">
        <is>
          <t>EEPA</t>
        </is>
      </c>
      <c r="I39" t="inlineStr">
        <is>
          <t>EEPAPINTC</t>
        </is>
      </c>
      <c r="J39" t="inlineStr">
        <is>
          <t>LA_PINTANA</t>
        </is>
      </c>
      <c r="K39" t="n">
        <v>-2591.63402248</v>
      </c>
      <c r="L39" t="inlineStr">
        <is>
          <t>LA PINTANA</t>
        </is>
      </c>
      <c r="M39" t="inlineStr">
        <is>
          <t>CHENA</t>
        </is>
      </c>
      <c r="N39" t="n">
        <v>0.15945027119167</v>
      </c>
      <c r="O39" t="n">
        <v>413.236748</v>
      </c>
      <c r="P39" t="inlineStr">
        <is>
          <t>BS1C</t>
        </is>
      </c>
      <c r="Q39" t="n">
        <v>2</v>
      </c>
      <c r="W39" t="n">
        <v>2</v>
      </c>
      <c r="X39" t="n">
        <v>0</v>
      </c>
      <c r="AA39" t="inlineStr">
        <is>
          <t>PNP_16T_02-11-2020</t>
        </is>
      </c>
      <c r="AB39" t="inlineStr">
        <is>
          <t>PNCP_2T_10-02-2020</t>
        </is>
      </c>
      <c r="AC39" t="inlineStr">
        <is>
          <t>PNCP_4T_30-04-2013</t>
        </is>
      </c>
      <c r="AD39" t="inlineStr">
        <is>
          <t>CHENA 220</t>
        </is>
      </c>
      <c r="AE39" t="n">
        <v>111.133</v>
      </c>
      <c r="AF39" t="n">
        <v>1.080821157758461</v>
      </c>
      <c r="AG39" t="n">
        <v>120.1148977251711</v>
      </c>
      <c r="AH39" t="n">
        <v>779.3099999999999</v>
      </c>
      <c r="AI39" t="n">
        <v>0.879</v>
      </c>
      <c r="AJ39" t="n">
        <v>82.2803252917125</v>
      </c>
      <c r="AK39" t="n">
        <v>0.9927</v>
      </c>
      <c r="AL39" t="n">
        <v>81.68000000000001</v>
      </c>
      <c r="AM39" t="n">
        <v>8.9176</v>
      </c>
      <c r="AN39" t="n">
        <v>9.638330756426855</v>
      </c>
      <c r="AO39" t="n">
        <v>0.804</v>
      </c>
      <c r="AP39" t="n">
        <v>6039.043023599974</v>
      </c>
      <c r="AQ39" t="n">
        <v>0.9931372549019607</v>
      </c>
      <c r="AR39" t="n">
        <v>5997.5986</v>
      </c>
      <c r="AT39" t="inlineStr">
        <is>
          <t>PNP_19T_30-12-2020</t>
        </is>
      </c>
      <c r="AU39" t="inlineStr">
        <is>
          <t>PNCP_12T_10-08-2020</t>
        </is>
      </c>
      <c r="AV39" t="inlineStr">
        <is>
          <t>PNCP_4T_30-04-2013</t>
        </is>
      </c>
      <c r="AW39" t="inlineStr">
        <is>
          <t>CHENA 220</t>
        </is>
      </c>
      <c r="AX39" t="n">
        <v>111.133</v>
      </c>
      <c r="AY39" t="n">
        <v>1.083385174100913</v>
      </c>
      <c r="AZ39" t="n">
        <v>120.3998445533567</v>
      </c>
      <c r="BA39" t="n">
        <v>801.49</v>
      </c>
      <c r="BB39" t="n">
        <v>0.905</v>
      </c>
      <c r="BC39" t="n">
        <v>87.33184062701827</v>
      </c>
      <c r="BD39" t="n">
        <v>0.9893</v>
      </c>
      <c r="BE39" t="n">
        <v>86.39700000000001</v>
      </c>
      <c r="BF39" t="n">
        <v>8.9176</v>
      </c>
      <c r="BG39" t="n">
        <v>0.77</v>
      </c>
      <c r="BH39" t="n">
        <v>5962.380796939026</v>
      </c>
      <c r="BI39" t="n">
        <v>0.9908823529411764</v>
      </c>
      <c r="BJ39" t="n">
        <v>5908.0179</v>
      </c>
    </row>
    <row r="40">
      <c r="A40" t="n">
        <v>167</v>
      </c>
      <c r="B40" t="inlineStr">
        <is>
          <t>01-03-2021</t>
        </is>
      </c>
      <c r="C40" t="n">
        <v>2021</v>
      </c>
      <c r="D40" t="n">
        <v>1</v>
      </c>
      <c r="E40" t="inlineStr">
        <is>
          <t>CAREN</t>
        </is>
      </c>
      <c r="F40" t="inlineStr">
        <is>
          <t>SUM_EEPA_C</t>
        </is>
      </c>
      <c r="G40" t="inlineStr">
        <is>
          <t>C</t>
        </is>
      </c>
      <c r="H40" t="inlineStr">
        <is>
          <t>EEPA</t>
        </is>
      </c>
      <c r="I40" t="inlineStr">
        <is>
          <t>EEPAPINTC</t>
        </is>
      </c>
      <c r="J40" t="inlineStr">
        <is>
          <t>LA_PINTANA</t>
        </is>
      </c>
      <c r="K40" t="n">
        <v>-2591.63402248</v>
      </c>
      <c r="L40" t="inlineStr">
        <is>
          <t>LA PINTANA</t>
        </is>
      </c>
      <c r="M40" t="inlineStr">
        <is>
          <t>POLPAICO</t>
        </is>
      </c>
      <c r="N40" t="n">
        <v>0.12720010987134</v>
      </c>
      <c r="O40" t="n">
        <v>329.656132</v>
      </c>
      <c r="P40" t="inlineStr">
        <is>
          <t>BS1C</t>
        </is>
      </c>
      <c r="Q40" t="n">
        <v>2</v>
      </c>
      <c r="W40" t="n">
        <v>2</v>
      </c>
      <c r="X40" t="n">
        <v>0</v>
      </c>
      <c r="AA40" t="inlineStr">
        <is>
          <t>PNP_16T_02-11-2020</t>
        </is>
      </c>
      <c r="AB40" t="inlineStr">
        <is>
          <t>PNCP_2T_10-02-2020</t>
        </is>
      </c>
      <c r="AC40" t="inlineStr">
        <is>
          <t>PNCP_4T_30-04-2013</t>
        </is>
      </c>
      <c r="AD40" t="inlineStr">
        <is>
          <t>POLPAICO 220</t>
        </is>
      </c>
      <c r="AE40" t="n">
        <v>111.133</v>
      </c>
      <c r="AF40" t="n">
        <v>1.080821157758461</v>
      </c>
      <c r="AG40" t="n">
        <v>120.1148977251711</v>
      </c>
      <c r="AH40" t="n">
        <v>779.3099999999999</v>
      </c>
      <c r="AI40" t="n">
        <v>0.879</v>
      </c>
      <c r="AJ40" t="n">
        <v>82.2803252917125</v>
      </c>
      <c r="AK40" t="n">
        <v>1</v>
      </c>
      <c r="AL40" t="n">
        <v>82.28</v>
      </c>
      <c r="AM40" t="n">
        <v>8.9176</v>
      </c>
      <c r="AN40" t="n">
        <v>9.638330756426855</v>
      </c>
      <c r="AO40" t="n">
        <v>0.804</v>
      </c>
      <c r="AP40" t="n">
        <v>6039.043023599974</v>
      </c>
      <c r="AQ40" t="n">
        <v>1</v>
      </c>
      <c r="AR40" t="n">
        <v>6039.043</v>
      </c>
      <c r="AT40" t="inlineStr">
        <is>
          <t>PNP_19T_30-12-2020</t>
        </is>
      </c>
      <c r="AU40" t="inlineStr">
        <is>
          <t>PNCP_12T_10-08-2020</t>
        </is>
      </c>
      <c r="AV40" t="inlineStr">
        <is>
          <t>PNCP_4T_30-04-2013</t>
        </is>
      </c>
      <c r="AW40" t="inlineStr">
        <is>
          <t>POLPAICO 220</t>
        </is>
      </c>
      <c r="AX40" t="n">
        <v>111.133</v>
      </c>
      <c r="AY40" t="n">
        <v>1.083385174100913</v>
      </c>
      <c r="AZ40" t="n">
        <v>120.3998445533567</v>
      </c>
      <c r="BA40" t="n">
        <v>801.49</v>
      </c>
      <c r="BB40" t="n">
        <v>0.905</v>
      </c>
      <c r="BC40" t="n">
        <v>87.33184062701827</v>
      </c>
      <c r="BD40" t="n">
        <v>1</v>
      </c>
      <c r="BE40" t="n">
        <v>87.33199999999999</v>
      </c>
      <c r="BF40" t="n">
        <v>8.9176</v>
      </c>
      <c r="BG40" t="n">
        <v>0.77</v>
      </c>
      <c r="BH40" t="n">
        <v>5962.380796939026</v>
      </c>
      <c r="BI40" t="n">
        <v>1</v>
      </c>
      <c r="BJ40" t="n">
        <v>5962.3808</v>
      </c>
    </row>
    <row r="41">
      <c r="A41" t="n">
        <v>169</v>
      </c>
      <c r="B41" t="inlineStr">
        <is>
          <t>01-03-2021</t>
        </is>
      </c>
      <c r="C41" t="n">
        <v>2021</v>
      </c>
      <c r="D41" t="n">
        <v>1</v>
      </c>
      <c r="E41" t="inlineStr">
        <is>
          <t>CAREN</t>
        </is>
      </c>
      <c r="F41" t="inlineStr">
        <is>
          <t>SUM_EEPA_C</t>
        </is>
      </c>
      <c r="G41" t="inlineStr">
        <is>
          <t>C</t>
        </is>
      </c>
      <c r="H41" t="inlineStr">
        <is>
          <t>EEPA</t>
        </is>
      </c>
      <c r="I41" t="inlineStr">
        <is>
          <t>EEPAPINTC</t>
        </is>
      </c>
      <c r="J41" t="inlineStr">
        <is>
          <t>LA_PINTANA</t>
        </is>
      </c>
      <c r="K41" t="n">
        <v>-2591.63402248</v>
      </c>
      <c r="L41" t="inlineStr">
        <is>
          <t>LA PINTANA</t>
        </is>
      </c>
      <c r="M41" t="inlineStr">
        <is>
          <t>QUILLOTA</t>
        </is>
      </c>
      <c r="N41" t="n">
        <v>0.00035050547515</v>
      </c>
      <c r="O41" t="n">
        <v>0.908382</v>
      </c>
      <c r="P41" t="inlineStr">
        <is>
          <t>BS1C</t>
        </is>
      </c>
      <c r="Q41" t="n">
        <v>2</v>
      </c>
      <c r="W41" t="n">
        <v>2</v>
      </c>
      <c r="X41" t="n">
        <v>0</v>
      </c>
      <c r="AA41" t="inlineStr">
        <is>
          <t>PNP_16T_02-11-2020</t>
        </is>
      </c>
      <c r="AB41" t="inlineStr">
        <is>
          <t>PNCP_2T_10-02-2020</t>
        </is>
      </c>
      <c r="AC41" t="inlineStr">
        <is>
          <t>PNCP_4T_30-04-2013</t>
        </is>
      </c>
      <c r="AD41" t="inlineStr">
        <is>
          <t>QUILLOTA 220</t>
        </is>
      </c>
      <c r="AE41" t="n">
        <v>111.133</v>
      </c>
      <c r="AF41" t="n">
        <v>1.080821157758461</v>
      </c>
      <c r="AG41" t="n">
        <v>120.1148977251711</v>
      </c>
      <c r="AH41" t="n">
        <v>779.3099999999999</v>
      </c>
      <c r="AI41" t="n">
        <v>0.879</v>
      </c>
      <c r="AJ41" t="n">
        <v>82.2803252917125</v>
      </c>
      <c r="AK41" t="n">
        <v>1.0097</v>
      </c>
      <c r="AL41" t="n">
        <v>83.078</v>
      </c>
      <c r="AM41" t="n">
        <v>8.9176</v>
      </c>
      <c r="AN41" t="n">
        <v>9.638330756426855</v>
      </c>
      <c r="AO41" t="n">
        <v>0.804</v>
      </c>
      <c r="AP41" t="n">
        <v>6039.043023599974</v>
      </c>
      <c r="AQ41" t="n">
        <v>1.02765397082658</v>
      </c>
      <c r="AR41" t="n">
        <v>6206.0465</v>
      </c>
      <c r="AT41" t="inlineStr">
        <is>
          <t>PNP_19T_30-12-2020</t>
        </is>
      </c>
      <c r="AU41" t="inlineStr">
        <is>
          <t>PNCP_12T_10-08-2020</t>
        </is>
      </c>
      <c r="AV41" t="inlineStr">
        <is>
          <t>PNCP_4T_30-04-2013</t>
        </is>
      </c>
      <c r="AW41" t="inlineStr">
        <is>
          <t>QUILLOTA 220</t>
        </is>
      </c>
      <c r="AX41" t="n">
        <v>111.133</v>
      </c>
      <c r="AY41" t="n">
        <v>1.083385174100913</v>
      </c>
      <c r="AZ41" t="n">
        <v>120.3998445533567</v>
      </c>
      <c r="BA41" t="n">
        <v>801.49</v>
      </c>
      <c r="BB41" t="n">
        <v>0.905</v>
      </c>
      <c r="BC41" t="n">
        <v>87.33184062701827</v>
      </c>
      <c r="BD41" t="n">
        <v>1.0154</v>
      </c>
      <c r="BE41" t="n">
        <v>88.67700000000001</v>
      </c>
      <c r="BF41" t="n">
        <v>8.9176</v>
      </c>
      <c r="BG41" t="n">
        <v>0.77</v>
      </c>
      <c r="BH41" t="n">
        <v>5962.380796939026</v>
      </c>
      <c r="BI41" t="n">
        <v>1.01509319286872</v>
      </c>
      <c r="BJ41" t="n">
        <v>6052.3722</v>
      </c>
    </row>
    <row r="42">
      <c r="A42" t="n">
        <v>2456</v>
      </c>
      <c r="B42" t="inlineStr">
        <is>
          <t>01-03-2021</t>
        </is>
      </c>
      <c r="C42" t="n">
        <v>2021</v>
      </c>
      <c r="D42" t="n">
        <v>1</v>
      </c>
      <c r="E42" t="inlineStr">
        <is>
          <t>CAREN</t>
        </is>
      </c>
      <c r="F42" t="inlineStr">
        <is>
          <t>SUM_EEPA_C</t>
        </is>
      </c>
      <c r="G42" t="inlineStr">
        <is>
          <t>C</t>
        </is>
      </c>
      <c r="H42" t="inlineStr">
        <is>
          <t>EEPA</t>
        </is>
      </c>
      <c r="I42" t="inlineStr">
        <is>
          <t>EEPAPTEAC</t>
        </is>
      </c>
      <c r="J42" t="inlineStr">
        <is>
          <t>P.ALTO</t>
        </is>
      </c>
      <c r="K42" t="n">
        <v>-2786.76587148</v>
      </c>
      <c r="L42" t="inlineStr">
        <is>
          <t>PUENTE ALTO</t>
        </is>
      </c>
      <c r="M42" t="inlineStr">
        <is>
          <t>ALTO JAHUEL</t>
        </is>
      </c>
      <c r="N42" t="n">
        <v>0.47942546746253</v>
      </c>
      <c r="O42" t="n">
        <v>1336.046531</v>
      </c>
      <c r="P42" t="inlineStr">
        <is>
          <t>BS1C</t>
        </is>
      </c>
      <c r="Q42" t="n">
        <v>2</v>
      </c>
      <c r="W42" t="n">
        <v>2</v>
      </c>
      <c r="X42" t="n">
        <v>0</v>
      </c>
      <c r="AA42" t="inlineStr">
        <is>
          <t>PNP_16T_02-11-2020</t>
        </is>
      </c>
      <c r="AB42" t="inlineStr">
        <is>
          <t>PNCP_2T_10-02-2020</t>
        </is>
      </c>
      <c r="AC42" t="inlineStr">
        <is>
          <t>PNCP_4T_30-04-2013</t>
        </is>
      </c>
      <c r="AD42" t="inlineStr">
        <is>
          <t>ALTO JAHUEL 220</t>
        </is>
      </c>
      <c r="AE42" t="n">
        <v>111.133</v>
      </c>
      <c r="AF42" t="n">
        <v>1.080821157758461</v>
      </c>
      <c r="AG42" t="n">
        <v>120.1148977251711</v>
      </c>
      <c r="AH42" t="n">
        <v>779.3099999999999</v>
      </c>
      <c r="AI42" t="n">
        <v>0.879</v>
      </c>
      <c r="AJ42" t="n">
        <v>82.2803252917125</v>
      </c>
      <c r="AK42" t="n">
        <v>0.976</v>
      </c>
      <c r="AL42" t="n">
        <v>80.306</v>
      </c>
      <c r="AM42" t="n">
        <v>8.9176</v>
      </c>
      <c r="AN42" t="n">
        <v>9.638330756426855</v>
      </c>
      <c r="AO42" t="n">
        <v>0.804</v>
      </c>
      <c r="AP42" t="n">
        <v>6039.043023599974</v>
      </c>
      <c r="AQ42" t="n">
        <v>0.9955361571272692</v>
      </c>
      <c r="AR42" t="n">
        <v>6012.0857</v>
      </c>
      <c r="AT42" t="inlineStr">
        <is>
          <t>PNP_19T_30-12-2020</t>
        </is>
      </c>
      <c r="AU42" t="inlineStr">
        <is>
          <t>PNCP_12T_10-08-2020</t>
        </is>
      </c>
      <c r="AV42" t="inlineStr">
        <is>
          <t>PNCP_4T_30-04-2013</t>
        </is>
      </c>
      <c r="AW42" t="inlineStr">
        <is>
          <t>ALTO JAHUEL 220</t>
        </is>
      </c>
      <c r="AX42" t="n">
        <v>111.133</v>
      </c>
      <c r="AY42" t="n">
        <v>1.083385174100913</v>
      </c>
      <c r="AZ42" t="n">
        <v>120.3998445533567</v>
      </c>
      <c r="BA42" t="n">
        <v>801.49</v>
      </c>
      <c r="BB42" t="n">
        <v>0.905</v>
      </c>
      <c r="BC42" t="n">
        <v>87.33184062701827</v>
      </c>
      <c r="BD42" t="n">
        <v>0.9752999999999999</v>
      </c>
      <c r="BE42" t="n">
        <v>85.175</v>
      </c>
      <c r="BF42" t="n">
        <v>8.9176</v>
      </c>
      <c r="BG42" t="n">
        <v>0.77</v>
      </c>
      <c r="BH42" t="n">
        <v>5962.380796939026</v>
      </c>
      <c r="BI42" t="n">
        <v>0.9846245412161493</v>
      </c>
      <c r="BJ42" t="n">
        <v>5870.7065</v>
      </c>
    </row>
    <row r="43">
      <c r="A43" t="n">
        <v>2458</v>
      </c>
      <c r="B43" t="inlineStr">
        <is>
          <t>01-03-2021</t>
        </is>
      </c>
      <c r="C43" t="n">
        <v>2021</v>
      </c>
      <c r="D43" t="n">
        <v>1</v>
      </c>
      <c r="E43" t="inlineStr">
        <is>
          <t>CAREN</t>
        </is>
      </c>
      <c r="F43" t="inlineStr">
        <is>
          <t>SUM_EEPA_C</t>
        </is>
      </c>
      <c r="G43" t="inlineStr">
        <is>
          <t>C</t>
        </is>
      </c>
      <c r="H43" t="inlineStr">
        <is>
          <t>EEPA</t>
        </is>
      </c>
      <c r="I43" t="inlineStr">
        <is>
          <t>EEPAPTEAC</t>
        </is>
      </c>
      <c r="J43" t="inlineStr">
        <is>
          <t>P.ALTO</t>
        </is>
      </c>
      <c r="K43" t="n">
        <v>-2786.76587148</v>
      </c>
      <c r="L43" t="inlineStr">
        <is>
          <t>PUENTE ALTO</t>
        </is>
      </c>
      <c r="M43" t="inlineStr">
        <is>
          <t>CERRO NAVIA</t>
        </is>
      </c>
      <c r="N43" t="n">
        <v>0.19633406892894</v>
      </c>
      <c r="O43" t="n">
        <v>547.137083</v>
      </c>
      <c r="P43" t="inlineStr">
        <is>
          <t>BS1C</t>
        </is>
      </c>
      <c r="Q43" t="n">
        <v>2</v>
      </c>
      <c r="W43" t="n">
        <v>2</v>
      </c>
      <c r="X43" t="n">
        <v>0</v>
      </c>
      <c r="AA43" t="inlineStr">
        <is>
          <t>PNP_16T_02-11-2020</t>
        </is>
      </c>
      <c r="AB43" t="inlineStr">
        <is>
          <t>PNCP_2T_10-02-2020</t>
        </is>
      </c>
      <c r="AC43" t="inlineStr">
        <is>
          <t>PNCP_4T_30-04-2013</t>
        </is>
      </c>
      <c r="AD43" t="inlineStr">
        <is>
          <t>CERRO NAVIA 220</t>
        </is>
      </c>
      <c r="AE43" t="n">
        <v>111.133</v>
      </c>
      <c r="AF43" t="n">
        <v>1.080821157758461</v>
      </c>
      <c r="AG43" t="n">
        <v>120.1148977251711</v>
      </c>
      <c r="AH43" t="n">
        <v>779.3099999999999</v>
      </c>
      <c r="AI43" t="n">
        <v>0.879</v>
      </c>
      <c r="AJ43" t="n">
        <v>82.2803252917125</v>
      </c>
      <c r="AK43" t="n">
        <v>1.0036</v>
      </c>
      <c r="AL43" t="n">
        <v>82.577</v>
      </c>
      <c r="AM43" t="n">
        <v>8.9176</v>
      </c>
      <c r="AN43" t="n">
        <v>9.638330756426855</v>
      </c>
      <c r="AO43" t="n">
        <v>0.804</v>
      </c>
      <c r="AP43" t="n">
        <v>6039.043023599974</v>
      </c>
      <c r="AQ43" t="n">
        <v>0.9900166389351082</v>
      </c>
      <c r="AR43" t="n">
        <v>5978.7531</v>
      </c>
      <c r="AT43" t="inlineStr">
        <is>
          <t>PNP_19T_30-12-2020</t>
        </is>
      </c>
      <c r="AU43" t="inlineStr">
        <is>
          <t>PNCP_12T_10-08-2020</t>
        </is>
      </c>
      <c r="AV43" t="inlineStr">
        <is>
          <t>PNCP_4T_30-04-2013</t>
        </is>
      </c>
      <c r="AW43" t="inlineStr">
        <is>
          <t>CERRO NAVIA 220</t>
        </is>
      </c>
      <c r="AX43" t="n">
        <v>111.133</v>
      </c>
      <c r="AY43" t="n">
        <v>1.083385174100913</v>
      </c>
      <c r="AZ43" t="n">
        <v>120.3998445533567</v>
      </c>
      <c r="BA43" t="n">
        <v>801.49</v>
      </c>
      <c r="BB43" t="n">
        <v>0.905</v>
      </c>
      <c r="BC43" t="n">
        <v>87.33184062701827</v>
      </c>
      <c r="BD43" t="n">
        <v>0.9953</v>
      </c>
      <c r="BE43" t="n">
        <v>86.92100000000001</v>
      </c>
      <c r="BF43" t="n">
        <v>8.9176</v>
      </c>
      <c r="BG43" t="n">
        <v>0.77</v>
      </c>
      <c r="BH43" t="n">
        <v>5962.380796939026</v>
      </c>
      <c r="BI43" t="n">
        <v>0.9890378780463932</v>
      </c>
      <c r="BJ43" t="n">
        <v>5897.0205</v>
      </c>
    </row>
    <row r="44">
      <c r="A44" t="n">
        <v>2460</v>
      </c>
      <c r="B44" t="inlineStr">
        <is>
          <t>01-03-2021</t>
        </is>
      </c>
      <c r="C44" t="n">
        <v>2021</v>
      </c>
      <c r="D44" t="n">
        <v>1</v>
      </c>
      <c r="E44" t="inlineStr">
        <is>
          <t>CAREN</t>
        </is>
      </c>
      <c r="F44" t="inlineStr">
        <is>
          <t>SUM_EEPA_C</t>
        </is>
      </c>
      <c r="G44" t="inlineStr">
        <is>
          <t>C</t>
        </is>
      </c>
      <c r="H44" t="inlineStr">
        <is>
          <t>EEPA</t>
        </is>
      </c>
      <c r="I44" t="inlineStr">
        <is>
          <t>EEPAPTEAC</t>
        </is>
      </c>
      <c r="J44" t="inlineStr">
        <is>
          <t>P.ALTO</t>
        </is>
      </c>
      <c r="K44" t="n">
        <v>-2786.76587148</v>
      </c>
      <c r="L44" t="inlineStr">
        <is>
          <t>PUENTE ALTO</t>
        </is>
      </c>
      <c r="M44" t="inlineStr">
        <is>
          <t>CHENA</t>
        </is>
      </c>
      <c r="N44" t="n">
        <v>0.18022957546229</v>
      </c>
      <c r="O44" t="n">
        <v>502.25763</v>
      </c>
      <c r="P44" t="inlineStr">
        <is>
          <t>BS1C</t>
        </is>
      </c>
      <c r="Q44" t="n">
        <v>2</v>
      </c>
      <c r="W44" t="n">
        <v>2</v>
      </c>
      <c r="X44" t="n">
        <v>0</v>
      </c>
      <c r="AA44" t="inlineStr">
        <is>
          <t>PNP_16T_02-11-2020</t>
        </is>
      </c>
      <c r="AB44" t="inlineStr">
        <is>
          <t>PNCP_2T_10-02-2020</t>
        </is>
      </c>
      <c r="AC44" t="inlineStr">
        <is>
          <t>PNCP_4T_30-04-2013</t>
        </is>
      </c>
      <c r="AD44" t="inlineStr">
        <is>
          <t>CHENA 220</t>
        </is>
      </c>
      <c r="AE44" t="n">
        <v>111.133</v>
      </c>
      <c r="AF44" t="n">
        <v>1.080821157758461</v>
      </c>
      <c r="AG44" t="n">
        <v>120.1148977251711</v>
      </c>
      <c r="AH44" t="n">
        <v>779.3099999999999</v>
      </c>
      <c r="AI44" t="n">
        <v>0.879</v>
      </c>
      <c r="AJ44" t="n">
        <v>82.2803252917125</v>
      </c>
      <c r="AK44" t="n">
        <v>0.9927</v>
      </c>
      <c r="AL44" t="n">
        <v>81.68000000000001</v>
      </c>
      <c r="AM44" t="n">
        <v>8.9176</v>
      </c>
      <c r="AN44" t="n">
        <v>9.638330756426855</v>
      </c>
      <c r="AO44" t="n">
        <v>0.804</v>
      </c>
      <c r="AP44" t="n">
        <v>6039.043023599974</v>
      </c>
      <c r="AQ44" t="n">
        <v>0.9931372549019607</v>
      </c>
      <c r="AR44" t="n">
        <v>5997.5986</v>
      </c>
      <c r="AT44" t="inlineStr">
        <is>
          <t>PNP_19T_30-12-2020</t>
        </is>
      </c>
      <c r="AU44" t="inlineStr">
        <is>
          <t>PNCP_12T_10-08-2020</t>
        </is>
      </c>
      <c r="AV44" t="inlineStr">
        <is>
          <t>PNCP_4T_30-04-2013</t>
        </is>
      </c>
      <c r="AW44" t="inlineStr">
        <is>
          <t>CHENA 220</t>
        </is>
      </c>
      <c r="AX44" t="n">
        <v>111.133</v>
      </c>
      <c r="AY44" t="n">
        <v>1.083385174100913</v>
      </c>
      <c r="AZ44" t="n">
        <v>120.3998445533567</v>
      </c>
      <c r="BA44" t="n">
        <v>801.49</v>
      </c>
      <c r="BB44" t="n">
        <v>0.905</v>
      </c>
      <c r="BC44" t="n">
        <v>87.33184062701827</v>
      </c>
      <c r="BD44" t="n">
        <v>0.9893</v>
      </c>
      <c r="BE44" t="n">
        <v>86.39700000000001</v>
      </c>
      <c r="BF44" t="n">
        <v>8.9176</v>
      </c>
      <c r="BG44" t="n">
        <v>0.77</v>
      </c>
      <c r="BH44" t="n">
        <v>5962.380796939026</v>
      </c>
      <c r="BI44" t="n">
        <v>0.9908823529411764</v>
      </c>
      <c r="BJ44" t="n">
        <v>5908.0179</v>
      </c>
    </row>
    <row r="45">
      <c r="A45" t="n">
        <v>2462</v>
      </c>
      <c r="B45" t="inlineStr">
        <is>
          <t>01-03-2021</t>
        </is>
      </c>
      <c r="C45" t="n">
        <v>2021</v>
      </c>
      <c r="D45" t="n">
        <v>1</v>
      </c>
      <c r="E45" t="inlineStr">
        <is>
          <t>CAREN</t>
        </is>
      </c>
      <c r="F45" t="inlineStr">
        <is>
          <t>SUM_EEPA_C</t>
        </is>
      </c>
      <c r="G45" t="inlineStr">
        <is>
          <t>C</t>
        </is>
      </c>
      <c r="H45" t="inlineStr">
        <is>
          <t>EEPA</t>
        </is>
      </c>
      <c r="I45" t="inlineStr">
        <is>
          <t>EEPAPTEAC</t>
        </is>
      </c>
      <c r="J45" t="inlineStr">
        <is>
          <t>P.ALTO</t>
        </is>
      </c>
      <c r="K45" t="n">
        <v>-2786.76587148</v>
      </c>
      <c r="L45" t="inlineStr">
        <is>
          <t>PUENTE ALTO</t>
        </is>
      </c>
      <c r="M45" t="inlineStr">
        <is>
          <t>POLPAICO</t>
        </is>
      </c>
      <c r="N45" t="n">
        <v>0.15806680720659</v>
      </c>
      <c r="O45" t="n">
        <v>440.495184</v>
      </c>
      <c r="P45" t="inlineStr">
        <is>
          <t>BS1C</t>
        </is>
      </c>
      <c r="Q45" t="n">
        <v>2</v>
      </c>
      <c r="W45" t="n">
        <v>2</v>
      </c>
      <c r="X45" t="n">
        <v>0</v>
      </c>
      <c r="AA45" t="inlineStr">
        <is>
          <t>PNP_16T_02-11-2020</t>
        </is>
      </c>
      <c r="AB45" t="inlineStr">
        <is>
          <t>PNCP_2T_10-02-2020</t>
        </is>
      </c>
      <c r="AC45" t="inlineStr">
        <is>
          <t>PNCP_4T_30-04-2013</t>
        </is>
      </c>
      <c r="AD45" t="inlineStr">
        <is>
          <t>POLPAICO 220</t>
        </is>
      </c>
      <c r="AE45" t="n">
        <v>111.133</v>
      </c>
      <c r="AF45" t="n">
        <v>1.080821157758461</v>
      </c>
      <c r="AG45" t="n">
        <v>120.1148977251711</v>
      </c>
      <c r="AH45" t="n">
        <v>779.3099999999999</v>
      </c>
      <c r="AI45" t="n">
        <v>0.879</v>
      </c>
      <c r="AJ45" t="n">
        <v>82.2803252917125</v>
      </c>
      <c r="AK45" t="n">
        <v>1</v>
      </c>
      <c r="AL45" t="n">
        <v>82.28</v>
      </c>
      <c r="AM45" t="n">
        <v>8.9176</v>
      </c>
      <c r="AN45" t="n">
        <v>9.638330756426855</v>
      </c>
      <c r="AO45" t="n">
        <v>0.804</v>
      </c>
      <c r="AP45" t="n">
        <v>6039.043023599974</v>
      </c>
      <c r="AQ45" t="n">
        <v>1</v>
      </c>
      <c r="AR45" t="n">
        <v>6039.043</v>
      </c>
      <c r="AT45" t="inlineStr">
        <is>
          <t>PNP_19T_30-12-2020</t>
        </is>
      </c>
      <c r="AU45" t="inlineStr">
        <is>
          <t>PNCP_12T_10-08-2020</t>
        </is>
      </c>
      <c r="AV45" t="inlineStr">
        <is>
          <t>PNCP_4T_30-04-2013</t>
        </is>
      </c>
      <c r="AW45" t="inlineStr">
        <is>
          <t>POLPAICO 220</t>
        </is>
      </c>
      <c r="AX45" t="n">
        <v>111.133</v>
      </c>
      <c r="AY45" t="n">
        <v>1.083385174100913</v>
      </c>
      <c r="AZ45" t="n">
        <v>120.3998445533567</v>
      </c>
      <c r="BA45" t="n">
        <v>801.49</v>
      </c>
      <c r="BB45" t="n">
        <v>0.905</v>
      </c>
      <c r="BC45" t="n">
        <v>87.33184062701827</v>
      </c>
      <c r="BD45" t="n">
        <v>1</v>
      </c>
      <c r="BE45" t="n">
        <v>87.33199999999999</v>
      </c>
      <c r="BF45" t="n">
        <v>8.9176</v>
      </c>
      <c r="BG45" t="n">
        <v>0.77</v>
      </c>
      <c r="BH45" t="n">
        <v>5962.380796939026</v>
      </c>
      <c r="BI45" t="n">
        <v>1</v>
      </c>
      <c r="BJ45" t="n">
        <v>5962.3808</v>
      </c>
    </row>
    <row r="46">
      <c r="A46" t="n">
        <v>2464</v>
      </c>
      <c r="B46" t="inlineStr">
        <is>
          <t>01-03-2021</t>
        </is>
      </c>
      <c r="C46" t="n">
        <v>2021</v>
      </c>
      <c r="D46" t="n">
        <v>1</v>
      </c>
      <c r="E46" t="inlineStr">
        <is>
          <t>CAREN</t>
        </is>
      </c>
      <c r="F46" t="inlineStr">
        <is>
          <t>SUM_EEPA_C</t>
        </is>
      </c>
      <c r="G46" t="inlineStr">
        <is>
          <t>C</t>
        </is>
      </c>
      <c r="H46" t="inlineStr">
        <is>
          <t>EEPA</t>
        </is>
      </c>
      <c r="I46" t="inlineStr">
        <is>
          <t>EEPAPTEAC</t>
        </is>
      </c>
      <c r="J46" t="inlineStr">
        <is>
          <t>P.ALTO</t>
        </is>
      </c>
      <c r="K46" t="n">
        <v>-2786.76587148</v>
      </c>
      <c r="L46" t="inlineStr">
        <is>
          <t>PUENTE ALTO</t>
        </is>
      </c>
      <c r="M46" t="inlineStr">
        <is>
          <t>QUILLOTA</t>
        </is>
      </c>
      <c r="N46" t="n">
        <v>0.00052325762944</v>
      </c>
      <c r="O46" t="n">
        <v>1.458197</v>
      </c>
      <c r="P46" t="inlineStr">
        <is>
          <t>BS1C</t>
        </is>
      </c>
      <c r="Q46" t="n">
        <v>2</v>
      </c>
      <c r="W46" t="n">
        <v>2</v>
      </c>
      <c r="X46" t="n">
        <v>0</v>
      </c>
      <c r="AA46" t="inlineStr">
        <is>
          <t>PNP_16T_02-11-2020</t>
        </is>
      </c>
      <c r="AB46" t="inlineStr">
        <is>
          <t>PNCP_2T_10-02-2020</t>
        </is>
      </c>
      <c r="AC46" t="inlineStr">
        <is>
          <t>PNCP_4T_30-04-2013</t>
        </is>
      </c>
      <c r="AD46" t="inlineStr">
        <is>
          <t>QUILLOTA 220</t>
        </is>
      </c>
      <c r="AE46" t="n">
        <v>111.133</v>
      </c>
      <c r="AF46" t="n">
        <v>1.080821157758461</v>
      </c>
      <c r="AG46" t="n">
        <v>120.1148977251711</v>
      </c>
      <c r="AH46" t="n">
        <v>779.3099999999999</v>
      </c>
      <c r="AI46" t="n">
        <v>0.879</v>
      </c>
      <c r="AJ46" t="n">
        <v>82.2803252917125</v>
      </c>
      <c r="AK46" t="n">
        <v>1.0097</v>
      </c>
      <c r="AL46" t="n">
        <v>83.078</v>
      </c>
      <c r="AM46" t="n">
        <v>8.9176</v>
      </c>
      <c r="AN46" t="n">
        <v>9.638330756426855</v>
      </c>
      <c r="AO46" t="n">
        <v>0.804</v>
      </c>
      <c r="AP46" t="n">
        <v>6039.043023599974</v>
      </c>
      <c r="AQ46" t="n">
        <v>1.02765397082658</v>
      </c>
      <c r="AR46" t="n">
        <v>6206.0465</v>
      </c>
      <c r="AT46" t="inlineStr">
        <is>
          <t>PNP_19T_30-12-2020</t>
        </is>
      </c>
      <c r="AU46" t="inlineStr">
        <is>
          <t>PNCP_12T_10-08-2020</t>
        </is>
      </c>
      <c r="AV46" t="inlineStr">
        <is>
          <t>PNCP_4T_30-04-2013</t>
        </is>
      </c>
      <c r="AW46" t="inlineStr">
        <is>
          <t>QUILLOTA 220</t>
        </is>
      </c>
      <c r="AX46" t="n">
        <v>111.133</v>
      </c>
      <c r="AY46" t="n">
        <v>1.083385174100913</v>
      </c>
      <c r="AZ46" t="n">
        <v>120.3998445533567</v>
      </c>
      <c r="BA46" t="n">
        <v>801.49</v>
      </c>
      <c r="BB46" t="n">
        <v>0.905</v>
      </c>
      <c r="BC46" t="n">
        <v>87.33184062701827</v>
      </c>
      <c r="BD46" t="n">
        <v>1.0154</v>
      </c>
      <c r="BE46" t="n">
        <v>88.67700000000001</v>
      </c>
      <c r="BF46" t="n">
        <v>8.9176</v>
      </c>
      <c r="BG46" t="n">
        <v>0.77</v>
      </c>
      <c r="BH46" t="n">
        <v>5962.380796939026</v>
      </c>
      <c r="BI46" t="n">
        <v>1.01509319286872</v>
      </c>
      <c r="BJ46" t="n">
        <v>6052.3722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C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Cliente</t>
        </is>
      </c>
      <c r="G1" s="1" t="inlineStr">
        <is>
          <t>Distribuidora</t>
        </is>
      </c>
      <c r="H1" s="1" t="inlineStr">
        <is>
          <t>BarraBT</t>
        </is>
      </c>
      <c r="I1" s="1" t="inlineStr">
        <is>
          <t>Turno</t>
        </is>
      </c>
      <c r="J1" s="1" t="inlineStr">
        <is>
          <t>PotenciaConsumo_kW</t>
        </is>
      </c>
      <c r="K1" s="1" t="inlineStr">
        <is>
          <t>BloqueCompleto</t>
        </is>
      </c>
      <c r="L1" s="1" t="inlineStr">
        <is>
          <t>BarraEnAT</t>
        </is>
      </c>
      <c r="M1" s="1" t="inlineStr">
        <is>
          <t>FactorRefPotencia_BT_AT</t>
        </is>
      </c>
      <c r="N1" s="1" t="inlineStr">
        <is>
          <t>Potencia_kW_AT</t>
        </is>
      </c>
      <c r="O1" s="1" t="inlineStr">
        <is>
          <t>MaxPPA</t>
        </is>
      </c>
      <c r="P1" s="1" t="inlineStr">
        <is>
          <t>Denominador</t>
        </is>
      </c>
      <c r="Q1" s="1" t="inlineStr">
        <is>
          <t>Prorrata</t>
        </is>
      </c>
      <c r="R1" s="1" t="inlineStr">
        <is>
          <t>PotenciaBloqueTurnoAnhoMesBarra_kW</t>
        </is>
      </c>
      <c r="S1" s="1" t="inlineStr">
        <is>
          <t>V_DecretoPNPVigente</t>
        </is>
      </c>
      <c r="T1" s="1" t="inlineStr">
        <is>
          <t>V_DecretoPNCPAsociado</t>
        </is>
      </c>
      <c r="U1" s="1" t="inlineStr">
        <is>
          <t>V_DecretoPNCPLicitacion</t>
        </is>
      </c>
      <c r="V1" s="1" t="inlineStr">
        <is>
          <t>V_Barra</t>
        </is>
      </c>
      <c r="W1" s="1" t="inlineStr">
        <is>
          <t>V_PrecioOferta_EnergiaPolpaico220</t>
        </is>
      </c>
      <c r="X1" s="1" t="inlineStr">
        <is>
          <t>V_Indexacion</t>
        </is>
      </c>
      <c r="Y1" s="1" t="inlineStr">
        <is>
          <t>V_PrecioEnergiaIndexado_USDMWh</t>
        </is>
      </c>
      <c r="Z1" s="1" t="inlineStr">
        <is>
          <t>V_DolarPNPVigente</t>
        </is>
      </c>
      <c r="AA1" s="1" t="inlineStr">
        <is>
          <t>V_FactorAjusteEnergia</t>
        </is>
      </c>
      <c r="AB1" s="1" t="inlineStr">
        <is>
          <t>V_PrecioEnergiaAjustado_CLP_kWh_Polpaico220</t>
        </is>
      </c>
      <c r="AC1" s="1" t="inlineStr">
        <is>
          <t>V_FPEnergia</t>
        </is>
      </c>
      <c r="AD1" s="1" t="inlineStr">
        <is>
          <t>V_PrecioEnergiaAjustado_CLP_kWh</t>
        </is>
      </c>
      <c r="AE1" s="1" t="inlineStr">
        <is>
          <t>V_PrecioPotenciaUSD_kW_Mes</t>
        </is>
      </c>
      <c r="AF1" s="1" t="inlineStr">
        <is>
          <t>V_PrecioPotenciaIndexadoUSD_kW_Mes</t>
        </is>
      </c>
      <c r="AG1" s="1" t="inlineStr">
        <is>
          <t>V_FactorAjustePotencia</t>
        </is>
      </c>
      <c r="AH1" s="1" t="inlineStr">
        <is>
          <t>V_PrecioPotenciaAjustado_CLP_kW_Mes_Polpaico220</t>
        </is>
      </c>
      <c r="AI1" s="1" t="inlineStr">
        <is>
          <t>V_FPPotencia</t>
        </is>
      </c>
      <c r="AJ1" s="1" t="inlineStr">
        <is>
          <t>V_PrecioPotenciaAjustado_CLP_kW_Mes</t>
        </is>
      </c>
      <c r="AK1" s="1" t="inlineStr">
        <is>
          <t>V_TotalPotenciaMesBarraGxDxBloque_CLP_kW_Mes</t>
        </is>
      </c>
      <c r="AL1" s="1" t="inlineStr">
        <is>
          <t>R_DecretoPNPReliquidacion</t>
        </is>
      </c>
      <c r="AM1" s="1" t="inlineStr">
        <is>
          <t>R_DecretoPNCPAsociado</t>
        </is>
      </c>
      <c r="AN1" s="1" t="inlineStr">
        <is>
          <t>R_DecretoPNCPLicitacion</t>
        </is>
      </c>
      <c r="AO1" s="1" t="inlineStr">
        <is>
          <t>R_Barra</t>
        </is>
      </c>
      <c r="AP1" s="1" t="inlineStr">
        <is>
          <t>R_PrecioOfertaEnergiaPolpaico220</t>
        </is>
      </c>
      <c r="AQ1" s="1" t="inlineStr">
        <is>
          <t>R_Indexacion</t>
        </is>
      </c>
      <c r="AR1" s="1" t="inlineStr">
        <is>
          <t>R_PrecioEnergiaIndexado_USDMWh</t>
        </is>
      </c>
      <c r="AS1" s="1" t="inlineStr">
        <is>
          <t>R_DolarPNPReliquidacion</t>
        </is>
      </c>
      <c r="AT1" s="1" t="inlineStr">
        <is>
          <t>R_FactorAjusteEnergia</t>
        </is>
      </c>
      <c r="AU1" s="1" t="inlineStr">
        <is>
          <t>R_PrecioEnergiaAjustado_CLP_kWh_Polpaico220</t>
        </is>
      </c>
      <c r="AV1" s="1" t="inlineStr">
        <is>
          <t>R_FPEnergia</t>
        </is>
      </c>
      <c r="AW1" s="1" t="inlineStr">
        <is>
          <t>R_PrecioEnergiaAjustado_CLP_kWh</t>
        </is>
      </c>
      <c r="AX1" s="1" t="inlineStr">
        <is>
          <t>R_PrecioPotenciaUSD_kW_Mes</t>
        </is>
      </c>
      <c r="AY1" s="1" t="inlineStr">
        <is>
          <t>R_FactorAjustePotencia</t>
        </is>
      </c>
      <c r="AZ1" s="1" t="inlineStr">
        <is>
          <t>R_PrecioPotenciaAjustado_CLP_kW_Mes_Polpaico220</t>
        </is>
      </c>
      <c r="BA1" s="1" t="inlineStr">
        <is>
          <t>R_FPPotencia</t>
        </is>
      </c>
      <c r="BB1" s="1" t="inlineStr">
        <is>
          <t>R_PrecioPotenciaAjustado_CLP_kW_Mes</t>
        </is>
      </c>
      <c r="BC1" s="1" t="inlineStr">
        <is>
          <t>R_TotalPotenciaMesBarraGxDxBloque_CLP_kW_Mes</t>
        </is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P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Tipo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Propietario</t>
        </is>
      </c>
      <c r="G1" s="1" t="inlineStr">
        <is>
          <t>Turno</t>
        </is>
      </c>
      <c r="H1" s="1" t="inlineStr">
        <is>
          <t>Distribuidora</t>
        </is>
      </c>
      <c r="I1" s="1" t="inlineStr">
        <is>
          <t>Clave</t>
        </is>
      </c>
      <c r="J1" s="1" t="inlineStr">
        <is>
          <t>PuntoRetiro</t>
        </is>
      </c>
      <c r="K1" s="1" t="inlineStr">
        <is>
          <t>ConsumoEnergiaBT</t>
        </is>
      </c>
      <c r="L1" s="1" t="inlineStr">
        <is>
          <t>Prorrata</t>
        </is>
      </c>
      <c r="M1" s="1" t="inlineStr">
        <is>
          <t>Medida_kWh</t>
        </is>
      </c>
      <c r="N1" s="1" t="inlineStr">
        <is>
          <t>PuntoRetiroBT</t>
        </is>
      </c>
      <c r="O1" s="1" t="inlineStr">
        <is>
          <t>Bloque</t>
        </is>
      </c>
      <c r="P1" s="1" t="inlineStr">
        <is>
          <t>Incremento</t>
        </is>
      </c>
    </row>
    <row r="2">
      <c r="A2" t="inlineStr">
        <is>
          <t>R_G</t>
        </is>
      </c>
      <c r="B2" t="inlineStr">
        <is>
          <t>01-01-2021</t>
        </is>
      </c>
      <c r="C2" t="n">
        <v>2021</v>
      </c>
      <c r="D2" t="n">
        <v>1</v>
      </c>
      <c r="E2" t="inlineStr">
        <is>
          <t>CAREN</t>
        </is>
      </c>
      <c r="F2" t="inlineStr">
        <is>
          <t>SUM_EEPA_C</t>
        </is>
      </c>
      <c r="G2" t="inlineStr">
        <is>
          <t>C</t>
        </is>
      </c>
      <c r="H2" t="inlineStr">
        <is>
          <t>EEPA</t>
        </is>
      </c>
      <c r="I2" t="inlineStr">
        <is>
          <t>EEPACOSTC</t>
        </is>
      </c>
      <c r="J2" t="inlineStr">
        <is>
          <t>COSTANERA</t>
        </is>
      </c>
      <c r="M2" t="n">
        <v>1563.38996912</v>
      </c>
      <c r="N2" t="inlineStr">
        <is>
          <t>COSTANERA</t>
        </is>
      </c>
      <c r="O2" t="inlineStr">
        <is>
          <t>BS1C</t>
        </is>
      </c>
      <c r="P2" t="n">
        <v>2</v>
      </c>
    </row>
    <row r="3">
      <c r="A3" t="inlineStr">
        <is>
          <t>R_G</t>
        </is>
      </c>
      <c r="B3" t="inlineStr">
        <is>
          <t>01-01-2021</t>
        </is>
      </c>
      <c r="C3" t="n">
        <v>2021</v>
      </c>
      <c r="D3" t="n">
        <v>1</v>
      </c>
      <c r="E3" t="inlineStr">
        <is>
          <t>CAREN</t>
        </is>
      </c>
      <c r="F3" t="inlineStr">
        <is>
          <t>SUM_EEPA_C</t>
        </is>
      </c>
      <c r="G3" t="inlineStr">
        <is>
          <t>C</t>
        </is>
      </c>
      <c r="H3" t="inlineStr">
        <is>
          <t>EEPA</t>
        </is>
      </c>
      <c r="I3" t="inlineStr">
        <is>
          <t>EEPAPINTC</t>
        </is>
      </c>
      <c r="J3" t="inlineStr">
        <is>
          <t>LA_PINTANA</t>
        </is>
      </c>
      <c r="M3" t="n">
        <v>2517.94564747</v>
      </c>
      <c r="N3" t="inlineStr">
        <is>
          <t>LA PINTANA</t>
        </is>
      </c>
      <c r="O3" t="inlineStr">
        <is>
          <t>BS1C</t>
        </is>
      </c>
      <c r="P3" t="n">
        <v>2</v>
      </c>
    </row>
    <row r="4">
      <c r="A4" t="inlineStr">
        <is>
          <t>R_G</t>
        </is>
      </c>
      <c r="B4" t="inlineStr">
        <is>
          <t>01-01-2021</t>
        </is>
      </c>
      <c r="C4" t="n">
        <v>2021</v>
      </c>
      <c r="D4" t="n">
        <v>1</v>
      </c>
      <c r="E4" t="inlineStr">
        <is>
          <t>CAREN</t>
        </is>
      </c>
      <c r="F4" t="inlineStr">
        <is>
          <t>SUM_EEPA_C</t>
        </is>
      </c>
      <c r="G4" t="inlineStr">
        <is>
          <t>C</t>
        </is>
      </c>
      <c r="H4" t="inlineStr">
        <is>
          <t>EEPA</t>
        </is>
      </c>
      <c r="I4" t="inlineStr">
        <is>
          <t>EEPAPTEAC</t>
        </is>
      </c>
      <c r="J4" t="inlineStr">
        <is>
          <t>P.ALTO</t>
        </is>
      </c>
      <c r="M4" t="n">
        <v>2754.90884354</v>
      </c>
      <c r="N4" t="inlineStr">
        <is>
          <t>PUENTE ALTO</t>
        </is>
      </c>
      <c r="O4" t="inlineStr">
        <is>
          <t>BS1C</t>
        </is>
      </c>
      <c r="P4" t="n">
        <v>2</v>
      </c>
    </row>
    <row r="5">
      <c r="A5" t="inlineStr">
        <is>
          <t>R_G</t>
        </is>
      </c>
      <c r="B5" t="inlineStr">
        <is>
          <t>01-02-2021</t>
        </is>
      </c>
      <c r="C5" t="n">
        <v>2021</v>
      </c>
      <c r="D5" t="n">
        <v>1</v>
      </c>
      <c r="E5" t="inlineStr">
        <is>
          <t>CAREN</t>
        </is>
      </c>
      <c r="F5" t="inlineStr">
        <is>
          <t>SUM_EEPA_C</t>
        </is>
      </c>
      <c r="G5" t="inlineStr">
        <is>
          <t>C</t>
        </is>
      </c>
      <c r="H5" t="inlineStr">
        <is>
          <t>EEPA</t>
        </is>
      </c>
      <c r="I5" t="inlineStr">
        <is>
          <t>EEPACOSTC</t>
        </is>
      </c>
      <c r="J5" t="inlineStr">
        <is>
          <t>COSTANERA</t>
        </is>
      </c>
      <c r="M5" t="n">
        <v>1350.07810826</v>
      </c>
      <c r="N5" t="inlineStr">
        <is>
          <t>COSTANERA</t>
        </is>
      </c>
      <c r="O5" t="inlineStr">
        <is>
          <t>BS1C</t>
        </is>
      </c>
      <c r="P5" t="n">
        <v>2</v>
      </c>
    </row>
    <row r="6">
      <c r="A6" t="inlineStr">
        <is>
          <t>R_G</t>
        </is>
      </c>
      <c r="B6" t="inlineStr">
        <is>
          <t>01-02-2021</t>
        </is>
      </c>
      <c r="C6" t="n">
        <v>2021</v>
      </c>
      <c r="D6" t="n">
        <v>1</v>
      </c>
      <c r="E6" t="inlineStr">
        <is>
          <t>CAREN</t>
        </is>
      </c>
      <c r="F6" t="inlineStr">
        <is>
          <t>SUM_EEPA_C</t>
        </is>
      </c>
      <c r="G6" t="inlineStr">
        <is>
          <t>C</t>
        </is>
      </c>
      <c r="H6" t="inlineStr">
        <is>
          <t>EEPA</t>
        </is>
      </c>
      <c r="I6" t="inlineStr">
        <is>
          <t>EEPAPINTC</t>
        </is>
      </c>
      <c r="J6" t="inlineStr">
        <is>
          <t>LA_PINTANA</t>
        </is>
      </c>
      <c r="M6" t="n">
        <v>2189.78274094</v>
      </c>
      <c r="N6" t="inlineStr">
        <is>
          <t>LA PINTANA</t>
        </is>
      </c>
      <c r="O6" t="inlineStr">
        <is>
          <t>BS1C</t>
        </is>
      </c>
      <c r="P6" t="n">
        <v>2</v>
      </c>
    </row>
    <row r="7">
      <c r="A7" t="inlineStr">
        <is>
          <t>R_G</t>
        </is>
      </c>
      <c r="B7" t="inlineStr">
        <is>
          <t>01-02-2021</t>
        </is>
      </c>
      <c r="C7" t="n">
        <v>2021</v>
      </c>
      <c r="D7" t="n">
        <v>1</v>
      </c>
      <c r="E7" t="inlineStr">
        <is>
          <t>CAREN</t>
        </is>
      </c>
      <c r="F7" t="inlineStr">
        <is>
          <t>SUM_EEPA_C</t>
        </is>
      </c>
      <c r="G7" t="inlineStr">
        <is>
          <t>C</t>
        </is>
      </c>
      <c r="H7" t="inlineStr">
        <is>
          <t>EEPA</t>
        </is>
      </c>
      <c r="I7" t="inlineStr">
        <is>
          <t>EEPAPTEAC</t>
        </is>
      </c>
      <c r="J7" t="inlineStr">
        <is>
          <t>P.ALTO</t>
        </is>
      </c>
      <c r="M7" t="n">
        <v>2375.54362663</v>
      </c>
      <c r="N7" t="inlineStr">
        <is>
          <t>PUENTE ALTO</t>
        </is>
      </c>
      <c r="O7" t="inlineStr">
        <is>
          <t>BS1C</t>
        </is>
      </c>
      <c r="P7" t="n">
        <v>2</v>
      </c>
    </row>
    <row r="8">
      <c r="A8" t="inlineStr">
        <is>
          <t>R_G</t>
        </is>
      </c>
      <c r="B8" t="inlineStr">
        <is>
          <t>01-03-2021</t>
        </is>
      </c>
      <c r="C8" t="n">
        <v>2021</v>
      </c>
      <c r="D8" t="n">
        <v>1</v>
      </c>
      <c r="E8" t="inlineStr">
        <is>
          <t>CAREN</t>
        </is>
      </c>
      <c r="F8" t="inlineStr">
        <is>
          <t>SUM_EEPA_C</t>
        </is>
      </c>
      <c r="G8" t="inlineStr">
        <is>
          <t>C</t>
        </is>
      </c>
      <c r="H8" t="inlineStr">
        <is>
          <t>EEPA</t>
        </is>
      </c>
      <c r="I8" t="inlineStr">
        <is>
          <t>EEPACOSTC</t>
        </is>
      </c>
      <c r="J8" t="inlineStr">
        <is>
          <t>COSTANERA</t>
        </is>
      </c>
      <c r="M8" t="n">
        <v>1546.20756907</v>
      </c>
      <c r="N8" t="inlineStr">
        <is>
          <t>COSTANERA</t>
        </is>
      </c>
      <c r="O8" t="inlineStr">
        <is>
          <t>BS1C</t>
        </is>
      </c>
      <c r="P8" t="n">
        <v>2</v>
      </c>
    </row>
    <row r="9">
      <c r="A9" t="inlineStr">
        <is>
          <t>R_G</t>
        </is>
      </c>
      <c r="B9" t="inlineStr">
        <is>
          <t>01-03-2021</t>
        </is>
      </c>
      <c r="C9" t="n">
        <v>2021</v>
      </c>
      <c r="D9" t="n">
        <v>1</v>
      </c>
      <c r="E9" t="inlineStr">
        <is>
          <t>CAREN</t>
        </is>
      </c>
      <c r="F9" t="inlineStr">
        <is>
          <t>SUM_EEPA_C</t>
        </is>
      </c>
      <c r="G9" t="inlineStr">
        <is>
          <t>C</t>
        </is>
      </c>
      <c r="H9" t="inlineStr">
        <is>
          <t>EEPA</t>
        </is>
      </c>
      <c r="I9" t="inlineStr">
        <is>
          <t>EEPAPINTC</t>
        </is>
      </c>
      <c r="J9" t="inlineStr">
        <is>
          <t>LA_PINTANA</t>
        </is>
      </c>
      <c r="M9" t="n">
        <v>2591.63402248</v>
      </c>
      <c r="N9" t="inlineStr">
        <is>
          <t>LA PINTANA</t>
        </is>
      </c>
      <c r="O9" t="inlineStr">
        <is>
          <t>BS1C</t>
        </is>
      </c>
      <c r="P9" t="n">
        <v>2</v>
      </c>
    </row>
    <row r="10">
      <c r="A10" t="inlineStr">
        <is>
          <t>R_G</t>
        </is>
      </c>
      <c r="B10" t="inlineStr">
        <is>
          <t>01-03-2021</t>
        </is>
      </c>
      <c r="C10" t="n">
        <v>2021</v>
      </c>
      <c r="D10" t="n">
        <v>1</v>
      </c>
      <c r="E10" t="inlineStr">
        <is>
          <t>CAREN</t>
        </is>
      </c>
      <c r="F10" t="inlineStr">
        <is>
          <t>SUM_EEPA_C</t>
        </is>
      </c>
      <c r="G10" t="inlineStr">
        <is>
          <t>C</t>
        </is>
      </c>
      <c r="H10" t="inlineStr">
        <is>
          <t>EEPA</t>
        </is>
      </c>
      <c r="I10" t="inlineStr">
        <is>
          <t>EEPAPTEAC</t>
        </is>
      </c>
      <c r="J10" t="inlineStr">
        <is>
          <t>P.ALTO</t>
        </is>
      </c>
      <c r="M10" t="n">
        <v>2786.76587148</v>
      </c>
      <c r="N10" t="inlineStr">
        <is>
          <t>PUENTE ALTO</t>
        </is>
      </c>
      <c r="O10" t="inlineStr">
        <is>
          <t>BS1C</t>
        </is>
      </c>
      <c r="P10" t="n">
        <v>2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2022-04-13T17:48:00Z</dcterms:created>
  <dcterms:modified xmlns:dcterms="http://purl.org/dc/terms/" xmlns:xsi="http://www.w3.org/2001/XMLSchema-instance" xsi:type="dcterms:W3CDTF">2022-04-13T17:48:00Z</dcterms:modified>
</cp:coreProperties>
</file>