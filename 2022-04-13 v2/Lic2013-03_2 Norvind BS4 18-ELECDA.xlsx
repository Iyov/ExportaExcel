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ReliquidacionEFACT" sheetId="2" state="visible" r:id="rId2"/>
    <sheet xmlns:r="http://schemas.openxmlformats.org/officeDocument/2006/relationships" name="ResumenRetiros" sheetId="3" state="visible" r:id="rId3"/>
    <sheet xmlns:r="http://schemas.openxmlformats.org/officeDocument/2006/relationships" name="FactRealE" sheetId="4" state="visible" r:id="rId4"/>
    <sheet xmlns:r="http://schemas.openxmlformats.org/officeDocument/2006/relationships" name="FactRealP" sheetId="5" state="visible" r:id="rId5"/>
    <sheet xmlns:r="http://schemas.openxmlformats.org/officeDocument/2006/relationships" name="FACT_EMITIDA" sheetId="6" state="visible" r:id="rId6"/>
    <sheet xmlns:r="http://schemas.openxmlformats.org/officeDocument/2006/relationships" name="SIGGE_E" sheetId="7" state="visible" r:id="rId7"/>
    <sheet xmlns:r="http://schemas.openxmlformats.org/officeDocument/2006/relationships" name="SIGGE_P" sheetId="8" state="visible" r:id="rId8"/>
    <sheet xmlns:r="http://schemas.openxmlformats.org/officeDocument/2006/relationships" name="EFACT_CNE" sheetId="9" state="visible" r:id="rId9"/>
    <sheet xmlns:r="http://schemas.openxmlformats.org/officeDocument/2006/relationships" name="EfactCNE_BT" sheetId="10" state="visible" r:id="rId10"/>
    <sheet xmlns:r="http://schemas.openxmlformats.org/officeDocument/2006/relationships" name="CEN_Energia" sheetId="11" state="visible" r:id="rId11"/>
    <sheet xmlns:r="http://schemas.openxmlformats.org/officeDocument/2006/relationships" name="CEN_Potencia" sheetId="12" state="visible" r:id="rId12"/>
    <sheet xmlns:r="http://schemas.openxmlformats.org/officeDocument/2006/relationships" name="CEN_EnergiaBT" sheetId="13" state="visible" r:id="rId13"/>
    <sheet xmlns:r="http://schemas.openxmlformats.org/officeDocument/2006/relationships" name="EFACT_EST_CEN" sheetId="14" state="visible" r:id="rId14"/>
    <sheet xmlns:r="http://schemas.openxmlformats.org/officeDocument/2006/relationships" name="SIN_DATA" sheetId="15" state="visible" r:id="rId15"/>
    <sheet xmlns:r="http://schemas.openxmlformats.org/officeDocument/2006/relationships" name="INTERESES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H:MM:SS"/>
    <numFmt numFmtId="165" formatCode="DD-MM-YYYY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10"/>
      <sz val="11"/>
      <u val="single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Alignment="1" applyProtection="1">
      <alignment vertical="top"/>
      <protection locked="0" hidden="0"/>
    </xf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0" fontId="2" fillId="0" borderId="0" pivotButton="0" quotePrefix="0" xfId="1"/>
    <xf numFmtId="165" fontId="0" fillId="0" borderId="0" pivotButton="0" quotePrefix="0" xfId="0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styles" Target="styles.xml" Id="rId17"/><Relationship Type="http://schemas.openxmlformats.org/officeDocument/2006/relationships/theme" Target="theme/theme1.xml" Id="rId1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6.xml.rels><Relationships xmlns="http://schemas.openxmlformats.org/package/2006/relationships"><Relationship Type="http://schemas.openxmlformats.org/officeDocument/2006/relationships/hyperlink" Target="https://www.bcn.cl/leychile/navegar?idNorma=1092549" TargetMode="External" Id="rId1"/><Relationship Type="http://schemas.openxmlformats.org/officeDocument/2006/relationships/hyperlink" Target="https://www.bcn.cl/leychile/navegar?idNorma=1093605" TargetMode="External" Id="rId2"/><Relationship Type="http://schemas.openxmlformats.org/officeDocument/2006/relationships/hyperlink" Target="https://www.diariooficial.interior.gob.cl/publicaciones/2017/09/15/41861/01/1272697.pdf" TargetMode="External" Id="rId3"/><Relationship Type="http://schemas.openxmlformats.org/officeDocument/2006/relationships/hyperlink" Target="https://www.diariooficial.interior.gob.cl/publicaciones/2017/09/15/41861/01/1272697.pdf" TargetMode="External" Id="rId4"/><Relationship Type="http://schemas.openxmlformats.org/officeDocument/2006/relationships/hyperlink" Target="https://www.diariooficial.interior.gob.cl/publicaciones/2018/03/15/42008/01/1366088.pdf" TargetMode="External" Id="rId5"/><Relationship Type="http://schemas.openxmlformats.org/officeDocument/2006/relationships/hyperlink" Target="https://www.diariooficial.interior.gob.cl/publicaciones/2018/09/15/42159/01/1465375.pdf" TargetMode="External" Id="rId6"/><Relationship Type="http://schemas.openxmlformats.org/officeDocument/2006/relationships/hyperlink" Target="https://www.diariooficial.interior.gob.cl/publicaciones/2019/04/15/42331/01/1576341.pdf" TargetMode="External" Id="rId7"/><Relationship Type="http://schemas.openxmlformats.org/officeDocument/2006/relationships/hyperlink" Target="https://www.diariooficial.interior.gob.cl/publicaciones/2020/10/15/42780/01/1830437.pdf" TargetMode="External" Id="rId8"/><Relationship Type="http://schemas.openxmlformats.org/officeDocument/2006/relationships/hyperlink" Target="https://www.diariooficial.interior.gob.cl/publicaciones/2021/03/15/42905/01/1910115.pdf" TargetMode="External" Id="rId9"/><Relationship Type="http://schemas.openxmlformats.org/officeDocument/2006/relationships/hyperlink" Target="https://www.diariooficial.interior.gob.cl/publicaciones/2021/05/14/42954/01/1943780.pdf" TargetMode="External" Id="rId10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Hoja</t>
        </is>
      </c>
      <c r="B1" s="1" t="inlineStr">
        <is>
          <t>Descripción</t>
        </is>
      </c>
    </row>
    <row r="2">
      <c r="A2" t="inlineStr">
        <is>
          <t>EFACT_CNE</t>
        </is>
      </c>
      <c r="B2" t="inlineStr">
        <is>
          <t>Información de facturación definitiva proveniente de los archivos EFACT publicados por la CNE en los Decretos de Precio de Nudo</t>
        </is>
      </c>
    </row>
    <row r="3">
      <c r="A3" t="inlineStr">
        <is>
          <t>FACT_EMITIDA</t>
        </is>
      </c>
      <c r="B3" t="inlineStr">
        <is>
          <t>Información de facturación real desde PDFs y sistema SIGGE (gestión facturación electrónica)</t>
        </is>
      </c>
    </row>
    <row r="4">
      <c r="A4" t="inlineStr">
        <is>
          <t>SIGGE_E</t>
        </is>
      </c>
      <c r="B4" t="inlineStr">
        <is>
          <t>Información de facturación real de Energía desde PDFs y sistema SIGGE (gestión facturación electrónica)</t>
        </is>
      </c>
    </row>
    <row r="5">
      <c r="A5" t="inlineStr">
        <is>
          <t>SIGGE_P</t>
        </is>
      </c>
      <c r="B5" t="inlineStr">
        <is>
          <t>Información de facturación real de Potencia desde PDFs y sistema SIGGE (gestión facturación electrónica)</t>
        </is>
      </c>
    </row>
    <row r="6">
      <c r="A6" t="inlineStr">
        <is>
          <t>FACT_EST_EFACT</t>
        </is>
      </c>
      <c r="B6" t="inlineStr">
        <is>
          <t>Estimación de facturación emitida en base a información de los EFACT Decretos Precios de Nudo</t>
        </is>
      </c>
    </row>
    <row r="7">
      <c r="A7" t="inlineStr">
        <is>
          <t>FACT_EST_CEN</t>
        </is>
      </c>
      <c r="B7" t="inlineStr">
        <is>
          <t>Estimación de la facturación emitida en base a los balances mensuales publicados por el Coordinador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18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</row>
    <row r="2">
      <c r="A2" t="inlineStr">
        <is>
          <t>Generador</t>
        </is>
      </c>
      <c r="B2" t="inlineStr">
        <is>
          <t>Norvind</t>
        </is>
      </c>
    </row>
    <row r="3">
      <c r="A3" t="inlineStr">
        <is>
          <t>Distribuidor</t>
        </is>
      </c>
      <c r="B3" t="inlineStr">
        <is>
          <t>ELECDA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BS4</t>
        </is>
      </c>
    </row>
    <row r="7">
      <c r="C7" t="inlineStr">
        <is>
          <t>LO QUE SE FACTURÓ</t>
        </is>
      </c>
      <c r="L7" t="inlineStr">
        <is>
          <t>LO QUE SE DEBIÓ HABER FACTURADO</t>
        </is>
      </c>
      <c r="U7" t="inlineStr">
        <is>
          <t>RELQUIDACIÓN Y CÁLCULO INTERESES</t>
        </is>
      </c>
    </row>
    <row r="8">
      <c r="A8" t="inlineStr">
        <is>
          <t>ID</t>
        </is>
      </c>
      <c r="B8" t="inlineStr">
        <is>
          <t>MES</t>
        </is>
      </c>
      <c r="C8" t="inlineStr">
        <is>
          <t>ORIGEN DATA</t>
        </is>
      </c>
      <c r="D8" t="inlineStr">
        <is>
          <t>Energía (kWh)</t>
        </is>
      </c>
      <c r="E8" t="inlineStr">
        <is>
          <t>Monto Energía ($)</t>
        </is>
      </c>
      <c r="F8" t="inlineStr">
        <is>
          <t>$/kWh</t>
        </is>
      </c>
      <c r="G8" t="inlineStr">
        <is>
          <t>Potencia (kW)</t>
        </is>
      </c>
      <c r="H8" t="inlineStr">
        <is>
          <t>Monto Potencia ($)</t>
        </is>
      </c>
      <c r="I8" t="inlineStr">
        <is>
          <t>$/kW-mes</t>
        </is>
      </c>
      <c r="J8" t="inlineStr">
        <is>
          <t>Monto Total ($)</t>
        </is>
      </c>
      <c r="L8" t="inlineStr">
        <is>
          <t>ORIGEN DATA</t>
        </is>
      </c>
      <c r="M8" t="inlineStr">
        <is>
          <t>Energía (kWh)</t>
        </is>
      </c>
      <c r="N8" t="inlineStr">
        <is>
          <t>Monto Energía ($)</t>
        </is>
      </c>
      <c r="O8" t="inlineStr">
        <is>
          <t>$/kWh</t>
        </is>
      </c>
      <c r="P8" t="inlineStr">
        <is>
          <t>Potencia (kW)</t>
        </is>
      </c>
      <c r="Q8" t="inlineStr">
        <is>
          <t>Monto Potencia ($)</t>
        </is>
      </c>
      <c r="R8" t="inlineStr">
        <is>
          <t>$/kW-mes</t>
        </is>
      </c>
      <c r="S8" t="inlineStr">
        <is>
          <t>Monto Total ($)</t>
        </is>
      </c>
      <c r="U8" t="inlineStr">
        <is>
          <t>Mes</t>
        </is>
      </c>
      <c r="V8" t="inlineStr">
        <is>
          <t>Reliquidación mensual ($)</t>
        </is>
      </c>
      <c r="W8" t="inlineStr">
        <is>
          <t>Decreto PNP Reliquidación</t>
        </is>
      </c>
      <c r="X8" t="inlineStr">
        <is>
          <t>Fecha publicación Diario Oficial</t>
        </is>
      </c>
      <c r="Y8" t="inlineStr">
        <is>
          <t>Interés Anual</t>
        </is>
      </c>
      <c r="Z8" t="inlineStr">
        <is>
          <t>Fecha Facturación</t>
        </is>
      </c>
      <c r="AA8" t="inlineStr">
        <is>
          <t>Fecha Reliquidación</t>
        </is>
      </c>
      <c r="AB8" t="inlineStr">
        <is>
          <t>N° de días de intereses</t>
        </is>
      </c>
      <c r="AC8" t="inlineStr">
        <is>
          <t>Interés total según n° de días</t>
        </is>
      </c>
      <c r="AD8" t="inlineStr">
        <is>
          <t>Intereses ($)</t>
        </is>
      </c>
      <c r="AE8" t="inlineStr">
        <is>
          <t>Reliquidación Total ($)</t>
        </is>
      </c>
    </row>
    <row r="9">
      <c r="A9" t="n">
        <v>9</v>
      </c>
      <c r="B9" s="4" t="n">
        <v>44105</v>
      </c>
      <c r="C9" t="inlineStr">
        <is>
          <t>FACT_EMITIDA</t>
        </is>
      </c>
      <c r="D9">
        <f>SUMIF(SIGGE_E!B:B,ReliquidacionEFACT!B9,SIGGE_E!S:S)</f>
        <v/>
      </c>
      <c r="E9">
        <f>SUMIF(SIGGE_E!B:B,ReliquidacionEFACT!B9,SIGGE_E!T:T)</f>
        <v/>
      </c>
      <c r="F9">
        <f>IFERROR((E9/D9),0)</f>
        <v/>
      </c>
      <c r="G9">
        <f>SUMIF(SIGGE_P!B:B,ReliquidacionEFACT!B9,SIGGE_P!U:U)</f>
        <v/>
      </c>
      <c r="H9">
        <f>SUMIF(SIGGE_P!B:B,ReliquidacionEFACT!B9,SIGGE_P!V:V)</f>
        <v/>
      </c>
      <c r="I9">
        <f>IFERROR((H9/G9),0)</f>
        <v/>
      </c>
      <c r="J9">
        <f>(E9+H9)</f>
        <v/>
      </c>
      <c r="L9" t="inlineStr">
        <is>
          <t>EFACT_CNE</t>
        </is>
      </c>
      <c r="M9">
        <f>SUMIF(EFACT_CNE!B:B,ReliquidacionEFACT!B9,EFACT_CNE!S:S)</f>
        <v/>
      </c>
      <c r="N9">
        <f>SUMIF(EFACT_CNE!B:B,ReliquidacionEFACT!B9,EFACT_CNE!T:T)</f>
        <v/>
      </c>
      <c r="O9">
        <f>IFERROR((N9/M9),0)</f>
        <v/>
      </c>
      <c r="P9">
        <f>SUMIF(EFACT_CNE!B:B,ReliquidacionEFACT!B9,EFACT_CNE!U:U)</f>
        <v/>
      </c>
      <c r="Q9">
        <f>SUMIF(EFACT_CNE!B:B,ReliquidacionEFACT!B9,EFACT_CNE!V:V)</f>
        <v/>
      </c>
      <c r="R9">
        <f>IFERROR((Q9/P9),0)</f>
        <v/>
      </c>
      <c r="S9">
        <f>(N9+Q9)</f>
        <v/>
      </c>
      <c r="U9" s="2" t="n">
        <v>44105</v>
      </c>
      <c r="V9">
        <f>(S9-J9)</f>
        <v/>
      </c>
      <c r="W9" t="inlineStr">
        <is>
          <t>PNP_8T</t>
        </is>
      </c>
      <c r="X9" s="2" t="n">
        <v>44600</v>
      </c>
      <c r="Y9" t="n">
        <v>0.0648</v>
      </c>
      <c r="Z9" s="2" t="n">
        <v>44160</v>
      </c>
      <c r="AA9" s="2" t="n">
        <v>44651</v>
      </c>
      <c r="AB9">
        <f>(AA9-Z9)</f>
        <v/>
      </c>
      <c r="AC9">
        <f>(1+Y9)^(AB9/360)-1</f>
        <v/>
      </c>
      <c r="AD9">
        <f>(AC9*V9)</f>
        <v/>
      </c>
      <c r="AE9">
        <f>(V9+AD9)</f>
        <v/>
      </c>
    </row>
    <row r="10">
      <c r="A10" t="n">
        <v>10</v>
      </c>
      <c r="B10" s="4" t="n">
        <v>44136</v>
      </c>
      <c r="C10" t="inlineStr">
        <is>
          <t>FACT_EMITIDA</t>
        </is>
      </c>
      <c r="D10">
        <f>SUMIF(SIGGE_E!B:B,ReliquidacionEFACT!B10,SIGGE_E!S:S)</f>
        <v/>
      </c>
      <c r="E10">
        <f>SUMIF(SIGGE_E!B:B,ReliquidacionEFACT!B10,SIGGE_E!T:T)</f>
        <v/>
      </c>
      <c r="F10">
        <f>IFERROR((E10/D10),0)</f>
        <v/>
      </c>
      <c r="G10">
        <f>SUMIF(SIGGE_P!B:B,ReliquidacionEFACT!B10,SIGGE_P!U:U)</f>
        <v/>
      </c>
      <c r="H10">
        <f>SUMIF(SIGGE_P!B:B,ReliquidacionEFACT!B10,SIGGE_P!V:V)</f>
        <v/>
      </c>
      <c r="I10">
        <f>IFERROR((H10/G10),0)</f>
        <v/>
      </c>
      <c r="J10">
        <f>(E10+H10)</f>
        <v/>
      </c>
      <c r="L10" t="inlineStr">
        <is>
          <t>EFACT_CNE</t>
        </is>
      </c>
      <c r="M10">
        <f>SUMIF(EFACT_CNE!B:B,ReliquidacionEFACT!B10,EFACT_CNE!S:S)</f>
        <v/>
      </c>
      <c r="N10">
        <f>SUMIF(EFACT_CNE!B:B,ReliquidacionEFACT!B10,EFACT_CNE!T:T)</f>
        <v/>
      </c>
      <c r="O10">
        <f>IFERROR((N10/M10),0)</f>
        <v/>
      </c>
      <c r="P10">
        <f>SUMIF(EFACT_CNE!B:B,ReliquidacionEFACT!B10,EFACT_CNE!U:U)</f>
        <v/>
      </c>
      <c r="Q10">
        <f>SUMIF(EFACT_CNE!B:B,ReliquidacionEFACT!B10,EFACT_CNE!V:V)</f>
        <v/>
      </c>
      <c r="R10">
        <f>IFERROR((Q10/P10),0)</f>
        <v/>
      </c>
      <c r="S10">
        <f>(N10+Q10)</f>
        <v/>
      </c>
      <c r="U10" s="2" t="n">
        <v>44136</v>
      </c>
      <c r="V10">
        <f>(S10-J10)</f>
        <v/>
      </c>
      <c r="W10" t="inlineStr">
        <is>
          <t>PNP_8T</t>
        </is>
      </c>
      <c r="X10" s="2" t="n">
        <v>44600</v>
      </c>
      <c r="Y10" t="n">
        <v>0.0648</v>
      </c>
      <c r="Z10" s="2" t="n">
        <v>44190</v>
      </c>
      <c r="AA10" s="2" t="n">
        <v>44651</v>
      </c>
      <c r="AB10">
        <f>(AA10-Z10)</f>
        <v/>
      </c>
      <c r="AC10">
        <f>(1+Y10)^(AB10/360)-1</f>
        <v/>
      </c>
      <c r="AD10">
        <f>(AC10*V10)</f>
        <v/>
      </c>
      <c r="AE10">
        <f>(V10+AD10)</f>
        <v/>
      </c>
    </row>
    <row r="11">
      <c r="A11" t="n">
        <v>11</v>
      </c>
      <c r="B11" s="4" t="n">
        <v>44166</v>
      </c>
      <c r="C11" t="inlineStr">
        <is>
          <t>FACT_EMITIDA</t>
        </is>
      </c>
      <c r="D11">
        <f>SUMIF(SIGGE_E!B:B,ReliquidacionEFACT!B11,SIGGE_E!S:S)</f>
        <v/>
      </c>
      <c r="E11">
        <f>SUMIF(SIGGE_E!B:B,ReliquidacionEFACT!B11,SIGGE_E!T:T)</f>
        <v/>
      </c>
      <c r="F11">
        <f>IFERROR((E11/D11),0)</f>
        <v/>
      </c>
      <c r="G11">
        <f>SUMIF(SIGGE_P!B:B,ReliquidacionEFACT!B11,SIGGE_P!U:U)</f>
        <v/>
      </c>
      <c r="H11">
        <f>SUMIF(SIGGE_P!B:B,ReliquidacionEFACT!B11,SIGGE_P!V:V)</f>
        <v/>
      </c>
      <c r="I11">
        <f>IFERROR((H11/G11),0)</f>
        <v/>
      </c>
      <c r="J11">
        <f>(E11+H11)</f>
        <v/>
      </c>
      <c r="L11" t="inlineStr">
        <is>
          <t>EFACT_CNE</t>
        </is>
      </c>
      <c r="M11">
        <f>SUMIF(EFACT_CNE!B:B,ReliquidacionEFACT!B11,EFACT_CNE!S:S)</f>
        <v/>
      </c>
      <c r="N11">
        <f>SUMIF(EFACT_CNE!B:B,ReliquidacionEFACT!B11,EFACT_CNE!T:T)</f>
        <v/>
      </c>
      <c r="O11">
        <f>IFERROR((N11/M11),0)</f>
        <v/>
      </c>
      <c r="P11">
        <f>SUMIF(EFACT_CNE!B:B,ReliquidacionEFACT!B11,EFACT_CNE!U:U)</f>
        <v/>
      </c>
      <c r="Q11">
        <f>SUMIF(EFACT_CNE!B:B,ReliquidacionEFACT!B11,EFACT_CNE!V:V)</f>
        <v/>
      </c>
      <c r="R11">
        <f>IFERROR((Q11/P11),0)</f>
        <v/>
      </c>
      <c r="S11">
        <f>(N11+Q11)</f>
        <v/>
      </c>
      <c r="U11" s="2" t="n">
        <v>44166</v>
      </c>
      <c r="V11">
        <f>(S11-J11)</f>
        <v/>
      </c>
      <c r="W11" t="inlineStr">
        <is>
          <t>PNP_8T</t>
        </is>
      </c>
      <c r="X11" s="2" t="n">
        <v>44600</v>
      </c>
      <c r="Y11" t="n">
        <v>0.0648</v>
      </c>
      <c r="Z11" s="2" t="n">
        <v>44221</v>
      </c>
      <c r="AA11" s="2" t="n">
        <v>44651</v>
      </c>
      <c r="AB11">
        <f>(AA11-Z11)</f>
        <v/>
      </c>
      <c r="AC11">
        <f>(1+Y11)^(AB11/360)-1</f>
        <v/>
      </c>
      <c r="AD11">
        <f>(AC11*V11)</f>
        <v/>
      </c>
      <c r="AE11">
        <f>(V11+AD11)</f>
        <v/>
      </c>
    </row>
    <row r="12">
      <c r="A12" t="n">
        <v>12</v>
      </c>
      <c r="B12" s="4" t="n">
        <v>44197</v>
      </c>
      <c r="C12" t="inlineStr">
        <is>
          <t>FACT_EMITIDA</t>
        </is>
      </c>
      <c r="D12">
        <f>SUMIF(SIGGE_E!B:B,ReliquidacionEFACT!B12,SIGGE_E!S:S)</f>
        <v/>
      </c>
      <c r="E12">
        <f>SUMIF(SIGGE_E!B:B,ReliquidacionEFACT!B12,SIGGE_E!T:T)</f>
        <v/>
      </c>
      <c r="F12">
        <f>IFERROR((E12/D12),0)</f>
        <v/>
      </c>
      <c r="G12">
        <f>SUMIF(SIGGE_P!B:B,ReliquidacionEFACT!B12,SIGGE_P!U:U)</f>
        <v/>
      </c>
      <c r="H12">
        <f>SUMIF(SIGGE_P!B:B,ReliquidacionEFACT!B12,SIGGE_P!V:V)</f>
        <v/>
      </c>
      <c r="I12">
        <f>IFERROR((H12/G12),0)</f>
        <v/>
      </c>
      <c r="J12">
        <f>(E12+H12)</f>
        <v/>
      </c>
      <c r="L12" t="inlineStr">
        <is>
          <t>EFACT_CNE</t>
        </is>
      </c>
      <c r="M12">
        <f>SUMIF(EFACT_CNE!B:B,ReliquidacionEFACT!B12,EFACT_CNE!S:S)</f>
        <v/>
      </c>
      <c r="N12">
        <f>SUMIF(EFACT_CNE!B:B,ReliquidacionEFACT!B12,EFACT_CNE!T:T)</f>
        <v/>
      </c>
      <c r="O12">
        <f>IFERROR((N12/M12),0)</f>
        <v/>
      </c>
      <c r="P12">
        <f>SUMIF(EFACT_CNE!B:B,ReliquidacionEFACT!B12,EFACT_CNE!U:U)</f>
        <v/>
      </c>
      <c r="Q12">
        <f>SUMIF(EFACT_CNE!B:B,ReliquidacionEFACT!B12,EFACT_CNE!V:V)</f>
        <v/>
      </c>
      <c r="R12">
        <f>IFERROR((Q12/P12),0)</f>
        <v/>
      </c>
      <c r="S12">
        <f>(N12+Q12)</f>
        <v/>
      </c>
      <c r="U12" s="2" t="n">
        <v>44197</v>
      </c>
      <c r="V12">
        <f>(S12-J12)</f>
        <v/>
      </c>
      <c r="W12" t="inlineStr">
        <is>
          <t>PNP_8T</t>
        </is>
      </c>
      <c r="X12" s="2" t="n">
        <v>44600</v>
      </c>
      <c r="Y12" t="n">
        <v>0.0648</v>
      </c>
      <c r="Z12" s="2" t="n">
        <v>44252</v>
      </c>
      <c r="AA12" s="2" t="n">
        <v>44651</v>
      </c>
      <c r="AB12">
        <f>(AA12-Z12)</f>
        <v/>
      </c>
      <c r="AC12">
        <f>(1+Y12)^(AB12/360)-1</f>
        <v/>
      </c>
      <c r="AD12">
        <f>(AC12*V12)</f>
        <v/>
      </c>
      <c r="AE12">
        <f>(V12+AD12)</f>
        <v/>
      </c>
    </row>
    <row r="13">
      <c r="A13" t="n">
        <v>13</v>
      </c>
      <c r="B13" s="4" t="n">
        <v>44228</v>
      </c>
      <c r="C13" t="inlineStr">
        <is>
          <t>FACT_EMITIDA</t>
        </is>
      </c>
      <c r="D13">
        <f>SUMIF(SIGGE_E!B:B,ReliquidacionEFACT!B13,SIGGE_E!S:S)</f>
        <v/>
      </c>
      <c r="E13">
        <f>SUMIF(SIGGE_E!B:B,ReliquidacionEFACT!B13,SIGGE_E!T:T)</f>
        <v/>
      </c>
      <c r="F13">
        <f>IFERROR((E13/D13),0)</f>
        <v/>
      </c>
      <c r="G13">
        <f>SUMIF(SIGGE_P!B:B,ReliquidacionEFACT!B13,SIGGE_P!U:U)</f>
        <v/>
      </c>
      <c r="H13">
        <f>SUMIF(SIGGE_P!B:B,ReliquidacionEFACT!B13,SIGGE_P!V:V)</f>
        <v/>
      </c>
      <c r="I13">
        <f>IFERROR((H13/G13),0)</f>
        <v/>
      </c>
      <c r="J13">
        <f>(E13+H13)</f>
        <v/>
      </c>
      <c r="L13" t="inlineStr">
        <is>
          <t>EFACT_CNE</t>
        </is>
      </c>
      <c r="M13">
        <f>SUMIF(EFACT_CNE!B:B,ReliquidacionEFACT!B13,EFACT_CNE!S:S)</f>
        <v/>
      </c>
      <c r="N13">
        <f>SUMIF(EFACT_CNE!B:B,ReliquidacionEFACT!B13,EFACT_CNE!T:T)</f>
        <v/>
      </c>
      <c r="O13">
        <f>IFERROR((N13/M13),0)</f>
        <v/>
      </c>
      <c r="P13">
        <f>SUMIF(EFACT_CNE!B:B,ReliquidacionEFACT!B13,EFACT_CNE!U:U)</f>
        <v/>
      </c>
      <c r="Q13">
        <f>SUMIF(EFACT_CNE!B:B,ReliquidacionEFACT!B13,EFACT_CNE!V:V)</f>
        <v/>
      </c>
      <c r="R13">
        <f>IFERROR((Q13/P13),0)</f>
        <v/>
      </c>
      <c r="S13">
        <f>(N13+Q13)</f>
        <v/>
      </c>
      <c r="U13" s="2" t="n">
        <v>44228</v>
      </c>
      <c r="V13">
        <f>(S13-J13)</f>
        <v/>
      </c>
      <c r="W13" t="inlineStr">
        <is>
          <t>PNP_8T</t>
        </is>
      </c>
      <c r="X13" s="2" t="n">
        <v>44600</v>
      </c>
      <c r="Y13" t="n">
        <v>0.0648</v>
      </c>
      <c r="Z13" s="2" t="n">
        <v>44280</v>
      </c>
      <c r="AA13" s="2" t="n">
        <v>44651</v>
      </c>
      <c r="AB13">
        <f>(AA13-Z13)</f>
        <v/>
      </c>
      <c r="AC13">
        <f>(1+Y13)^(AB13/360)-1</f>
        <v/>
      </c>
      <c r="AD13">
        <f>(AC13*V13)</f>
        <v/>
      </c>
      <c r="AE13">
        <f>(V13+AD13)</f>
        <v/>
      </c>
    </row>
    <row r="14">
      <c r="A14" t="n">
        <v>14</v>
      </c>
      <c r="B14" s="4" t="n">
        <v>44256</v>
      </c>
      <c r="C14" t="inlineStr">
        <is>
          <t>FACT_EMITIDA</t>
        </is>
      </c>
      <c r="D14">
        <f>SUMIF(SIGGE_E!B:B,ReliquidacionEFACT!B14,SIGGE_E!S:S)</f>
        <v/>
      </c>
      <c r="E14">
        <f>SUMIF(SIGGE_E!B:B,ReliquidacionEFACT!B14,SIGGE_E!T:T)</f>
        <v/>
      </c>
      <c r="F14">
        <f>IFERROR((E14/D14),0)</f>
        <v/>
      </c>
      <c r="G14">
        <f>SUMIF(SIGGE_P!B:B,ReliquidacionEFACT!B14,SIGGE_P!U:U)</f>
        <v/>
      </c>
      <c r="H14">
        <f>SUMIF(SIGGE_P!B:B,ReliquidacionEFACT!B14,SIGGE_P!V:V)</f>
        <v/>
      </c>
      <c r="I14">
        <f>IFERROR((H14/G14),0)</f>
        <v/>
      </c>
      <c r="J14">
        <f>(E14+H14)</f>
        <v/>
      </c>
      <c r="L14" t="inlineStr">
        <is>
          <t>EFACT_CNE</t>
        </is>
      </c>
      <c r="M14">
        <f>SUMIF(EFACT_CNE!B:B,ReliquidacionEFACT!B14,EFACT_CNE!S:S)</f>
        <v/>
      </c>
      <c r="N14">
        <f>SUMIF(EFACT_CNE!B:B,ReliquidacionEFACT!B14,EFACT_CNE!T:T)</f>
        <v/>
      </c>
      <c r="O14">
        <f>IFERROR((N14/M14),0)</f>
        <v/>
      </c>
      <c r="P14">
        <f>SUMIF(EFACT_CNE!B:B,ReliquidacionEFACT!B14,EFACT_CNE!U:U)</f>
        <v/>
      </c>
      <c r="Q14">
        <f>SUMIF(EFACT_CNE!B:B,ReliquidacionEFACT!B14,EFACT_CNE!V:V)</f>
        <v/>
      </c>
      <c r="R14">
        <f>IFERROR((Q14/P14),0)</f>
        <v/>
      </c>
      <c r="S14">
        <f>(N14+Q14)</f>
        <v/>
      </c>
      <c r="U14" s="2" t="n">
        <v>44256</v>
      </c>
      <c r="V14">
        <f>(S14-J14)</f>
        <v/>
      </c>
      <c r="W14" t="inlineStr">
        <is>
          <t>PNP_8T</t>
        </is>
      </c>
      <c r="X14" s="2" t="n">
        <v>44600</v>
      </c>
      <c r="Y14" t="n">
        <v>0.0648</v>
      </c>
      <c r="Z14" s="2" t="n">
        <v>44311</v>
      </c>
      <c r="AA14" s="2" t="n">
        <v>44651</v>
      </c>
      <c r="AB14">
        <f>(AA14-Z14)</f>
        <v/>
      </c>
      <c r="AC14">
        <f>(1+Y14)^(AB14/360)-1</f>
        <v/>
      </c>
      <c r="AD14">
        <f>(AC14*V14)</f>
        <v/>
      </c>
      <c r="AE14">
        <f>(V14+AD14)</f>
        <v/>
      </c>
    </row>
    <row r="15">
      <c r="AD15" t="inlineStr">
        <is>
          <t>Reliquidación</t>
        </is>
      </c>
      <c r="AE15">
        <f>SUM(AE9:AE14)</f>
        <v/>
      </c>
    </row>
    <row r="17">
      <c r="AC17" t="inlineStr">
        <is>
          <t>Montos a favor</t>
        </is>
      </c>
      <c r="AD17" t="inlineStr">
        <is>
          <t>LAP emite factura</t>
        </is>
      </c>
    </row>
    <row r="18">
      <c r="AC18" t="inlineStr">
        <is>
          <t>Montos en contra</t>
        </is>
      </c>
      <c r="AD18" t="inlineStr">
        <is>
          <t>LAP emite nota de crédito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E15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</row>
    <row r="2">
      <c r="A2" t="inlineStr">
        <is>
          <t>Generador</t>
        </is>
      </c>
      <c r="B2" t="inlineStr">
        <is>
          <t>Norvind</t>
        </is>
      </c>
    </row>
    <row r="3">
      <c r="A3" t="inlineStr">
        <is>
          <t>Distribuidor</t>
        </is>
      </c>
      <c r="B3" t="inlineStr">
        <is>
          <t>ELECDA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BS4</t>
        </is>
      </c>
    </row>
    <row r="8">
      <c r="A8" t="inlineStr">
        <is>
          <t>ID</t>
        </is>
      </c>
      <c r="B8" t="inlineStr">
        <is>
          <t>MES</t>
        </is>
      </c>
      <c r="C8" t="inlineStr">
        <is>
          <t>ORIGEN DATA</t>
        </is>
      </c>
      <c r="D8" t="inlineStr">
        <is>
          <t>Energía SIGGE (kWh)</t>
        </is>
      </c>
      <c r="E8" t="inlineStr">
        <is>
          <t>Energía EFACT AT (kWh)</t>
        </is>
      </c>
      <c r="F8" t="inlineStr">
        <is>
          <t>Energía EFACT BT (kWh)</t>
        </is>
      </c>
      <c r="G8" t="inlineStr">
        <is>
          <t>Energía Coordinador AT (kWh)</t>
        </is>
      </c>
      <c r="H8" t="inlineStr">
        <is>
          <t>Energía Coordinador BT (kWh)</t>
        </is>
      </c>
    </row>
    <row r="9">
      <c r="A9" t="n">
        <v>9</v>
      </c>
      <c r="B9" s="4" t="n">
        <v>44105</v>
      </c>
      <c r="C9" t="inlineStr">
        <is>
          <t>FACT_EMITIDA</t>
        </is>
      </c>
      <c r="D9">
        <f>SUMIF(SIGGE_E!B:B,ResumenRetiros!B9,SIGGE_E!S:S)</f>
        <v/>
      </c>
      <c r="E9">
        <f>SUMIF(EFACT_CNE!B:B,ResumenRetiros!B9,EFACT_CNE!S:S)</f>
        <v/>
      </c>
      <c r="F9">
        <f>SUMIF(EfactCNE_BT!B:B,ResumenRetiros!B9,EfactCNE_BT!M:M)</f>
        <v/>
      </c>
      <c r="G9">
        <f>SUMIF(CEN_Energia!B:B,ResumenRetiros!B9,CEN_Energia!Z:Z)</f>
        <v/>
      </c>
      <c r="H9">
        <f>SUMIF(CEN_EnergiaBT!B:B,ResumenRetiros!B9,CEN_EnergiaBT!K:K)</f>
        <v/>
      </c>
    </row>
    <row r="10">
      <c r="A10" t="n">
        <v>10</v>
      </c>
      <c r="B10" s="4" t="n">
        <v>44136</v>
      </c>
      <c r="C10" t="inlineStr">
        <is>
          <t>FACT_EMITIDA</t>
        </is>
      </c>
      <c r="D10">
        <f>SUMIF(SIGGE_E!B:B,ResumenRetiros!B10,SIGGE_E!S:S)</f>
        <v/>
      </c>
      <c r="E10">
        <f>SUMIF(EFACT_CNE!B:B,ResumenRetiros!B10,EFACT_CNE!S:S)</f>
        <v/>
      </c>
      <c r="F10">
        <f>SUMIF(EfactCNE_BT!B:B,ResumenRetiros!B10,EfactCNE_BT!M:M)</f>
        <v/>
      </c>
      <c r="G10">
        <f>SUMIF(CEN_Energia!B:B,ResumenRetiros!B10,CEN_Energia!Z:Z)</f>
        <v/>
      </c>
      <c r="H10">
        <f>SUMIF(CEN_EnergiaBT!B:B,ResumenRetiros!B10,CEN_EnergiaBT!K:K)</f>
        <v/>
      </c>
    </row>
    <row r="11">
      <c r="A11" t="n">
        <v>11</v>
      </c>
      <c r="B11" s="4" t="n">
        <v>44166</v>
      </c>
      <c r="C11" t="inlineStr">
        <is>
          <t>FACT_EMITIDA</t>
        </is>
      </c>
      <c r="D11">
        <f>SUMIF(SIGGE_E!B:B,ResumenRetiros!B11,SIGGE_E!S:S)</f>
        <v/>
      </c>
      <c r="E11">
        <f>SUMIF(EFACT_CNE!B:B,ResumenRetiros!B11,EFACT_CNE!S:S)</f>
        <v/>
      </c>
      <c r="F11">
        <f>SUMIF(EfactCNE_BT!B:B,ResumenRetiros!B11,EfactCNE_BT!M:M)</f>
        <v/>
      </c>
      <c r="G11">
        <f>SUMIF(CEN_Energia!B:B,ResumenRetiros!B11,CEN_Energia!Z:Z)</f>
        <v/>
      </c>
      <c r="H11">
        <f>SUMIF(CEN_EnergiaBT!B:B,ResumenRetiros!B11,CEN_EnergiaBT!K:K)</f>
        <v/>
      </c>
    </row>
    <row r="12">
      <c r="A12" t="n">
        <v>12</v>
      </c>
      <c r="B12" s="4" t="n">
        <v>44197</v>
      </c>
      <c r="C12" t="inlineStr">
        <is>
          <t>FACT_EMITIDA</t>
        </is>
      </c>
      <c r="D12">
        <f>SUMIF(SIGGE_E!B:B,ResumenRetiros!B12,SIGGE_E!S:S)</f>
        <v/>
      </c>
      <c r="E12">
        <f>SUMIF(EFACT_CNE!B:B,ResumenRetiros!B12,EFACT_CNE!S:S)</f>
        <v/>
      </c>
      <c r="F12">
        <f>SUMIF(EfactCNE_BT!B:B,ResumenRetiros!B12,EfactCNE_BT!M:M)</f>
        <v/>
      </c>
      <c r="G12">
        <f>SUMIF(CEN_Energia!B:B,ResumenRetiros!B12,CEN_Energia!Z:Z)</f>
        <v/>
      </c>
      <c r="H12">
        <f>SUMIF(CEN_EnergiaBT!B:B,ResumenRetiros!B12,CEN_EnergiaBT!K:K)</f>
        <v/>
      </c>
    </row>
    <row r="13">
      <c r="A13" t="n">
        <v>13</v>
      </c>
      <c r="B13" s="4" t="n">
        <v>44228</v>
      </c>
      <c r="C13" t="inlineStr">
        <is>
          <t>FACT_EMITIDA</t>
        </is>
      </c>
      <c r="D13">
        <f>SUMIF(SIGGE_E!B:B,ResumenRetiros!B13,SIGGE_E!S:S)</f>
        <v/>
      </c>
      <c r="E13">
        <f>SUMIF(EFACT_CNE!B:B,ResumenRetiros!B13,EFACT_CNE!S:S)</f>
        <v/>
      </c>
      <c r="F13">
        <f>SUMIF(EfactCNE_BT!B:B,ResumenRetiros!B13,EfactCNE_BT!M:M)</f>
        <v/>
      </c>
      <c r="G13">
        <f>SUMIF(CEN_Energia!B:B,ResumenRetiros!B13,CEN_Energia!Z:Z)</f>
        <v/>
      </c>
      <c r="H13">
        <f>SUMIF(CEN_EnergiaBT!B:B,ResumenRetiros!B13,CEN_EnergiaBT!K:K)</f>
        <v/>
      </c>
    </row>
    <row r="14">
      <c r="A14" t="n">
        <v>14</v>
      </c>
      <c r="B14" s="4" t="n">
        <v>44256</v>
      </c>
      <c r="C14" t="inlineStr">
        <is>
          <t>FACT_EMITIDA</t>
        </is>
      </c>
      <c r="D14">
        <f>SUMIF(SIGGE_E!B:B,ResumenRetiros!B14,SIGGE_E!S:S)</f>
        <v/>
      </c>
      <c r="E14">
        <f>SUMIF(EFACT_CNE!B:B,ResumenRetiros!B14,EFACT_CNE!S:S)</f>
        <v/>
      </c>
      <c r="F14">
        <f>SUMIF(EfactCNE_BT!B:B,ResumenRetiros!B14,EfactCNE_BT!M:M)</f>
        <v/>
      </c>
      <c r="G14">
        <f>SUMIF(CEN_Energia!B:B,ResumenRetiros!B14,CEN_Energia!Z:Z)</f>
        <v/>
      </c>
      <c r="H14">
        <f>SUMIF(CEN_EnergiaBT!B:B,ResumenRetiros!B14,CEN_EnergiaBT!K:K)</f>
        <v/>
      </c>
    </row>
    <row r="15">
      <c r="D15">
        <f>SUM(D9:D14)</f>
        <v/>
      </c>
      <c r="E15">
        <f>SUM(E9:E14)</f>
        <v/>
      </c>
      <c r="F15">
        <f>SUM(F9:F14)</f>
        <v/>
      </c>
      <c r="G15">
        <f>SUM(G9:G14)</f>
        <v/>
      </c>
      <c r="H15">
        <f>SUM(H9:H14)</f>
        <v/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MesDevengado</t>
        </is>
      </c>
      <c r="C1" s="1" t="inlineStr">
        <is>
          <t>IdAgrupacion</t>
        </is>
      </c>
      <c r="D1" s="1" t="inlineStr">
        <is>
          <t>NomAgrupacion</t>
        </is>
      </c>
      <c r="E1" s="1" t="inlineStr">
        <is>
          <t>Bloque</t>
        </is>
      </c>
      <c r="F1" s="1" t="inlineStr">
        <is>
          <t>NombreCliente</t>
        </is>
      </c>
      <c r="G1" s="1" t="inlineStr">
        <is>
          <t>FechaDeContabilizacion</t>
        </is>
      </c>
      <c r="H1" s="1" t="inlineStr">
        <is>
          <t>PrefijoFolio</t>
        </is>
      </c>
      <c r="I1" s="1" t="inlineStr">
        <is>
          <t>CuentaDeMayor</t>
        </is>
      </c>
      <c r="J1" s="1" t="inlineStr">
        <is>
          <t>CodigoDeArticulo</t>
        </is>
      </c>
      <c r="K1" s="1" t="inlineStr">
        <is>
          <t>NumDeFolio</t>
        </is>
      </c>
      <c r="L1" s="1" t="inlineStr">
        <is>
          <t>MontoCLP</t>
        </is>
      </c>
      <c r="M1" s="1" t="inlineStr">
        <is>
          <t>TotalUSD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MesDevengado</t>
        </is>
      </c>
      <c r="C1" s="1" t="inlineStr">
        <is>
          <t>IdAgrupacion</t>
        </is>
      </c>
      <c r="D1" s="1" t="inlineStr">
        <is>
          <t>NomAgrupacion</t>
        </is>
      </c>
      <c r="E1" s="1" t="inlineStr">
        <is>
          <t>Bloque</t>
        </is>
      </c>
      <c r="F1" s="1" t="inlineStr">
        <is>
          <t>NombreCliente</t>
        </is>
      </c>
      <c r="G1" s="1" t="inlineStr">
        <is>
          <t>FechaDeContabilizacion</t>
        </is>
      </c>
      <c r="H1" s="1" t="inlineStr">
        <is>
          <t>PrefijoFolio</t>
        </is>
      </c>
      <c r="I1" s="1" t="inlineStr">
        <is>
          <t>CuentaDeMayor</t>
        </is>
      </c>
      <c r="J1" s="1" t="inlineStr">
        <is>
          <t>CodigoDeArticulo</t>
        </is>
      </c>
      <c r="K1" s="1" t="inlineStr">
        <is>
          <t>NumDeFolio</t>
        </is>
      </c>
      <c r="L1" s="1" t="inlineStr">
        <is>
          <t>MontoCLP</t>
        </is>
      </c>
      <c r="M1" s="1" t="inlineStr">
        <is>
          <t>TotalUSD</t>
        </is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W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01-10-2020</t>
        </is>
      </c>
      <c r="B2" t="inlineStr">
        <is>
          <t>01-10-2020</t>
        </is>
      </c>
      <c r="C2" t="inlineStr">
        <is>
          <t>Licitación Norvind y Elecda (SIC 2013/03-2) BS4</t>
        </is>
      </c>
      <c r="D2" t="inlineStr">
        <is>
          <t>Energia Licitaciones</t>
        </is>
      </c>
      <c r="E2" t="inlineStr">
        <is>
          <t>Energía</t>
        </is>
      </c>
      <c r="F2" t="inlineStr">
        <is>
          <t>Lic. SIC 2013/03-2 bloques BS4: Energía oct 2020</t>
        </is>
      </c>
      <c r="G2" t="inlineStr">
        <is>
          <t>2020-11-16 20:31:11</t>
        </is>
      </c>
      <c r="H2" t="n">
        <v>33</v>
      </c>
      <c r="I2" t="n">
        <v>16895</v>
      </c>
      <c r="J2" t="inlineStr">
        <is>
          <t>s</t>
        </is>
      </c>
      <c r="K2" t="inlineStr">
        <is>
          <t>s</t>
        </is>
      </c>
      <c r="L2" t="inlineStr">
        <is>
          <t>BS4</t>
        </is>
      </c>
      <c r="M2" t="inlineStr">
        <is>
          <t>Norvind</t>
        </is>
      </c>
      <c r="N2" t="inlineStr">
        <is>
          <t>Elecda</t>
        </is>
      </c>
      <c r="O2" t="inlineStr">
        <is>
          <t>2013/03-2</t>
        </is>
      </c>
      <c r="P2" t="inlineStr">
        <is>
          <t>ELECDA</t>
        </is>
      </c>
      <c r="Q2" t="n">
        <v>1</v>
      </c>
      <c r="R2" t="inlineStr">
        <is>
          <t>ATACAMA 220</t>
        </is>
      </c>
      <c r="S2" t="n">
        <v>0</v>
      </c>
      <c r="T2" t="n">
        <v>0</v>
      </c>
      <c r="W2" t="n">
        <v>74.22499999999999</v>
      </c>
    </row>
    <row r="3">
      <c r="A3" t="inlineStr">
        <is>
          <t>01-10-2020</t>
        </is>
      </c>
      <c r="B3" t="inlineStr">
        <is>
          <t>01-10-2020</t>
        </is>
      </c>
      <c r="C3" t="inlineStr">
        <is>
          <t>Licitación Norvind y Elecda (SIC 2013/03-2) BS4</t>
        </is>
      </c>
      <c r="D3" t="inlineStr">
        <is>
          <t>Potencia Licitaciones</t>
        </is>
      </c>
      <c r="E3" t="inlineStr">
        <is>
          <t>Potencia</t>
        </is>
      </c>
      <c r="F3" t="inlineStr">
        <is>
          <t>Lic. SIC 2013/03-2 bloques BS4: Potencia oct 2020</t>
        </is>
      </c>
      <c r="G3" t="inlineStr">
        <is>
          <t>2020-11-16 20:31:11</t>
        </is>
      </c>
      <c r="H3" t="n">
        <v>33</v>
      </c>
      <c r="I3" t="n">
        <v>16895</v>
      </c>
      <c r="J3" t="inlineStr">
        <is>
          <t>s</t>
        </is>
      </c>
      <c r="K3" t="inlineStr">
        <is>
          <t>s</t>
        </is>
      </c>
      <c r="L3" t="inlineStr">
        <is>
          <t>BS4</t>
        </is>
      </c>
      <c r="M3" t="inlineStr">
        <is>
          <t>Norvind</t>
        </is>
      </c>
      <c r="N3" t="inlineStr">
        <is>
          <t>Elecda</t>
        </is>
      </c>
      <c r="O3" t="inlineStr">
        <is>
          <t>2013/03-2</t>
        </is>
      </c>
      <c r="P3" t="inlineStr">
        <is>
          <t>ELECDA</t>
        </is>
      </c>
      <c r="Q3" t="n">
        <v>1</v>
      </c>
      <c r="R3" t="inlineStr">
        <is>
          <t>ATACAMA 220</t>
        </is>
      </c>
      <c r="U3" t="n">
        <v>0</v>
      </c>
      <c r="V3" t="n">
        <v>0</v>
      </c>
      <c r="W3" t="n">
        <v>5710.1668</v>
      </c>
    </row>
    <row r="4">
      <c r="A4" t="inlineStr">
        <is>
          <t>01-10-2020</t>
        </is>
      </c>
      <c r="B4" t="inlineStr">
        <is>
          <t>01-10-2020</t>
        </is>
      </c>
      <c r="C4" t="inlineStr">
        <is>
          <t>Licitación Norvind y Elecda (SIC 2013/03-2) BS4</t>
        </is>
      </c>
      <c r="D4" t="inlineStr">
        <is>
          <t>Energia Licitaciones</t>
        </is>
      </c>
      <c r="E4" t="inlineStr">
        <is>
          <t>Energía</t>
        </is>
      </c>
      <c r="F4" t="inlineStr">
        <is>
          <t>Lic. SIC 2013/03-2 bloques BS4: Energía oct 2020</t>
        </is>
      </c>
      <c r="G4" t="inlineStr">
        <is>
          <t>2020-11-16 20:31:11</t>
        </is>
      </c>
      <c r="H4" t="n">
        <v>33</v>
      </c>
      <c r="I4" t="n">
        <v>16895</v>
      </c>
      <c r="J4" t="inlineStr">
        <is>
          <t>s</t>
        </is>
      </c>
      <c r="K4" t="inlineStr">
        <is>
          <t>s</t>
        </is>
      </c>
      <c r="L4" t="inlineStr">
        <is>
          <t>BS4</t>
        </is>
      </c>
      <c r="M4" t="inlineStr">
        <is>
          <t>Norvind</t>
        </is>
      </c>
      <c r="N4" t="inlineStr">
        <is>
          <t>Elecda</t>
        </is>
      </c>
      <c r="O4" t="inlineStr">
        <is>
          <t>2013/03-2</t>
        </is>
      </c>
      <c r="P4" t="inlineStr">
        <is>
          <t>ELECDA</t>
        </is>
      </c>
      <c r="Q4" t="n">
        <v>2</v>
      </c>
      <c r="R4" t="inlineStr">
        <is>
          <t>CRUCERO 220</t>
        </is>
      </c>
      <c r="S4" t="n">
        <v>0</v>
      </c>
      <c r="T4" t="n">
        <v>0</v>
      </c>
      <c r="W4" t="n">
        <v>73.16200000000001</v>
      </c>
    </row>
    <row r="5">
      <c r="A5" t="inlineStr">
        <is>
          <t>01-10-2020</t>
        </is>
      </c>
      <c r="B5" t="inlineStr">
        <is>
          <t>01-10-2020</t>
        </is>
      </c>
      <c r="C5" t="inlineStr">
        <is>
          <t>Licitación Norvind y Elecda (SIC 2013/03-2) BS4</t>
        </is>
      </c>
      <c r="D5" t="inlineStr">
        <is>
          <t>Potencia Licitaciones</t>
        </is>
      </c>
      <c r="E5" t="inlineStr">
        <is>
          <t>Potencia</t>
        </is>
      </c>
      <c r="F5" t="inlineStr">
        <is>
          <t>Lic. SIC 2013/03-2 bloques BS4: Potencia oct 2020</t>
        </is>
      </c>
      <c r="G5" t="inlineStr">
        <is>
          <t>2020-11-16 20:31:11</t>
        </is>
      </c>
      <c r="H5" t="n">
        <v>33</v>
      </c>
      <c r="I5" t="n">
        <v>16895</v>
      </c>
      <c r="J5" t="inlineStr">
        <is>
          <t>s</t>
        </is>
      </c>
      <c r="K5" t="inlineStr">
        <is>
          <t>s</t>
        </is>
      </c>
      <c r="L5" t="inlineStr">
        <is>
          <t>BS4</t>
        </is>
      </c>
      <c r="M5" t="inlineStr">
        <is>
          <t>Norvind</t>
        </is>
      </c>
      <c r="N5" t="inlineStr">
        <is>
          <t>Elecda</t>
        </is>
      </c>
      <c r="O5" t="inlineStr">
        <is>
          <t>2013/03-2</t>
        </is>
      </c>
      <c r="P5" t="inlineStr">
        <is>
          <t>ELECDA</t>
        </is>
      </c>
      <c r="Q5" t="n">
        <v>2</v>
      </c>
      <c r="R5" t="inlineStr">
        <is>
          <t>CRUCERO 220</t>
        </is>
      </c>
      <c r="U5" t="n">
        <v>0</v>
      </c>
      <c r="V5" t="n">
        <v>0</v>
      </c>
      <c r="W5" t="n">
        <v>5628.8657</v>
      </c>
    </row>
    <row r="6">
      <c r="A6" t="inlineStr">
        <is>
          <t>01-10-2020</t>
        </is>
      </c>
      <c r="B6" t="inlineStr">
        <is>
          <t>01-10-2020</t>
        </is>
      </c>
      <c r="C6" t="inlineStr">
        <is>
          <t>Licitación Norvind y Elecda (SIC 2013/03-2) BS4</t>
        </is>
      </c>
      <c r="D6" t="inlineStr">
        <is>
          <t>Potencia Licitaciones</t>
        </is>
      </c>
      <c r="E6" t="inlineStr">
        <is>
          <t>Potencia</t>
        </is>
      </c>
      <c r="F6" t="inlineStr">
        <is>
          <t>Lic. SIC 2013/03-2 bloques BS4: Potencia oct 2020</t>
        </is>
      </c>
      <c r="G6" t="inlineStr">
        <is>
          <t>2020-11-16 20:31:11</t>
        </is>
      </c>
      <c r="H6" t="n">
        <v>33</v>
      </c>
      <c r="I6" t="n">
        <v>16895</v>
      </c>
      <c r="J6" t="inlineStr">
        <is>
          <t>s</t>
        </is>
      </c>
      <c r="K6" t="inlineStr">
        <is>
          <t>s</t>
        </is>
      </c>
      <c r="L6" t="inlineStr">
        <is>
          <t>BS4</t>
        </is>
      </c>
      <c r="M6" t="inlineStr">
        <is>
          <t>Norvind</t>
        </is>
      </c>
      <c r="N6" t="inlineStr">
        <is>
          <t>Elecda</t>
        </is>
      </c>
      <c r="O6" t="inlineStr">
        <is>
          <t>2013/03-2</t>
        </is>
      </c>
      <c r="P6" t="inlineStr">
        <is>
          <t>ELECDA</t>
        </is>
      </c>
      <c r="Q6" t="n">
        <v>3</v>
      </c>
      <c r="R6" t="inlineStr">
        <is>
          <t>D.ALMAGRO 220</t>
        </is>
      </c>
      <c r="U6" t="n">
        <v>6</v>
      </c>
      <c r="V6" t="n">
        <v>34010</v>
      </c>
      <c r="W6" t="n">
        <v>5668.311</v>
      </c>
    </row>
    <row r="7">
      <c r="A7" t="inlineStr">
        <is>
          <t>01-10-2020</t>
        </is>
      </c>
      <c r="B7" t="inlineStr">
        <is>
          <t>01-10-2020</t>
        </is>
      </c>
      <c r="C7" t="inlineStr">
        <is>
          <t>Licitación Norvind y Elecda (SIC 2013/03-2) BS4</t>
        </is>
      </c>
      <c r="D7" t="inlineStr">
        <is>
          <t>Energia Licitaciones</t>
        </is>
      </c>
      <c r="E7" t="inlineStr">
        <is>
          <t>Energía</t>
        </is>
      </c>
      <c r="F7" t="inlineStr">
        <is>
          <t>Lic. SIC 2013/03-2 bloques BS4: Energía oct 2020</t>
        </is>
      </c>
      <c r="G7" t="inlineStr">
        <is>
          <t>2020-11-16 20:31:11</t>
        </is>
      </c>
      <c r="H7" t="n">
        <v>33</v>
      </c>
      <c r="I7" t="n">
        <v>16895</v>
      </c>
      <c r="J7" t="inlineStr">
        <is>
          <t>s</t>
        </is>
      </c>
      <c r="K7" t="inlineStr">
        <is>
          <t>s</t>
        </is>
      </c>
      <c r="L7" t="inlineStr">
        <is>
          <t>BS4</t>
        </is>
      </c>
      <c r="M7" t="inlineStr">
        <is>
          <t>Norvind</t>
        </is>
      </c>
      <c r="N7" t="inlineStr">
        <is>
          <t>Elecda</t>
        </is>
      </c>
      <c r="O7" t="inlineStr">
        <is>
          <t>2013/03-2</t>
        </is>
      </c>
      <c r="P7" t="inlineStr">
        <is>
          <t>ELECDA</t>
        </is>
      </c>
      <c r="Q7" t="n">
        <v>3</v>
      </c>
      <c r="R7" t="inlineStr">
        <is>
          <t>D.ALMAGRO 220</t>
        </is>
      </c>
      <c r="S7" t="n">
        <v>2420</v>
      </c>
      <c r="T7" t="n">
        <v>175264</v>
      </c>
      <c r="W7" t="n">
        <v>72.423</v>
      </c>
    </row>
    <row r="8">
      <c r="A8" t="inlineStr">
        <is>
          <t>01-10-2020</t>
        </is>
      </c>
      <c r="B8" t="inlineStr">
        <is>
          <t>01-10-2020</t>
        </is>
      </c>
      <c r="C8" t="inlineStr">
        <is>
          <t>Licitación Norvind y Elecda (SIC 2013/03-2) BS4</t>
        </is>
      </c>
      <c r="D8" t="inlineStr">
        <is>
          <t>Energia Licitaciones</t>
        </is>
      </c>
      <c r="E8" t="inlineStr">
        <is>
          <t>Energía</t>
        </is>
      </c>
      <c r="F8" t="inlineStr">
        <is>
          <t>Lic. SIC 2013/03-2 bloques BS4: Energía oct 2020</t>
        </is>
      </c>
      <c r="G8" t="inlineStr">
        <is>
          <t>2020-11-16 20:31:11</t>
        </is>
      </c>
      <c r="H8" t="n">
        <v>33</v>
      </c>
      <c r="I8" t="n">
        <v>16895</v>
      </c>
      <c r="J8" t="inlineStr">
        <is>
          <t>s</t>
        </is>
      </c>
      <c r="K8" t="inlineStr">
        <is>
          <t>s</t>
        </is>
      </c>
      <c r="L8" t="inlineStr">
        <is>
          <t>BS4</t>
        </is>
      </c>
      <c r="M8" t="inlineStr">
        <is>
          <t>Norvind</t>
        </is>
      </c>
      <c r="N8" t="inlineStr">
        <is>
          <t>Elecda</t>
        </is>
      </c>
      <c r="O8" t="inlineStr">
        <is>
          <t>2013/03-2</t>
        </is>
      </c>
      <c r="P8" t="inlineStr">
        <is>
          <t>ELECDA</t>
        </is>
      </c>
      <c r="Q8" t="n">
        <v>4</v>
      </c>
      <c r="R8" t="inlineStr">
        <is>
          <t>ENCUENTRO 220</t>
        </is>
      </c>
      <c r="S8" t="n">
        <v>0</v>
      </c>
      <c r="T8" t="n">
        <v>0</v>
      </c>
      <c r="W8" t="n">
        <v>73.81100000000001</v>
      </c>
    </row>
    <row r="9">
      <c r="A9" t="inlineStr">
        <is>
          <t>01-10-2020</t>
        </is>
      </c>
      <c r="B9" t="inlineStr">
        <is>
          <t>01-10-2020</t>
        </is>
      </c>
      <c r="C9" t="inlineStr">
        <is>
          <t>Licitación Norvind y Elecda (SIC 2013/03-2) BS4</t>
        </is>
      </c>
      <c r="D9" t="inlineStr">
        <is>
          <t>Potencia Licitaciones</t>
        </is>
      </c>
      <c r="E9" t="inlineStr">
        <is>
          <t>Potencia</t>
        </is>
      </c>
      <c r="F9" t="inlineStr">
        <is>
          <t>Lic. SIC 2013/03-2 bloques BS4: Potencia oct 2020</t>
        </is>
      </c>
      <c r="G9" t="inlineStr">
        <is>
          <t>2020-11-16 20:31:11</t>
        </is>
      </c>
      <c r="H9" t="n">
        <v>33</v>
      </c>
      <c r="I9" t="n">
        <v>16895</v>
      </c>
      <c r="J9" t="inlineStr">
        <is>
          <t>s</t>
        </is>
      </c>
      <c r="K9" t="inlineStr">
        <is>
          <t>s</t>
        </is>
      </c>
      <c r="L9" t="inlineStr">
        <is>
          <t>BS4</t>
        </is>
      </c>
      <c r="M9" t="inlineStr">
        <is>
          <t>Norvind</t>
        </is>
      </c>
      <c r="N9" t="inlineStr">
        <is>
          <t>Elecda</t>
        </is>
      </c>
      <c r="O9" t="inlineStr">
        <is>
          <t>2013/03-2</t>
        </is>
      </c>
      <c r="P9" t="inlineStr">
        <is>
          <t>ELECDA</t>
        </is>
      </c>
      <c r="Q9" t="n">
        <v>4</v>
      </c>
      <c r="R9" t="inlineStr">
        <is>
          <t>ENCUENTRO 220</t>
        </is>
      </c>
      <c r="U9" t="n">
        <v>0</v>
      </c>
      <c r="V9" t="n">
        <v>0</v>
      </c>
      <c r="W9" t="n">
        <v>5678.0142</v>
      </c>
    </row>
    <row r="10">
      <c r="A10" t="inlineStr">
        <is>
          <t>01-11-2020</t>
        </is>
      </c>
      <c r="B10" t="inlineStr">
        <is>
          <t>01-11-2020</t>
        </is>
      </c>
      <c r="C10" t="inlineStr">
        <is>
          <t>Licitación Norvind y Elecda (SIC 2013/03-2) BS4</t>
        </is>
      </c>
      <c r="D10" t="inlineStr">
        <is>
          <t>Energia Licitaciones</t>
        </is>
      </c>
      <c r="E10" t="inlineStr">
        <is>
          <t>Energía</t>
        </is>
      </c>
      <c r="F10" t="inlineStr">
        <is>
          <t>Lic. SIC 2013/03-2 bloques BS4: Energía nov 2020</t>
        </is>
      </c>
      <c r="G10" t="inlineStr">
        <is>
          <t>2020-12-28 17:05:44</t>
        </is>
      </c>
      <c r="H10" t="n">
        <v>33</v>
      </c>
      <c r="I10" t="n">
        <v>17457</v>
      </c>
      <c r="J10" t="inlineStr">
        <is>
          <t>s</t>
        </is>
      </c>
      <c r="K10" t="inlineStr">
        <is>
          <t>s</t>
        </is>
      </c>
      <c r="L10" t="inlineStr">
        <is>
          <t>BS4</t>
        </is>
      </c>
      <c r="M10" t="inlineStr">
        <is>
          <t>Norvind</t>
        </is>
      </c>
      <c r="N10" t="inlineStr">
        <is>
          <t>Elecda</t>
        </is>
      </c>
      <c r="O10" t="inlineStr">
        <is>
          <t>2013/03-2</t>
        </is>
      </c>
      <c r="P10" t="inlineStr">
        <is>
          <t>ELECDA</t>
        </is>
      </c>
      <c r="Q10" t="n">
        <v>1</v>
      </c>
      <c r="R10" t="inlineStr">
        <is>
          <t>ATACAMA 220</t>
        </is>
      </c>
      <c r="S10" t="n">
        <v>0</v>
      </c>
      <c r="T10" t="n">
        <v>0</v>
      </c>
      <c r="W10" t="n">
        <v>74.22499999999999</v>
      </c>
    </row>
    <row r="11">
      <c r="A11" t="inlineStr">
        <is>
          <t>01-11-2020</t>
        </is>
      </c>
      <c r="B11" t="inlineStr">
        <is>
          <t>01-11-2020</t>
        </is>
      </c>
      <c r="C11" t="inlineStr">
        <is>
          <t>Licitación Norvind y Elecda (SIC 2013/03-2) BS4</t>
        </is>
      </c>
      <c r="D11" t="inlineStr">
        <is>
          <t>Potencia Licitaciones</t>
        </is>
      </c>
      <c r="E11" t="inlineStr">
        <is>
          <t>Potencia</t>
        </is>
      </c>
      <c r="F11" t="inlineStr">
        <is>
          <t>Lic. SIC 2013/03-2 bloques BS4: Potencia nov 2020</t>
        </is>
      </c>
      <c r="G11" t="inlineStr">
        <is>
          <t>2020-12-28 17:05:44</t>
        </is>
      </c>
      <c r="H11" t="n">
        <v>33</v>
      </c>
      <c r="I11" t="n">
        <v>17457</v>
      </c>
      <c r="J11" t="inlineStr">
        <is>
          <t>s</t>
        </is>
      </c>
      <c r="K11" t="inlineStr">
        <is>
          <t>s</t>
        </is>
      </c>
      <c r="L11" t="inlineStr">
        <is>
          <t>BS4</t>
        </is>
      </c>
      <c r="M11" t="inlineStr">
        <is>
          <t>Norvind</t>
        </is>
      </c>
      <c r="N11" t="inlineStr">
        <is>
          <t>Elecda</t>
        </is>
      </c>
      <c r="O11" t="inlineStr">
        <is>
          <t>2013/03-2</t>
        </is>
      </c>
      <c r="P11" t="inlineStr">
        <is>
          <t>ELECDA</t>
        </is>
      </c>
      <c r="Q11" t="n">
        <v>1</v>
      </c>
      <c r="R11" t="inlineStr">
        <is>
          <t>ATACAMA 220</t>
        </is>
      </c>
      <c r="U11" t="n">
        <v>0</v>
      </c>
      <c r="V11" t="n">
        <v>0</v>
      </c>
      <c r="W11" t="n">
        <v>5710.1668</v>
      </c>
    </row>
    <row r="12">
      <c r="A12" t="inlineStr">
        <is>
          <t>01-11-2020</t>
        </is>
      </c>
      <c r="B12" t="inlineStr">
        <is>
          <t>01-11-2020</t>
        </is>
      </c>
      <c r="C12" t="inlineStr">
        <is>
          <t>Licitación Norvind y Elecda (SIC 2013/03-2) BS4</t>
        </is>
      </c>
      <c r="D12" t="inlineStr">
        <is>
          <t>Energia Licitaciones</t>
        </is>
      </c>
      <c r="E12" t="inlineStr">
        <is>
          <t>Energía</t>
        </is>
      </c>
      <c r="F12" t="inlineStr">
        <is>
          <t>Lic. SIC 2013/03-2 bloques BS4: Energía nov 2020</t>
        </is>
      </c>
      <c r="G12" t="inlineStr">
        <is>
          <t>2020-12-28 17:05:44</t>
        </is>
      </c>
      <c r="H12" t="n">
        <v>33</v>
      </c>
      <c r="I12" t="n">
        <v>17457</v>
      </c>
      <c r="J12" t="inlineStr">
        <is>
          <t>s</t>
        </is>
      </c>
      <c r="K12" t="inlineStr">
        <is>
          <t>s</t>
        </is>
      </c>
      <c r="L12" t="inlineStr">
        <is>
          <t>BS4</t>
        </is>
      </c>
      <c r="M12" t="inlineStr">
        <is>
          <t>Norvind</t>
        </is>
      </c>
      <c r="N12" t="inlineStr">
        <is>
          <t>Elecda</t>
        </is>
      </c>
      <c r="O12" t="inlineStr">
        <is>
          <t>2013/03-2</t>
        </is>
      </c>
      <c r="P12" t="inlineStr">
        <is>
          <t>ELECDA</t>
        </is>
      </c>
      <c r="Q12" t="n">
        <v>2</v>
      </c>
      <c r="R12" t="inlineStr">
        <is>
          <t>CRUCERO 220</t>
        </is>
      </c>
      <c r="S12" t="n">
        <v>0</v>
      </c>
      <c r="T12" t="n">
        <v>0</v>
      </c>
      <c r="W12" t="n">
        <v>73.16200000000001</v>
      </c>
    </row>
    <row r="13">
      <c r="A13" t="inlineStr">
        <is>
          <t>01-11-2020</t>
        </is>
      </c>
      <c r="B13" t="inlineStr">
        <is>
          <t>01-11-2020</t>
        </is>
      </c>
      <c r="C13" t="inlineStr">
        <is>
          <t>Licitación Norvind y Elecda (SIC 2013/03-2) BS4</t>
        </is>
      </c>
      <c r="D13" t="inlineStr">
        <is>
          <t>Potencia Licitaciones</t>
        </is>
      </c>
      <c r="E13" t="inlineStr">
        <is>
          <t>Potencia</t>
        </is>
      </c>
      <c r="F13" t="inlineStr">
        <is>
          <t>Lic. SIC 2013/03-2 bloques BS4: Potencia nov 2020</t>
        </is>
      </c>
      <c r="G13" t="inlineStr">
        <is>
          <t>2020-12-28 17:05:44</t>
        </is>
      </c>
      <c r="H13" t="n">
        <v>33</v>
      </c>
      <c r="I13" t="n">
        <v>17457</v>
      </c>
      <c r="J13" t="inlineStr">
        <is>
          <t>s</t>
        </is>
      </c>
      <c r="K13" t="inlineStr">
        <is>
          <t>s</t>
        </is>
      </c>
      <c r="L13" t="inlineStr">
        <is>
          <t>BS4</t>
        </is>
      </c>
      <c r="M13" t="inlineStr">
        <is>
          <t>Norvind</t>
        </is>
      </c>
      <c r="N13" t="inlineStr">
        <is>
          <t>Elecda</t>
        </is>
      </c>
      <c r="O13" t="inlineStr">
        <is>
          <t>2013/03-2</t>
        </is>
      </c>
      <c r="P13" t="inlineStr">
        <is>
          <t>ELECDA</t>
        </is>
      </c>
      <c r="Q13" t="n">
        <v>2</v>
      </c>
      <c r="R13" t="inlineStr">
        <is>
          <t>CRUCERO 220</t>
        </is>
      </c>
      <c r="U13" t="n">
        <v>0</v>
      </c>
      <c r="V13" t="n">
        <v>0</v>
      </c>
      <c r="W13" t="n">
        <v>5628.8657</v>
      </c>
    </row>
    <row r="14">
      <c r="A14" t="inlineStr">
        <is>
          <t>01-11-2020</t>
        </is>
      </c>
      <c r="B14" t="inlineStr">
        <is>
          <t>01-11-2020</t>
        </is>
      </c>
      <c r="C14" t="inlineStr">
        <is>
          <t>Licitación Norvind y Elecda (SIC 2013/03-2) BS4</t>
        </is>
      </c>
      <c r="D14" t="inlineStr">
        <is>
          <t>Potencia Licitaciones</t>
        </is>
      </c>
      <c r="E14" t="inlineStr">
        <is>
          <t>Potencia</t>
        </is>
      </c>
      <c r="F14" t="inlineStr">
        <is>
          <t>Lic. SIC 2013/03-2 bloques BS4: Potencia nov 2020</t>
        </is>
      </c>
      <c r="G14" t="inlineStr">
        <is>
          <t>2020-12-28 17:05:44</t>
        </is>
      </c>
      <c r="H14" t="n">
        <v>33</v>
      </c>
      <c r="I14" t="n">
        <v>17457</v>
      </c>
      <c r="J14" t="inlineStr">
        <is>
          <t>s</t>
        </is>
      </c>
      <c r="K14" t="inlineStr">
        <is>
          <t>s</t>
        </is>
      </c>
      <c r="L14" t="inlineStr">
        <is>
          <t>BS4</t>
        </is>
      </c>
      <c r="M14" t="inlineStr">
        <is>
          <t>Norvind</t>
        </is>
      </c>
      <c r="N14" t="inlineStr">
        <is>
          <t>Elecda</t>
        </is>
      </c>
      <c r="O14" t="inlineStr">
        <is>
          <t>2013/03-2</t>
        </is>
      </c>
      <c r="P14" t="inlineStr">
        <is>
          <t>ELECDA</t>
        </is>
      </c>
      <c r="Q14" t="n">
        <v>3</v>
      </c>
      <c r="R14" t="inlineStr">
        <is>
          <t>D.ALMAGRO 220</t>
        </is>
      </c>
      <c r="U14" t="n">
        <v>6</v>
      </c>
      <c r="V14" t="n">
        <v>34010</v>
      </c>
      <c r="W14" t="n">
        <v>5668.311</v>
      </c>
    </row>
    <row r="15">
      <c r="A15" t="inlineStr">
        <is>
          <t>01-11-2020</t>
        </is>
      </c>
      <c r="B15" t="inlineStr">
        <is>
          <t>01-11-2020</t>
        </is>
      </c>
      <c r="C15" t="inlineStr">
        <is>
          <t>Licitación Norvind y Elecda (SIC 2013/03-2) BS4</t>
        </is>
      </c>
      <c r="D15" t="inlineStr">
        <is>
          <t>Energia Licitaciones</t>
        </is>
      </c>
      <c r="E15" t="inlineStr">
        <is>
          <t>Energía</t>
        </is>
      </c>
      <c r="F15" t="inlineStr">
        <is>
          <t>Lic. SIC 2013/03-2 bloques BS4: Energía nov 2020</t>
        </is>
      </c>
      <c r="G15" t="inlineStr">
        <is>
          <t>2020-12-28 17:05:44</t>
        </is>
      </c>
      <c r="H15" t="n">
        <v>33</v>
      </c>
      <c r="I15" t="n">
        <v>17457</v>
      </c>
      <c r="J15" t="inlineStr">
        <is>
          <t>s</t>
        </is>
      </c>
      <c r="K15" t="inlineStr">
        <is>
          <t>s</t>
        </is>
      </c>
      <c r="L15" t="inlineStr">
        <is>
          <t>BS4</t>
        </is>
      </c>
      <c r="M15" t="inlineStr">
        <is>
          <t>Norvind</t>
        </is>
      </c>
      <c r="N15" t="inlineStr">
        <is>
          <t>Elecda</t>
        </is>
      </c>
      <c r="O15" t="inlineStr">
        <is>
          <t>2013/03-2</t>
        </is>
      </c>
      <c r="P15" t="inlineStr">
        <is>
          <t>ELECDA</t>
        </is>
      </c>
      <c r="Q15" t="n">
        <v>3</v>
      </c>
      <c r="R15" t="inlineStr">
        <is>
          <t>D.ALMAGRO 220</t>
        </is>
      </c>
      <c r="S15" t="n">
        <v>2366</v>
      </c>
      <c r="T15" t="n">
        <v>171353</v>
      </c>
      <c r="W15" t="n">
        <v>72.423</v>
      </c>
    </row>
    <row r="16">
      <c r="A16" t="inlineStr">
        <is>
          <t>01-11-2020</t>
        </is>
      </c>
      <c r="B16" t="inlineStr">
        <is>
          <t>01-11-2020</t>
        </is>
      </c>
      <c r="C16" t="inlineStr">
        <is>
          <t>Licitación Norvind y Elecda (SIC 2013/03-2) BS4</t>
        </is>
      </c>
      <c r="D16" t="inlineStr">
        <is>
          <t>Energia Licitaciones</t>
        </is>
      </c>
      <c r="E16" t="inlineStr">
        <is>
          <t>Energía</t>
        </is>
      </c>
      <c r="F16" t="inlineStr">
        <is>
          <t>Lic. SIC 2013/03-2 bloques BS4: Energía nov 2020</t>
        </is>
      </c>
      <c r="G16" t="inlineStr">
        <is>
          <t>2020-12-28 17:05:44</t>
        </is>
      </c>
      <c r="H16" t="n">
        <v>33</v>
      </c>
      <c r="I16" t="n">
        <v>17457</v>
      </c>
      <c r="J16" t="inlineStr">
        <is>
          <t>s</t>
        </is>
      </c>
      <c r="K16" t="inlineStr">
        <is>
          <t>s</t>
        </is>
      </c>
      <c r="L16" t="inlineStr">
        <is>
          <t>BS4</t>
        </is>
      </c>
      <c r="M16" t="inlineStr">
        <is>
          <t>Norvind</t>
        </is>
      </c>
      <c r="N16" t="inlineStr">
        <is>
          <t>Elecda</t>
        </is>
      </c>
      <c r="O16" t="inlineStr">
        <is>
          <t>2013/03-2</t>
        </is>
      </c>
      <c r="P16" t="inlineStr">
        <is>
          <t>ELECDA</t>
        </is>
      </c>
      <c r="Q16" t="n">
        <v>4</v>
      </c>
      <c r="R16" t="inlineStr">
        <is>
          <t>ENCUENTRO 220</t>
        </is>
      </c>
      <c r="S16" t="n">
        <v>0</v>
      </c>
      <c r="T16" t="n">
        <v>0</v>
      </c>
      <c r="W16" t="n">
        <v>73.81100000000001</v>
      </c>
    </row>
    <row r="17">
      <c r="A17" t="inlineStr">
        <is>
          <t>01-11-2020</t>
        </is>
      </c>
      <c r="B17" t="inlineStr">
        <is>
          <t>01-11-2020</t>
        </is>
      </c>
      <c r="C17" t="inlineStr">
        <is>
          <t>Licitación Norvind y Elecda (SIC 2013/03-2) BS4</t>
        </is>
      </c>
      <c r="D17" t="inlineStr">
        <is>
          <t>Potencia Licitaciones</t>
        </is>
      </c>
      <c r="E17" t="inlineStr">
        <is>
          <t>Potencia</t>
        </is>
      </c>
      <c r="F17" t="inlineStr">
        <is>
          <t>Lic. SIC 2013/03-2 bloques BS4: Potencia nov 2020</t>
        </is>
      </c>
      <c r="G17" t="inlineStr">
        <is>
          <t>2020-12-28 17:05:44</t>
        </is>
      </c>
      <c r="H17" t="n">
        <v>33</v>
      </c>
      <c r="I17" t="n">
        <v>17457</v>
      </c>
      <c r="J17" t="inlineStr">
        <is>
          <t>s</t>
        </is>
      </c>
      <c r="K17" t="inlineStr">
        <is>
          <t>s</t>
        </is>
      </c>
      <c r="L17" t="inlineStr">
        <is>
          <t>BS4</t>
        </is>
      </c>
      <c r="M17" t="inlineStr">
        <is>
          <t>Norvind</t>
        </is>
      </c>
      <c r="N17" t="inlineStr">
        <is>
          <t>Elecda</t>
        </is>
      </c>
      <c r="O17" t="inlineStr">
        <is>
          <t>2013/03-2</t>
        </is>
      </c>
      <c r="P17" t="inlineStr">
        <is>
          <t>ELECDA</t>
        </is>
      </c>
      <c r="Q17" t="n">
        <v>4</v>
      </c>
      <c r="R17" t="inlineStr">
        <is>
          <t>ENCUENTRO 220</t>
        </is>
      </c>
      <c r="U17" t="n">
        <v>0</v>
      </c>
      <c r="V17" t="n">
        <v>0</v>
      </c>
      <c r="W17" t="n">
        <v>5678.0142</v>
      </c>
    </row>
    <row r="18">
      <c r="A18" t="inlineStr">
        <is>
          <t>01-12-2020</t>
        </is>
      </c>
      <c r="B18" t="inlineStr">
        <is>
          <t>01-12-2020</t>
        </is>
      </c>
      <c r="C18" t="inlineStr">
        <is>
          <t>Licitación Norvind y Elecda (SIC 2013/03-2) BS4</t>
        </is>
      </c>
      <c r="D18" t="inlineStr">
        <is>
          <t>Energia Licitaciones</t>
        </is>
      </c>
      <c r="E18" t="inlineStr">
        <is>
          <t>Energía</t>
        </is>
      </c>
      <c r="F18" t="inlineStr">
        <is>
          <t>Lic. SIC 2013/03-2 bloques BS4: Energía dic 2020</t>
        </is>
      </c>
      <c r="G18" t="inlineStr">
        <is>
          <t>2021-01-15 16:43:02</t>
        </is>
      </c>
      <c r="H18" t="n">
        <v>33</v>
      </c>
      <c r="I18" t="n">
        <v>17485</v>
      </c>
      <c r="J18" t="inlineStr">
        <is>
          <t>s</t>
        </is>
      </c>
      <c r="K18" t="inlineStr">
        <is>
          <t>s</t>
        </is>
      </c>
      <c r="L18" t="inlineStr">
        <is>
          <t>BS4</t>
        </is>
      </c>
      <c r="M18" t="inlineStr">
        <is>
          <t>Norvind</t>
        </is>
      </c>
      <c r="N18" t="inlineStr">
        <is>
          <t>Elecda</t>
        </is>
      </c>
      <c r="O18" t="inlineStr">
        <is>
          <t>2013/03-2</t>
        </is>
      </c>
      <c r="P18" t="inlineStr">
        <is>
          <t>ELECDA</t>
        </is>
      </c>
      <c r="Q18" t="n">
        <v>1</v>
      </c>
      <c r="R18" t="inlineStr">
        <is>
          <t>ATACAMA 220</t>
        </is>
      </c>
      <c r="S18" t="n">
        <v>0</v>
      </c>
      <c r="T18" t="n">
        <v>0</v>
      </c>
      <c r="W18" t="n">
        <v>74.22499999999999</v>
      </c>
    </row>
    <row r="19">
      <c r="A19" t="inlineStr">
        <is>
          <t>01-12-2020</t>
        </is>
      </c>
      <c r="B19" t="inlineStr">
        <is>
          <t>01-12-2020</t>
        </is>
      </c>
      <c r="C19" t="inlineStr">
        <is>
          <t>Licitación Norvind y Elecda (SIC 2013/03-2) BS4</t>
        </is>
      </c>
      <c r="D19" t="inlineStr">
        <is>
          <t>Potencia Licitaciones</t>
        </is>
      </c>
      <c r="E19" t="inlineStr">
        <is>
          <t>Potencia</t>
        </is>
      </c>
      <c r="F19" t="inlineStr">
        <is>
          <t>Lic. SIC 2013/03-2 bloques BS4: Potencia dic 2020</t>
        </is>
      </c>
      <c r="G19" t="inlineStr">
        <is>
          <t>2021-01-15 16:43:02</t>
        </is>
      </c>
      <c r="H19" t="n">
        <v>33</v>
      </c>
      <c r="I19" t="n">
        <v>17485</v>
      </c>
      <c r="J19" t="inlineStr">
        <is>
          <t>s</t>
        </is>
      </c>
      <c r="K19" t="inlineStr">
        <is>
          <t>s</t>
        </is>
      </c>
      <c r="L19" t="inlineStr">
        <is>
          <t>BS4</t>
        </is>
      </c>
      <c r="M19" t="inlineStr">
        <is>
          <t>Norvind</t>
        </is>
      </c>
      <c r="N19" t="inlineStr">
        <is>
          <t>Elecda</t>
        </is>
      </c>
      <c r="O19" t="inlineStr">
        <is>
          <t>2013/03-2</t>
        </is>
      </c>
      <c r="P19" t="inlineStr">
        <is>
          <t>ELECDA</t>
        </is>
      </c>
      <c r="Q19" t="n">
        <v>1</v>
      </c>
      <c r="R19" t="inlineStr">
        <is>
          <t>ATACAMA 220</t>
        </is>
      </c>
      <c r="U19" t="n">
        <v>0</v>
      </c>
      <c r="V19" t="n">
        <v>0</v>
      </c>
      <c r="W19" t="n">
        <v>5710.1668</v>
      </c>
    </row>
    <row r="20">
      <c r="A20" t="inlineStr">
        <is>
          <t>01-12-2020</t>
        </is>
      </c>
      <c r="B20" t="inlineStr">
        <is>
          <t>01-12-2020</t>
        </is>
      </c>
      <c r="C20" t="inlineStr">
        <is>
          <t>Licitación Norvind y Elecda (SIC 2013/03-2) BS4</t>
        </is>
      </c>
      <c r="D20" t="inlineStr">
        <is>
          <t>Energia Licitaciones</t>
        </is>
      </c>
      <c r="E20" t="inlineStr">
        <is>
          <t>Energía</t>
        </is>
      </c>
      <c r="F20" t="inlineStr">
        <is>
          <t>Lic. SIC 2013/03-2 bloques BS4: Energía dic 2020</t>
        </is>
      </c>
      <c r="G20" t="inlineStr">
        <is>
          <t>2021-01-15 16:43:02</t>
        </is>
      </c>
      <c r="H20" t="n">
        <v>33</v>
      </c>
      <c r="I20" t="n">
        <v>17485</v>
      </c>
      <c r="J20" t="inlineStr">
        <is>
          <t>s</t>
        </is>
      </c>
      <c r="K20" t="inlineStr">
        <is>
          <t>s</t>
        </is>
      </c>
      <c r="L20" t="inlineStr">
        <is>
          <t>BS4</t>
        </is>
      </c>
      <c r="M20" t="inlineStr">
        <is>
          <t>Norvind</t>
        </is>
      </c>
      <c r="N20" t="inlineStr">
        <is>
          <t>Elecda</t>
        </is>
      </c>
      <c r="O20" t="inlineStr">
        <is>
          <t>2013/03-2</t>
        </is>
      </c>
      <c r="P20" t="inlineStr">
        <is>
          <t>ELECDA</t>
        </is>
      </c>
      <c r="Q20" t="n">
        <v>2</v>
      </c>
      <c r="R20" t="inlineStr">
        <is>
          <t>CRUCERO 220</t>
        </is>
      </c>
      <c r="S20" t="n">
        <v>0</v>
      </c>
      <c r="T20" t="n">
        <v>0</v>
      </c>
      <c r="W20" t="n">
        <v>73.16200000000001</v>
      </c>
    </row>
    <row r="21">
      <c r="A21" t="inlineStr">
        <is>
          <t>01-12-2020</t>
        </is>
      </c>
      <c r="B21" t="inlineStr">
        <is>
          <t>01-12-2020</t>
        </is>
      </c>
      <c r="C21" t="inlineStr">
        <is>
          <t>Licitación Norvind y Elecda (SIC 2013/03-2) BS4</t>
        </is>
      </c>
      <c r="D21" t="inlineStr">
        <is>
          <t>Potencia Licitaciones</t>
        </is>
      </c>
      <c r="E21" t="inlineStr">
        <is>
          <t>Potencia</t>
        </is>
      </c>
      <c r="F21" t="inlineStr">
        <is>
          <t>Lic. SIC 2013/03-2 bloques BS4: Potencia dic 2020</t>
        </is>
      </c>
      <c r="G21" t="inlineStr">
        <is>
          <t>2021-01-15 16:43:02</t>
        </is>
      </c>
      <c r="H21" t="n">
        <v>33</v>
      </c>
      <c r="I21" t="n">
        <v>17485</v>
      </c>
      <c r="J21" t="inlineStr">
        <is>
          <t>s</t>
        </is>
      </c>
      <c r="K21" t="inlineStr">
        <is>
          <t>s</t>
        </is>
      </c>
      <c r="L21" t="inlineStr">
        <is>
          <t>BS4</t>
        </is>
      </c>
      <c r="M21" t="inlineStr">
        <is>
          <t>Norvind</t>
        </is>
      </c>
      <c r="N21" t="inlineStr">
        <is>
          <t>Elecda</t>
        </is>
      </c>
      <c r="O21" t="inlineStr">
        <is>
          <t>2013/03-2</t>
        </is>
      </c>
      <c r="P21" t="inlineStr">
        <is>
          <t>ELECDA</t>
        </is>
      </c>
      <c r="Q21" t="n">
        <v>2</v>
      </c>
      <c r="R21" t="inlineStr">
        <is>
          <t>CRUCERO 220</t>
        </is>
      </c>
      <c r="U21" t="n">
        <v>0</v>
      </c>
      <c r="V21" t="n">
        <v>0</v>
      </c>
      <c r="W21" t="n">
        <v>5628.8657</v>
      </c>
    </row>
    <row r="22">
      <c r="A22" t="inlineStr">
        <is>
          <t>01-12-2020</t>
        </is>
      </c>
      <c r="B22" t="inlineStr">
        <is>
          <t>01-12-2020</t>
        </is>
      </c>
      <c r="C22" t="inlineStr">
        <is>
          <t>Licitación Norvind y Elecda (SIC 2013/03-2) BS4</t>
        </is>
      </c>
      <c r="D22" t="inlineStr">
        <is>
          <t>Potencia Licitaciones</t>
        </is>
      </c>
      <c r="E22" t="inlineStr">
        <is>
          <t>Potencia</t>
        </is>
      </c>
      <c r="F22" t="inlineStr">
        <is>
          <t>Lic. SIC 2013/03-2 bloques BS4: Potencia dic 2020</t>
        </is>
      </c>
      <c r="G22" t="inlineStr">
        <is>
          <t>2021-01-15 16:43:02</t>
        </is>
      </c>
      <c r="H22" t="n">
        <v>33</v>
      </c>
      <c r="I22" t="n">
        <v>17485</v>
      </c>
      <c r="J22" t="inlineStr">
        <is>
          <t>s</t>
        </is>
      </c>
      <c r="K22" t="inlineStr">
        <is>
          <t>s</t>
        </is>
      </c>
      <c r="L22" t="inlineStr">
        <is>
          <t>BS4</t>
        </is>
      </c>
      <c r="M22" t="inlineStr">
        <is>
          <t>Norvind</t>
        </is>
      </c>
      <c r="N22" t="inlineStr">
        <is>
          <t>Elecda</t>
        </is>
      </c>
      <c r="O22" t="inlineStr">
        <is>
          <t>2013/03-2</t>
        </is>
      </c>
      <c r="P22" t="inlineStr">
        <is>
          <t>ELECDA</t>
        </is>
      </c>
      <c r="Q22" t="n">
        <v>3</v>
      </c>
      <c r="R22" t="inlineStr">
        <is>
          <t>D.ALMAGRO 220</t>
        </is>
      </c>
      <c r="U22" t="n">
        <v>6</v>
      </c>
      <c r="V22" t="n">
        <v>34010</v>
      </c>
      <c r="W22" t="n">
        <v>5668.311</v>
      </c>
    </row>
    <row r="23">
      <c r="A23" t="inlineStr">
        <is>
          <t>01-12-2020</t>
        </is>
      </c>
      <c r="B23" t="inlineStr">
        <is>
          <t>01-12-2020</t>
        </is>
      </c>
      <c r="C23" t="inlineStr">
        <is>
          <t>Licitación Norvind y Elecda (SIC 2013/03-2) BS4</t>
        </is>
      </c>
      <c r="D23" t="inlineStr">
        <is>
          <t>Energia Licitaciones</t>
        </is>
      </c>
      <c r="E23" t="inlineStr">
        <is>
          <t>Energía</t>
        </is>
      </c>
      <c r="F23" t="inlineStr">
        <is>
          <t>Lic. SIC 2013/03-2 bloques BS4: Energía dic 2020</t>
        </is>
      </c>
      <c r="G23" t="inlineStr">
        <is>
          <t>2021-01-15 16:43:02</t>
        </is>
      </c>
      <c r="H23" t="n">
        <v>33</v>
      </c>
      <c r="I23" t="n">
        <v>17485</v>
      </c>
      <c r="J23" t="inlineStr">
        <is>
          <t>s</t>
        </is>
      </c>
      <c r="K23" t="inlineStr">
        <is>
          <t>s</t>
        </is>
      </c>
      <c r="L23" t="inlineStr">
        <is>
          <t>BS4</t>
        </is>
      </c>
      <c r="M23" t="inlineStr">
        <is>
          <t>Norvind</t>
        </is>
      </c>
      <c r="N23" t="inlineStr">
        <is>
          <t>Elecda</t>
        </is>
      </c>
      <c r="O23" t="inlineStr">
        <is>
          <t>2013/03-2</t>
        </is>
      </c>
      <c r="P23" t="inlineStr">
        <is>
          <t>ELECDA</t>
        </is>
      </c>
      <c r="Q23" t="n">
        <v>3</v>
      </c>
      <c r="R23" t="inlineStr">
        <is>
          <t>D.ALMAGRO 220</t>
        </is>
      </c>
      <c r="S23" t="n">
        <v>2551</v>
      </c>
      <c r="T23" t="n">
        <v>184751</v>
      </c>
      <c r="W23" t="n">
        <v>72.423</v>
      </c>
    </row>
    <row r="24">
      <c r="A24" t="inlineStr">
        <is>
          <t>01-12-2020</t>
        </is>
      </c>
      <c r="B24" t="inlineStr">
        <is>
          <t>01-12-2020</t>
        </is>
      </c>
      <c r="C24" t="inlineStr">
        <is>
          <t>Licitación Norvind y Elecda (SIC 2013/03-2) BS4</t>
        </is>
      </c>
      <c r="D24" t="inlineStr">
        <is>
          <t>Energia Licitaciones</t>
        </is>
      </c>
      <c r="E24" t="inlineStr">
        <is>
          <t>Energía</t>
        </is>
      </c>
      <c r="F24" t="inlineStr">
        <is>
          <t>Lic. SIC 2013/03-2 bloques BS4: Energía dic 2020</t>
        </is>
      </c>
      <c r="G24" t="inlineStr">
        <is>
          <t>2021-01-15 16:43:02</t>
        </is>
      </c>
      <c r="H24" t="n">
        <v>33</v>
      </c>
      <c r="I24" t="n">
        <v>17485</v>
      </c>
      <c r="J24" t="inlineStr">
        <is>
          <t>s</t>
        </is>
      </c>
      <c r="K24" t="inlineStr">
        <is>
          <t>s</t>
        </is>
      </c>
      <c r="L24" t="inlineStr">
        <is>
          <t>BS4</t>
        </is>
      </c>
      <c r="M24" t="inlineStr">
        <is>
          <t>Norvind</t>
        </is>
      </c>
      <c r="N24" t="inlineStr">
        <is>
          <t>Elecda</t>
        </is>
      </c>
      <c r="O24" t="inlineStr">
        <is>
          <t>2013/03-2</t>
        </is>
      </c>
      <c r="P24" t="inlineStr">
        <is>
          <t>ELECDA</t>
        </is>
      </c>
      <c r="Q24" t="n">
        <v>4</v>
      </c>
      <c r="R24" t="inlineStr">
        <is>
          <t>ENCUENTRO 220</t>
        </is>
      </c>
      <c r="S24" t="n">
        <v>0</v>
      </c>
      <c r="T24" t="n">
        <v>0</v>
      </c>
      <c r="W24" t="n">
        <v>73.81100000000001</v>
      </c>
    </row>
    <row r="25">
      <c r="A25" t="inlineStr">
        <is>
          <t>01-12-2020</t>
        </is>
      </c>
      <c r="B25" t="inlineStr">
        <is>
          <t>01-12-2020</t>
        </is>
      </c>
      <c r="C25" t="inlineStr">
        <is>
          <t>Licitación Norvind y Elecda (SIC 2013/03-2) BS4</t>
        </is>
      </c>
      <c r="D25" t="inlineStr">
        <is>
          <t>Potencia Licitaciones</t>
        </is>
      </c>
      <c r="E25" t="inlineStr">
        <is>
          <t>Potencia</t>
        </is>
      </c>
      <c r="F25" t="inlineStr">
        <is>
          <t>Lic. SIC 2013/03-2 bloques BS4: Potencia dic 2020</t>
        </is>
      </c>
      <c r="G25" t="inlineStr">
        <is>
          <t>2021-01-15 16:43:02</t>
        </is>
      </c>
      <c r="H25" t="n">
        <v>33</v>
      </c>
      <c r="I25" t="n">
        <v>17485</v>
      </c>
      <c r="J25" t="inlineStr">
        <is>
          <t>s</t>
        </is>
      </c>
      <c r="K25" t="inlineStr">
        <is>
          <t>s</t>
        </is>
      </c>
      <c r="L25" t="inlineStr">
        <is>
          <t>BS4</t>
        </is>
      </c>
      <c r="M25" t="inlineStr">
        <is>
          <t>Norvind</t>
        </is>
      </c>
      <c r="N25" t="inlineStr">
        <is>
          <t>Elecda</t>
        </is>
      </c>
      <c r="O25" t="inlineStr">
        <is>
          <t>2013/03-2</t>
        </is>
      </c>
      <c r="P25" t="inlineStr">
        <is>
          <t>ELECDA</t>
        </is>
      </c>
      <c r="Q25" t="n">
        <v>4</v>
      </c>
      <c r="R25" t="inlineStr">
        <is>
          <t>ENCUENTRO 220</t>
        </is>
      </c>
      <c r="U25" t="n">
        <v>0</v>
      </c>
      <c r="V25" t="n">
        <v>0</v>
      </c>
      <c r="W25" t="n">
        <v>5678.0142</v>
      </c>
    </row>
    <row r="26">
      <c r="A26" t="inlineStr">
        <is>
          <t>01-01-2021</t>
        </is>
      </c>
      <c r="B26" t="inlineStr">
        <is>
          <t>01-01-2021</t>
        </is>
      </c>
      <c r="C26" t="inlineStr">
        <is>
          <t>Licitación Norvind y Elecda (SIC 2013/03-2) BS4</t>
        </is>
      </c>
      <c r="D26" t="inlineStr">
        <is>
          <t>Energia Licitaciones</t>
        </is>
      </c>
      <c r="E26" t="inlineStr">
        <is>
          <t>Energía</t>
        </is>
      </c>
      <c r="F26" t="inlineStr">
        <is>
          <t>Lic. SIC 2013/03-2 bloques BS4: Energía ene 2021</t>
        </is>
      </c>
      <c r="G26" t="inlineStr">
        <is>
          <t>2021-02-13 16:01:26</t>
        </is>
      </c>
      <c r="H26" t="n">
        <v>33</v>
      </c>
      <c r="I26" t="n">
        <v>17762</v>
      </c>
      <c r="J26" t="inlineStr">
        <is>
          <t>s</t>
        </is>
      </c>
      <c r="K26" t="inlineStr">
        <is>
          <t>s</t>
        </is>
      </c>
      <c r="L26" t="inlineStr">
        <is>
          <t>BS4</t>
        </is>
      </c>
      <c r="M26" t="inlineStr">
        <is>
          <t>Norvind</t>
        </is>
      </c>
      <c r="N26" t="inlineStr">
        <is>
          <t>Elecda</t>
        </is>
      </c>
      <c r="O26" t="inlineStr">
        <is>
          <t>2013/03-2</t>
        </is>
      </c>
      <c r="P26" t="inlineStr">
        <is>
          <t>ELECDA</t>
        </is>
      </c>
      <c r="Q26" t="n">
        <v>1</v>
      </c>
      <c r="R26" t="inlineStr">
        <is>
          <t>ATACAMA 220</t>
        </is>
      </c>
      <c r="S26" t="n">
        <v>0</v>
      </c>
      <c r="T26" t="n">
        <v>0</v>
      </c>
      <c r="W26" t="n">
        <v>74.22499999999999</v>
      </c>
    </row>
    <row r="27">
      <c r="A27" t="inlineStr">
        <is>
          <t>01-01-2021</t>
        </is>
      </c>
      <c r="B27" t="inlineStr">
        <is>
          <t>01-01-2021</t>
        </is>
      </c>
      <c r="C27" t="inlineStr">
        <is>
          <t>Licitación Norvind y Elecda (SIC 2013/03-2) BS4</t>
        </is>
      </c>
      <c r="D27" t="inlineStr">
        <is>
          <t>Potencia Licitaciones</t>
        </is>
      </c>
      <c r="E27" t="inlineStr">
        <is>
          <t>Potencia</t>
        </is>
      </c>
      <c r="F27" t="inlineStr">
        <is>
          <t>Lic. SIC 2013/03-2 bloques BS4: Potencia ene 2021</t>
        </is>
      </c>
      <c r="G27" t="inlineStr">
        <is>
          <t>2021-02-13 16:01:26</t>
        </is>
      </c>
      <c r="H27" t="n">
        <v>33</v>
      </c>
      <c r="I27" t="n">
        <v>17762</v>
      </c>
      <c r="J27" t="inlineStr">
        <is>
          <t>s</t>
        </is>
      </c>
      <c r="K27" t="inlineStr">
        <is>
          <t>s</t>
        </is>
      </c>
      <c r="L27" t="inlineStr">
        <is>
          <t>BS4</t>
        </is>
      </c>
      <c r="M27" t="inlineStr">
        <is>
          <t>Norvind</t>
        </is>
      </c>
      <c r="N27" t="inlineStr">
        <is>
          <t>Elecda</t>
        </is>
      </c>
      <c r="O27" t="inlineStr">
        <is>
          <t>2013/03-2</t>
        </is>
      </c>
      <c r="P27" t="inlineStr">
        <is>
          <t>ELECDA</t>
        </is>
      </c>
      <c r="Q27" t="n">
        <v>1</v>
      </c>
      <c r="R27" t="inlineStr">
        <is>
          <t>ATACAMA 220</t>
        </is>
      </c>
      <c r="U27" t="n">
        <v>0</v>
      </c>
      <c r="V27" t="n">
        <v>0</v>
      </c>
      <c r="W27" t="n">
        <v>5710.1668</v>
      </c>
    </row>
    <row r="28">
      <c r="A28" t="inlineStr">
        <is>
          <t>01-01-2021</t>
        </is>
      </c>
      <c r="B28" t="inlineStr">
        <is>
          <t>01-01-2021</t>
        </is>
      </c>
      <c r="C28" t="inlineStr">
        <is>
          <t>Licitación Norvind y Elecda (SIC 2013/03-2) BS4</t>
        </is>
      </c>
      <c r="D28" t="inlineStr">
        <is>
          <t>Energia Licitaciones</t>
        </is>
      </c>
      <c r="E28" t="inlineStr">
        <is>
          <t>Energía</t>
        </is>
      </c>
      <c r="F28" t="inlineStr">
        <is>
          <t>Lic. SIC 2013/03-2 bloques BS4: Energía ene 2021</t>
        </is>
      </c>
      <c r="G28" t="inlineStr">
        <is>
          <t>2021-02-13 16:01:26</t>
        </is>
      </c>
      <c r="H28" t="n">
        <v>33</v>
      </c>
      <c r="I28" t="n">
        <v>17762</v>
      </c>
      <c r="J28" t="inlineStr">
        <is>
          <t>s</t>
        </is>
      </c>
      <c r="K28" t="inlineStr">
        <is>
          <t>s</t>
        </is>
      </c>
      <c r="L28" t="inlineStr">
        <is>
          <t>BS4</t>
        </is>
      </c>
      <c r="M28" t="inlineStr">
        <is>
          <t>Norvind</t>
        </is>
      </c>
      <c r="N28" t="inlineStr">
        <is>
          <t>Elecda</t>
        </is>
      </c>
      <c r="O28" t="inlineStr">
        <is>
          <t>2013/03-2</t>
        </is>
      </c>
      <c r="P28" t="inlineStr">
        <is>
          <t>ELECDA</t>
        </is>
      </c>
      <c r="Q28" t="n">
        <v>2</v>
      </c>
      <c r="R28" t="inlineStr">
        <is>
          <t>CRUCERO 220</t>
        </is>
      </c>
      <c r="S28" t="n">
        <v>0</v>
      </c>
      <c r="T28" t="n">
        <v>0</v>
      </c>
      <c r="W28" t="n">
        <v>73.16200000000001</v>
      </c>
    </row>
    <row r="29">
      <c r="A29" t="inlineStr">
        <is>
          <t>01-01-2021</t>
        </is>
      </c>
      <c r="B29" t="inlineStr">
        <is>
          <t>01-01-2021</t>
        </is>
      </c>
      <c r="C29" t="inlineStr">
        <is>
          <t>Licitación Norvind y Elecda (SIC 2013/03-2) BS4</t>
        </is>
      </c>
      <c r="D29" t="inlineStr">
        <is>
          <t>Potencia Licitaciones</t>
        </is>
      </c>
      <c r="E29" t="inlineStr">
        <is>
          <t>Potencia</t>
        </is>
      </c>
      <c r="F29" t="inlineStr">
        <is>
          <t>Lic. SIC 2013/03-2 bloques BS4: Potencia ene 2021</t>
        </is>
      </c>
      <c r="G29" t="inlineStr">
        <is>
          <t>2021-02-13 16:01:26</t>
        </is>
      </c>
      <c r="H29" t="n">
        <v>33</v>
      </c>
      <c r="I29" t="n">
        <v>17762</v>
      </c>
      <c r="J29" t="inlineStr">
        <is>
          <t>s</t>
        </is>
      </c>
      <c r="K29" t="inlineStr">
        <is>
          <t>s</t>
        </is>
      </c>
      <c r="L29" t="inlineStr">
        <is>
          <t>BS4</t>
        </is>
      </c>
      <c r="M29" t="inlineStr">
        <is>
          <t>Norvind</t>
        </is>
      </c>
      <c r="N29" t="inlineStr">
        <is>
          <t>Elecda</t>
        </is>
      </c>
      <c r="O29" t="inlineStr">
        <is>
          <t>2013/03-2</t>
        </is>
      </c>
      <c r="P29" t="inlineStr">
        <is>
          <t>ELECDA</t>
        </is>
      </c>
      <c r="Q29" t="n">
        <v>2</v>
      </c>
      <c r="R29" t="inlineStr">
        <is>
          <t>CRUCERO 220</t>
        </is>
      </c>
      <c r="U29" t="n">
        <v>0</v>
      </c>
      <c r="V29" t="n">
        <v>0</v>
      </c>
      <c r="W29" t="n">
        <v>5628.8657</v>
      </c>
    </row>
    <row r="30">
      <c r="A30" t="inlineStr">
        <is>
          <t>01-01-2021</t>
        </is>
      </c>
      <c r="B30" t="inlineStr">
        <is>
          <t>01-01-2021</t>
        </is>
      </c>
      <c r="C30" t="inlineStr">
        <is>
          <t>Licitación Norvind y Elecda (SIC 2013/03-2) BS4</t>
        </is>
      </c>
      <c r="D30" t="inlineStr">
        <is>
          <t>Potencia Licitaciones</t>
        </is>
      </c>
      <c r="E30" t="inlineStr">
        <is>
          <t>Potencia</t>
        </is>
      </c>
      <c r="F30" t="inlineStr">
        <is>
          <t>Lic. SIC 2013/03-2 bloques BS4: Potencia ene 2021</t>
        </is>
      </c>
      <c r="G30" t="inlineStr">
        <is>
          <t>2021-02-13 16:01:26</t>
        </is>
      </c>
      <c r="H30" t="n">
        <v>33</v>
      </c>
      <c r="I30" t="n">
        <v>17762</v>
      </c>
      <c r="J30" t="inlineStr">
        <is>
          <t>s</t>
        </is>
      </c>
      <c r="K30" t="inlineStr">
        <is>
          <t>s</t>
        </is>
      </c>
      <c r="L30" t="inlineStr">
        <is>
          <t>BS4</t>
        </is>
      </c>
      <c r="M30" t="inlineStr">
        <is>
          <t>Norvind</t>
        </is>
      </c>
      <c r="N30" t="inlineStr">
        <is>
          <t>Elecda</t>
        </is>
      </c>
      <c r="O30" t="inlineStr">
        <is>
          <t>2013/03-2</t>
        </is>
      </c>
      <c r="P30" t="inlineStr">
        <is>
          <t>ELECDA</t>
        </is>
      </c>
      <c r="Q30" t="n">
        <v>3</v>
      </c>
      <c r="R30" t="inlineStr">
        <is>
          <t>D.ALMAGRO 220</t>
        </is>
      </c>
      <c r="U30" t="n">
        <v>5</v>
      </c>
      <c r="V30" t="n">
        <v>28342</v>
      </c>
      <c r="W30" t="n">
        <v>5668.311</v>
      </c>
    </row>
    <row r="31">
      <c r="A31" t="inlineStr">
        <is>
          <t>01-01-2021</t>
        </is>
      </c>
      <c r="B31" t="inlineStr">
        <is>
          <t>01-01-2021</t>
        </is>
      </c>
      <c r="C31" t="inlineStr">
        <is>
          <t>Licitación Norvind y Elecda (SIC 2013/03-2) BS4</t>
        </is>
      </c>
      <c r="D31" t="inlineStr">
        <is>
          <t>Energia Licitaciones</t>
        </is>
      </c>
      <c r="E31" t="inlineStr">
        <is>
          <t>Energía</t>
        </is>
      </c>
      <c r="F31" t="inlineStr">
        <is>
          <t>Lic. SIC 2013/03-2 bloques BS4: Energía ene 2021</t>
        </is>
      </c>
      <c r="G31" t="inlineStr">
        <is>
          <t>2021-02-13 16:01:26</t>
        </is>
      </c>
      <c r="H31" t="n">
        <v>33</v>
      </c>
      <c r="I31" t="n">
        <v>17762</v>
      </c>
      <c r="J31" t="inlineStr">
        <is>
          <t>s</t>
        </is>
      </c>
      <c r="K31" t="inlineStr">
        <is>
          <t>s</t>
        </is>
      </c>
      <c r="L31" t="inlineStr">
        <is>
          <t>BS4</t>
        </is>
      </c>
      <c r="M31" t="inlineStr">
        <is>
          <t>Norvind</t>
        </is>
      </c>
      <c r="N31" t="inlineStr">
        <is>
          <t>Elecda</t>
        </is>
      </c>
      <c r="O31" t="inlineStr">
        <is>
          <t>2013/03-2</t>
        </is>
      </c>
      <c r="P31" t="inlineStr">
        <is>
          <t>ELECDA</t>
        </is>
      </c>
      <c r="Q31" t="n">
        <v>3</v>
      </c>
      <c r="R31" t="inlineStr">
        <is>
          <t>D.ALMAGRO 220</t>
        </is>
      </c>
      <c r="S31" t="n">
        <v>2224.99</v>
      </c>
      <c r="T31" t="n">
        <v>161140</v>
      </c>
      <c r="W31" t="n">
        <v>72.423</v>
      </c>
    </row>
    <row r="32">
      <c r="A32" t="inlineStr">
        <is>
          <t>01-01-2021</t>
        </is>
      </c>
      <c r="B32" t="inlineStr">
        <is>
          <t>01-01-2021</t>
        </is>
      </c>
      <c r="C32" t="inlineStr">
        <is>
          <t>Licitación Norvind y Elecda (SIC 2013/03-2) BS4</t>
        </is>
      </c>
      <c r="D32" t="inlineStr">
        <is>
          <t>Energia Licitaciones</t>
        </is>
      </c>
      <c r="E32" t="inlineStr">
        <is>
          <t>Energía</t>
        </is>
      </c>
      <c r="F32" t="inlineStr">
        <is>
          <t>Lic. SIC 2013/03-2 bloques BS4: Energía ene 2021</t>
        </is>
      </c>
      <c r="G32" t="inlineStr">
        <is>
          <t>2021-02-13 16:01:26</t>
        </is>
      </c>
      <c r="H32" t="n">
        <v>33</v>
      </c>
      <c r="I32" t="n">
        <v>17762</v>
      </c>
      <c r="J32" t="inlineStr">
        <is>
          <t>s</t>
        </is>
      </c>
      <c r="K32" t="inlineStr">
        <is>
          <t>s</t>
        </is>
      </c>
      <c r="L32" t="inlineStr">
        <is>
          <t>BS4</t>
        </is>
      </c>
      <c r="M32" t="inlineStr">
        <is>
          <t>Norvind</t>
        </is>
      </c>
      <c r="N32" t="inlineStr">
        <is>
          <t>Elecda</t>
        </is>
      </c>
      <c r="O32" t="inlineStr">
        <is>
          <t>2013/03-2</t>
        </is>
      </c>
      <c r="P32" t="inlineStr">
        <is>
          <t>ELECDA</t>
        </is>
      </c>
      <c r="Q32" t="n">
        <v>4</v>
      </c>
      <c r="R32" t="inlineStr">
        <is>
          <t>ENCUENTRO 220</t>
        </is>
      </c>
      <c r="S32" t="n">
        <v>0</v>
      </c>
      <c r="T32" t="n">
        <v>0</v>
      </c>
      <c r="W32" t="n">
        <v>73.81100000000001</v>
      </c>
    </row>
    <row r="33">
      <c r="A33" t="inlineStr">
        <is>
          <t>01-01-2021</t>
        </is>
      </c>
      <c r="B33" t="inlineStr">
        <is>
          <t>01-01-2021</t>
        </is>
      </c>
      <c r="C33" t="inlineStr">
        <is>
          <t>Licitación Norvind y Elecda (SIC 2013/03-2) BS4</t>
        </is>
      </c>
      <c r="D33" t="inlineStr">
        <is>
          <t>Potencia Licitaciones</t>
        </is>
      </c>
      <c r="E33" t="inlineStr">
        <is>
          <t>Potencia</t>
        </is>
      </c>
      <c r="F33" t="inlineStr">
        <is>
          <t>Lic. SIC 2013/03-2 bloques BS4: Potencia ene 2021</t>
        </is>
      </c>
      <c r="G33" t="inlineStr">
        <is>
          <t>2021-02-13 16:01:26</t>
        </is>
      </c>
      <c r="H33" t="n">
        <v>33</v>
      </c>
      <c r="I33" t="n">
        <v>17762</v>
      </c>
      <c r="J33" t="inlineStr">
        <is>
          <t>s</t>
        </is>
      </c>
      <c r="K33" t="inlineStr">
        <is>
          <t>s</t>
        </is>
      </c>
      <c r="L33" t="inlineStr">
        <is>
          <t>BS4</t>
        </is>
      </c>
      <c r="M33" t="inlineStr">
        <is>
          <t>Norvind</t>
        </is>
      </c>
      <c r="N33" t="inlineStr">
        <is>
          <t>Elecda</t>
        </is>
      </c>
      <c r="O33" t="inlineStr">
        <is>
          <t>2013/03-2</t>
        </is>
      </c>
      <c r="P33" t="inlineStr">
        <is>
          <t>ELECDA</t>
        </is>
      </c>
      <c r="Q33" t="n">
        <v>4</v>
      </c>
      <c r="R33" t="inlineStr">
        <is>
          <t>ENCUENTRO 220</t>
        </is>
      </c>
      <c r="U33" t="n">
        <v>0</v>
      </c>
      <c r="V33" t="n">
        <v>0</v>
      </c>
      <c r="W33" t="n">
        <v>5678.0142</v>
      </c>
    </row>
    <row r="34">
      <c r="A34" t="inlineStr">
        <is>
          <t>01-02-2021</t>
        </is>
      </c>
      <c r="B34" t="inlineStr">
        <is>
          <t>01-02-2021</t>
        </is>
      </c>
      <c r="C34" t="inlineStr">
        <is>
          <t>Licitación Norvind y Elecda (SIC 2013/03-2) BS4</t>
        </is>
      </c>
      <c r="D34" t="inlineStr">
        <is>
          <t>Energia Licitaciones</t>
        </is>
      </c>
      <c r="E34" t="inlineStr">
        <is>
          <t>Energía</t>
        </is>
      </c>
      <c r="F34" t="inlineStr">
        <is>
          <t>Lic. SIC 2013/03-2 bloques BS4: Energía feb 2021</t>
        </is>
      </c>
      <c r="G34" t="inlineStr">
        <is>
          <t>2021-03-12 15:41:59</t>
        </is>
      </c>
      <c r="H34" t="n">
        <v>33</v>
      </c>
      <c r="I34" t="n">
        <v>18078</v>
      </c>
      <c r="J34" t="inlineStr">
        <is>
          <t>s</t>
        </is>
      </c>
      <c r="K34" t="inlineStr">
        <is>
          <t>s</t>
        </is>
      </c>
      <c r="L34" t="inlineStr">
        <is>
          <t>BS4</t>
        </is>
      </c>
      <c r="M34" t="inlineStr">
        <is>
          <t>Norvind</t>
        </is>
      </c>
      <c r="N34" t="inlineStr">
        <is>
          <t>Elecda</t>
        </is>
      </c>
      <c r="O34" t="inlineStr">
        <is>
          <t>2013/03-2</t>
        </is>
      </c>
      <c r="P34" t="inlineStr">
        <is>
          <t>ELECDA</t>
        </is>
      </c>
      <c r="Q34" t="n">
        <v>1</v>
      </c>
      <c r="R34" t="inlineStr">
        <is>
          <t>ATACAMA 220</t>
        </is>
      </c>
      <c r="S34" t="n">
        <v>0</v>
      </c>
      <c r="T34" t="n">
        <v>0</v>
      </c>
      <c r="W34" t="n">
        <v>74.22499999999999</v>
      </c>
    </row>
    <row r="35">
      <c r="A35" t="inlineStr">
        <is>
          <t>01-02-2021</t>
        </is>
      </c>
      <c r="B35" t="inlineStr">
        <is>
          <t>01-02-2021</t>
        </is>
      </c>
      <c r="C35" t="inlineStr">
        <is>
          <t>Licitación Norvind y Elecda (SIC 2013/03-2) BS4</t>
        </is>
      </c>
      <c r="D35" t="inlineStr">
        <is>
          <t>Potencia Licitaciones</t>
        </is>
      </c>
      <c r="E35" t="inlineStr">
        <is>
          <t>Potencia</t>
        </is>
      </c>
      <c r="F35" t="inlineStr">
        <is>
          <t>Lic. SIC 2013/03-2 bloques BS4: Potencia feb 2021</t>
        </is>
      </c>
      <c r="G35" t="inlineStr">
        <is>
          <t>2021-03-12 15:41:59</t>
        </is>
      </c>
      <c r="H35" t="n">
        <v>33</v>
      </c>
      <c r="I35" t="n">
        <v>18078</v>
      </c>
      <c r="J35" t="inlineStr">
        <is>
          <t>s</t>
        </is>
      </c>
      <c r="K35" t="inlineStr">
        <is>
          <t>s</t>
        </is>
      </c>
      <c r="L35" t="inlineStr">
        <is>
          <t>BS4</t>
        </is>
      </c>
      <c r="M35" t="inlineStr">
        <is>
          <t>Norvind</t>
        </is>
      </c>
      <c r="N35" t="inlineStr">
        <is>
          <t>Elecda</t>
        </is>
      </c>
      <c r="O35" t="inlineStr">
        <is>
          <t>2013/03-2</t>
        </is>
      </c>
      <c r="P35" t="inlineStr">
        <is>
          <t>ELECDA</t>
        </is>
      </c>
      <c r="Q35" t="n">
        <v>1</v>
      </c>
      <c r="R35" t="inlineStr">
        <is>
          <t>ATACAMA 220</t>
        </is>
      </c>
      <c r="U35" t="n">
        <v>0</v>
      </c>
      <c r="V35" t="n">
        <v>0</v>
      </c>
      <c r="W35" t="n">
        <v>5710.1668</v>
      </c>
    </row>
    <row r="36">
      <c r="A36" t="inlineStr">
        <is>
          <t>01-02-2021</t>
        </is>
      </c>
      <c r="B36" t="inlineStr">
        <is>
          <t>01-02-2021</t>
        </is>
      </c>
      <c r="C36" t="inlineStr">
        <is>
          <t>Licitación Norvind y Elecda (SIC 2013/03-2) BS4</t>
        </is>
      </c>
      <c r="D36" t="inlineStr">
        <is>
          <t>Energia Licitaciones</t>
        </is>
      </c>
      <c r="E36" t="inlineStr">
        <is>
          <t>Energía</t>
        </is>
      </c>
      <c r="F36" t="inlineStr">
        <is>
          <t>Lic. SIC 2013/03-2 bloques BS4: Energía feb 2021</t>
        </is>
      </c>
      <c r="G36" t="inlineStr">
        <is>
          <t>2021-03-12 15:41:59</t>
        </is>
      </c>
      <c r="H36" t="n">
        <v>33</v>
      </c>
      <c r="I36" t="n">
        <v>18078</v>
      </c>
      <c r="J36" t="inlineStr">
        <is>
          <t>s</t>
        </is>
      </c>
      <c r="K36" t="inlineStr">
        <is>
          <t>s</t>
        </is>
      </c>
      <c r="L36" t="inlineStr">
        <is>
          <t>BS4</t>
        </is>
      </c>
      <c r="M36" t="inlineStr">
        <is>
          <t>Norvind</t>
        </is>
      </c>
      <c r="N36" t="inlineStr">
        <is>
          <t>Elecda</t>
        </is>
      </c>
      <c r="O36" t="inlineStr">
        <is>
          <t>2013/03-2</t>
        </is>
      </c>
      <c r="P36" t="inlineStr">
        <is>
          <t>ELECDA</t>
        </is>
      </c>
      <c r="Q36" t="n">
        <v>2</v>
      </c>
      <c r="R36" t="inlineStr">
        <is>
          <t>CRUCERO 220</t>
        </is>
      </c>
      <c r="S36" t="n">
        <v>0</v>
      </c>
      <c r="T36" t="n">
        <v>0</v>
      </c>
      <c r="W36" t="n">
        <v>73.16200000000001</v>
      </c>
    </row>
    <row r="37">
      <c r="A37" t="inlineStr">
        <is>
          <t>01-02-2021</t>
        </is>
      </c>
      <c r="B37" t="inlineStr">
        <is>
          <t>01-02-2021</t>
        </is>
      </c>
      <c r="C37" t="inlineStr">
        <is>
          <t>Licitación Norvind y Elecda (SIC 2013/03-2) BS4</t>
        </is>
      </c>
      <c r="D37" t="inlineStr">
        <is>
          <t>Potencia Licitaciones</t>
        </is>
      </c>
      <c r="E37" t="inlineStr">
        <is>
          <t>Potencia</t>
        </is>
      </c>
      <c r="F37" t="inlineStr">
        <is>
          <t>Lic. SIC 2013/03-2 bloques BS4: Potencia feb 2021</t>
        </is>
      </c>
      <c r="G37" t="inlineStr">
        <is>
          <t>2021-03-12 15:41:59</t>
        </is>
      </c>
      <c r="H37" t="n">
        <v>33</v>
      </c>
      <c r="I37" t="n">
        <v>18078</v>
      </c>
      <c r="J37" t="inlineStr">
        <is>
          <t>s</t>
        </is>
      </c>
      <c r="K37" t="inlineStr">
        <is>
          <t>s</t>
        </is>
      </c>
      <c r="L37" t="inlineStr">
        <is>
          <t>BS4</t>
        </is>
      </c>
      <c r="M37" t="inlineStr">
        <is>
          <t>Norvind</t>
        </is>
      </c>
      <c r="N37" t="inlineStr">
        <is>
          <t>Elecda</t>
        </is>
      </c>
      <c r="O37" t="inlineStr">
        <is>
          <t>2013/03-2</t>
        </is>
      </c>
      <c r="P37" t="inlineStr">
        <is>
          <t>ELECDA</t>
        </is>
      </c>
      <c r="Q37" t="n">
        <v>2</v>
      </c>
      <c r="R37" t="inlineStr">
        <is>
          <t>CRUCERO 220</t>
        </is>
      </c>
      <c r="U37" t="n">
        <v>0</v>
      </c>
      <c r="V37" t="n">
        <v>0</v>
      </c>
      <c r="W37" t="n">
        <v>5628.8657</v>
      </c>
    </row>
    <row r="38">
      <c r="A38" t="inlineStr">
        <is>
          <t>01-02-2021</t>
        </is>
      </c>
      <c r="B38" t="inlineStr">
        <is>
          <t>01-02-2021</t>
        </is>
      </c>
      <c r="C38" t="inlineStr">
        <is>
          <t>Licitación Norvind y Elecda (SIC 2013/03-2) BS4</t>
        </is>
      </c>
      <c r="D38" t="inlineStr">
        <is>
          <t>Potencia Licitaciones</t>
        </is>
      </c>
      <c r="E38" t="inlineStr">
        <is>
          <t>Potencia</t>
        </is>
      </c>
      <c r="F38" t="inlineStr">
        <is>
          <t>Lic. SIC 2013/03-2 bloques BS4: Potencia feb 2021</t>
        </is>
      </c>
      <c r="G38" t="inlineStr">
        <is>
          <t>2021-03-12 15:41:59</t>
        </is>
      </c>
      <c r="H38" t="n">
        <v>33</v>
      </c>
      <c r="I38" t="n">
        <v>18078</v>
      </c>
      <c r="J38" t="inlineStr">
        <is>
          <t>s</t>
        </is>
      </c>
      <c r="K38" t="inlineStr">
        <is>
          <t>s</t>
        </is>
      </c>
      <c r="L38" t="inlineStr">
        <is>
          <t>BS4</t>
        </is>
      </c>
      <c r="M38" t="inlineStr">
        <is>
          <t>Norvind</t>
        </is>
      </c>
      <c r="N38" t="inlineStr">
        <is>
          <t>Elecda</t>
        </is>
      </c>
      <c r="O38" t="inlineStr">
        <is>
          <t>2013/03-2</t>
        </is>
      </c>
      <c r="P38" t="inlineStr">
        <is>
          <t>ELECDA</t>
        </is>
      </c>
      <c r="Q38" t="n">
        <v>3</v>
      </c>
      <c r="R38" t="inlineStr">
        <is>
          <t>D.ALMAGRO 220</t>
        </is>
      </c>
      <c r="U38" t="n">
        <v>5</v>
      </c>
      <c r="V38" t="n">
        <v>28342</v>
      </c>
      <c r="W38" t="n">
        <v>5668.311</v>
      </c>
    </row>
    <row r="39">
      <c r="A39" t="inlineStr">
        <is>
          <t>01-02-2021</t>
        </is>
      </c>
      <c r="B39" t="inlineStr">
        <is>
          <t>01-02-2021</t>
        </is>
      </c>
      <c r="C39" t="inlineStr">
        <is>
          <t>Licitación Norvind y Elecda (SIC 2013/03-2) BS4</t>
        </is>
      </c>
      <c r="D39" t="inlineStr">
        <is>
          <t>Energia Licitaciones</t>
        </is>
      </c>
      <c r="E39" t="inlineStr">
        <is>
          <t>Energía</t>
        </is>
      </c>
      <c r="F39" t="inlineStr">
        <is>
          <t>Lic. SIC 2013/03-2 bloques BS4: Energía feb 2021</t>
        </is>
      </c>
      <c r="G39" t="inlineStr">
        <is>
          <t>2021-03-12 15:41:59</t>
        </is>
      </c>
      <c r="H39" t="n">
        <v>33</v>
      </c>
      <c r="I39" t="n">
        <v>18078</v>
      </c>
      <c r="J39" t="inlineStr">
        <is>
          <t>s</t>
        </is>
      </c>
      <c r="K39" t="inlineStr">
        <is>
          <t>s</t>
        </is>
      </c>
      <c r="L39" t="inlineStr">
        <is>
          <t>BS4</t>
        </is>
      </c>
      <c r="M39" t="inlineStr">
        <is>
          <t>Norvind</t>
        </is>
      </c>
      <c r="N39" t="inlineStr">
        <is>
          <t>Elecda</t>
        </is>
      </c>
      <c r="O39" t="inlineStr">
        <is>
          <t>2013/03-2</t>
        </is>
      </c>
      <c r="P39" t="inlineStr">
        <is>
          <t>ELECDA</t>
        </is>
      </c>
      <c r="Q39" t="n">
        <v>3</v>
      </c>
      <c r="R39" t="inlineStr">
        <is>
          <t>D.ALMAGRO 220</t>
        </is>
      </c>
      <c r="S39" t="n">
        <v>2028</v>
      </c>
      <c r="T39" t="n">
        <v>146874</v>
      </c>
      <c r="W39" t="n">
        <v>72.423</v>
      </c>
    </row>
    <row r="40">
      <c r="A40" t="inlineStr">
        <is>
          <t>01-02-2021</t>
        </is>
      </c>
      <c r="B40" t="inlineStr">
        <is>
          <t>01-02-2021</t>
        </is>
      </c>
      <c r="C40" t="inlineStr">
        <is>
          <t>Licitación Norvind y Elecda (SIC 2013/03-2) BS4</t>
        </is>
      </c>
      <c r="D40" t="inlineStr">
        <is>
          <t>Energia Licitaciones</t>
        </is>
      </c>
      <c r="E40" t="inlineStr">
        <is>
          <t>Energía</t>
        </is>
      </c>
      <c r="F40" t="inlineStr">
        <is>
          <t>Lic. SIC 2013/03-2 bloques BS4: Energía feb 2021</t>
        </is>
      </c>
      <c r="G40" t="inlineStr">
        <is>
          <t>2021-03-12 15:41:59</t>
        </is>
      </c>
      <c r="H40" t="n">
        <v>33</v>
      </c>
      <c r="I40" t="n">
        <v>18078</v>
      </c>
      <c r="J40" t="inlineStr">
        <is>
          <t>s</t>
        </is>
      </c>
      <c r="K40" t="inlineStr">
        <is>
          <t>s</t>
        </is>
      </c>
      <c r="L40" t="inlineStr">
        <is>
          <t>BS4</t>
        </is>
      </c>
      <c r="M40" t="inlineStr">
        <is>
          <t>Norvind</t>
        </is>
      </c>
      <c r="N40" t="inlineStr">
        <is>
          <t>Elecda</t>
        </is>
      </c>
      <c r="O40" t="inlineStr">
        <is>
          <t>2013/03-2</t>
        </is>
      </c>
      <c r="P40" t="inlineStr">
        <is>
          <t>ELECDA</t>
        </is>
      </c>
      <c r="Q40" t="n">
        <v>4</v>
      </c>
      <c r="R40" t="inlineStr">
        <is>
          <t>ENCUENTRO 220</t>
        </is>
      </c>
      <c r="S40" t="n">
        <v>0</v>
      </c>
      <c r="T40" t="n">
        <v>0</v>
      </c>
      <c r="W40" t="n">
        <v>73.81100000000001</v>
      </c>
    </row>
    <row r="41">
      <c r="A41" t="inlineStr">
        <is>
          <t>01-02-2021</t>
        </is>
      </c>
      <c r="B41" t="inlineStr">
        <is>
          <t>01-02-2021</t>
        </is>
      </c>
      <c r="C41" t="inlineStr">
        <is>
          <t>Licitación Norvind y Elecda (SIC 2013/03-2) BS4</t>
        </is>
      </c>
      <c r="D41" t="inlineStr">
        <is>
          <t>Potencia Licitaciones</t>
        </is>
      </c>
      <c r="E41" t="inlineStr">
        <is>
          <t>Potencia</t>
        </is>
      </c>
      <c r="F41" t="inlineStr">
        <is>
          <t>Lic. SIC 2013/03-2 bloques BS4: Potencia feb 2021</t>
        </is>
      </c>
      <c r="G41" t="inlineStr">
        <is>
          <t>2021-03-12 15:41:59</t>
        </is>
      </c>
      <c r="H41" t="n">
        <v>33</v>
      </c>
      <c r="I41" t="n">
        <v>18078</v>
      </c>
      <c r="J41" t="inlineStr">
        <is>
          <t>s</t>
        </is>
      </c>
      <c r="K41" t="inlineStr">
        <is>
          <t>s</t>
        </is>
      </c>
      <c r="L41" t="inlineStr">
        <is>
          <t>BS4</t>
        </is>
      </c>
      <c r="M41" t="inlineStr">
        <is>
          <t>Norvind</t>
        </is>
      </c>
      <c r="N41" t="inlineStr">
        <is>
          <t>Elecda</t>
        </is>
      </c>
      <c r="O41" t="inlineStr">
        <is>
          <t>2013/03-2</t>
        </is>
      </c>
      <c r="P41" t="inlineStr">
        <is>
          <t>ELECDA</t>
        </is>
      </c>
      <c r="Q41" t="n">
        <v>4</v>
      </c>
      <c r="R41" t="inlineStr">
        <is>
          <t>ENCUENTRO 220</t>
        </is>
      </c>
      <c r="U41" t="n">
        <v>0</v>
      </c>
      <c r="V41" t="n">
        <v>0</v>
      </c>
      <c r="W41" t="n">
        <v>5678.0142</v>
      </c>
    </row>
    <row r="42">
      <c r="A42" t="inlineStr">
        <is>
          <t>01-03-2021</t>
        </is>
      </c>
      <c r="B42" t="inlineStr">
        <is>
          <t>01-03-2021</t>
        </is>
      </c>
      <c r="C42" t="inlineStr">
        <is>
          <t>Licitación Norvind y Elecda (SIC 2013/03-2) BS4</t>
        </is>
      </c>
      <c r="D42" t="inlineStr">
        <is>
          <t>Energia Licitaciones</t>
        </is>
      </c>
      <c r="E42" t="inlineStr">
        <is>
          <t>Energía</t>
        </is>
      </c>
      <c r="F42" t="inlineStr">
        <is>
          <t>Lic. SIC 2013/03-2 bloques BS4: Energía mar 2021</t>
        </is>
      </c>
      <c r="G42" t="inlineStr">
        <is>
          <t>2021-04-15 17:15:49</t>
        </is>
      </c>
      <c r="H42" t="n">
        <v>33</v>
      </c>
      <c r="I42" t="n">
        <v>18792</v>
      </c>
      <c r="J42" t="inlineStr">
        <is>
          <t>s</t>
        </is>
      </c>
      <c r="K42" t="inlineStr">
        <is>
          <t>s</t>
        </is>
      </c>
      <c r="L42" t="inlineStr">
        <is>
          <t>BS4</t>
        </is>
      </c>
      <c r="M42" t="inlineStr">
        <is>
          <t>Norvind</t>
        </is>
      </c>
      <c r="N42" t="inlineStr">
        <is>
          <t>Elecda</t>
        </is>
      </c>
      <c r="O42" t="inlineStr">
        <is>
          <t>2013/03-2</t>
        </is>
      </c>
      <c r="P42" t="inlineStr">
        <is>
          <t>ELECDA</t>
        </is>
      </c>
      <c r="Q42" t="n">
        <v>1</v>
      </c>
      <c r="R42" t="inlineStr">
        <is>
          <t>ATACAMA 220</t>
        </is>
      </c>
      <c r="S42" t="n">
        <v>0</v>
      </c>
      <c r="T42" t="n">
        <v>0</v>
      </c>
      <c r="W42" t="n">
        <v>84.262</v>
      </c>
    </row>
    <row r="43">
      <c r="A43" t="inlineStr">
        <is>
          <t>01-03-2021</t>
        </is>
      </c>
      <c r="B43" t="inlineStr">
        <is>
          <t>01-03-2021</t>
        </is>
      </c>
      <c r="C43" t="inlineStr">
        <is>
          <t>Licitación Norvind y Elecda (SIC 2013/03-2) BS4</t>
        </is>
      </c>
      <c r="D43" t="inlineStr">
        <is>
          <t>Potencia Licitaciones</t>
        </is>
      </c>
      <c r="E43" t="inlineStr">
        <is>
          <t>Potencia</t>
        </is>
      </c>
      <c r="F43" t="inlineStr">
        <is>
          <t>Lic. SIC 2013/03-2 bloques BS4: Potencia mar 2021</t>
        </is>
      </c>
      <c r="G43" t="inlineStr">
        <is>
          <t>2021-04-15 17:15:49</t>
        </is>
      </c>
      <c r="H43" t="n">
        <v>33</v>
      </c>
      <c r="I43" t="n">
        <v>18792</v>
      </c>
      <c r="J43" t="inlineStr">
        <is>
          <t>s</t>
        </is>
      </c>
      <c r="K43" t="inlineStr">
        <is>
          <t>s</t>
        </is>
      </c>
      <c r="L43" t="inlineStr">
        <is>
          <t>BS4</t>
        </is>
      </c>
      <c r="M43" t="inlineStr">
        <is>
          <t>Norvind</t>
        </is>
      </c>
      <c r="N43" t="inlineStr">
        <is>
          <t>Elecda</t>
        </is>
      </c>
      <c r="O43" t="inlineStr">
        <is>
          <t>2013/03-2</t>
        </is>
      </c>
      <c r="P43" t="inlineStr">
        <is>
          <t>ELECDA</t>
        </is>
      </c>
      <c r="Q43" t="n">
        <v>1</v>
      </c>
      <c r="R43" t="inlineStr">
        <is>
          <t>ATACAMA 220</t>
        </is>
      </c>
      <c r="U43" t="n">
        <v>0</v>
      </c>
      <c r="V43" t="n">
        <v>0</v>
      </c>
      <c r="W43" t="n">
        <v>5459.7042</v>
      </c>
    </row>
    <row r="44">
      <c r="A44" t="inlineStr">
        <is>
          <t>01-03-2021</t>
        </is>
      </c>
      <c r="B44" t="inlineStr">
        <is>
          <t>01-03-2021</t>
        </is>
      </c>
      <c r="C44" t="inlineStr">
        <is>
          <t>Licitación Norvind y Elecda (SIC 2013/03-2) BS4</t>
        </is>
      </c>
      <c r="D44" t="inlineStr">
        <is>
          <t>Energia Licitaciones</t>
        </is>
      </c>
      <c r="E44" t="inlineStr">
        <is>
          <t>Energía</t>
        </is>
      </c>
      <c r="F44" t="inlineStr">
        <is>
          <t>Lic. SIC 2013/03-2 bloques BS4: Energía mar 2021</t>
        </is>
      </c>
      <c r="G44" t="inlineStr">
        <is>
          <t>2021-04-15 17:15:49</t>
        </is>
      </c>
      <c r="H44" t="n">
        <v>33</v>
      </c>
      <c r="I44" t="n">
        <v>18792</v>
      </c>
      <c r="J44" t="inlineStr">
        <is>
          <t>s</t>
        </is>
      </c>
      <c r="K44" t="inlineStr">
        <is>
          <t>s</t>
        </is>
      </c>
      <c r="L44" t="inlineStr">
        <is>
          <t>BS4</t>
        </is>
      </c>
      <c r="M44" t="inlineStr">
        <is>
          <t>Norvind</t>
        </is>
      </c>
      <c r="N44" t="inlineStr">
        <is>
          <t>Elecda</t>
        </is>
      </c>
      <c r="O44" t="inlineStr">
        <is>
          <t>2013/03-2</t>
        </is>
      </c>
      <c r="P44" t="inlineStr">
        <is>
          <t>ELECDA</t>
        </is>
      </c>
      <c r="Q44" t="n">
        <v>2</v>
      </c>
      <c r="R44" t="inlineStr">
        <is>
          <t>CRUCERO 220</t>
        </is>
      </c>
      <c r="S44" t="n">
        <v>0</v>
      </c>
      <c r="T44" t="n">
        <v>0</v>
      </c>
      <c r="W44" t="n">
        <v>83.64100000000001</v>
      </c>
    </row>
    <row r="45">
      <c r="A45" t="inlineStr">
        <is>
          <t>01-03-2021</t>
        </is>
      </c>
      <c r="B45" t="inlineStr">
        <is>
          <t>01-03-2021</t>
        </is>
      </c>
      <c r="C45" t="inlineStr">
        <is>
          <t>Licitación Norvind y Elecda (SIC 2013/03-2) BS4</t>
        </is>
      </c>
      <c r="D45" t="inlineStr">
        <is>
          <t>Potencia Licitaciones</t>
        </is>
      </c>
      <c r="E45" t="inlineStr">
        <is>
          <t>Potencia</t>
        </is>
      </c>
      <c r="F45" t="inlineStr">
        <is>
          <t>Lic. SIC 2013/03-2 bloques BS4: Potencia mar 2021</t>
        </is>
      </c>
      <c r="G45" t="inlineStr">
        <is>
          <t>2021-04-15 17:15:49</t>
        </is>
      </c>
      <c r="H45" t="n">
        <v>33</v>
      </c>
      <c r="I45" t="n">
        <v>18792</v>
      </c>
      <c r="J45" t="inlineStr">
        <is>
          <t>s</t>
        </is>
      </c>
      <c r="K45" t="inlineStr">
        <is>
          <t>s</t>
        </is>
      </c>
      <c r="L45" t="inlineStr">
        <is>
          <t>BS4</t>
        </is>
      </c>
      <c r="M45" t="inlineStr">
        <is>
          <t>Norvind</t>
        </is>
      </c>
      <c r="N45" t="inlineStr">
        <is>
          <t>Elecda</t>
        </is>
      </c>
      <c r="O45" t="inlineStr">
        <is>
          <t>2013/03-2</t>
        </is>
      </c>
      <c r="P45" t="inlineStr">
        <is>
          <t>ELECDA</t>
        </is>
      </c>
      <c r="Q45" t="n">
        <v>2</v>
      </c>
      <c r="R45" t="inlineStr">
        <is>
          <t>CRUCERO 220</t>
        </is>
      </c>
      <c r="U45" t="n">
        <v>0</v>
      </c>
      <c r="V45" t="n">
        <v>0</v>
      </c>
      <c r="W45" t="n">
        <v>5418.0481</v>
      </c>
    </row>
    <row r="46">
      <c r="A46" t="inlineStr">
        <is>
          <t>01-03-2021</t>
        </is>
      </c>
      <c r="B46" t="inlineStr">
        <is>
          <t>01-03-2021</t>
        </is>
      </c>
      <c r="C46" t="inlineStr">
        <is>
          <t>Licitación Norvind y Elecda (SIC 2013/03-2) BS4</t>
        </is>
      </c>
      <c r="D46" t="inlineStr">
        <is>
          <t>Potencia Licitaciones</t>
        </is>
      </c>
      <c r="E46" t="inlineStr">
        <is>
          <t>Potencia</t>
        </is>
      </c>
      <c r="F46" t="inlineStr">
        <is>
          <t>Lic. SIC 2013/03-2 bloques BS4: Potencia mar 2021</t>
        </is>
      </c>
      <c r="G46" t="inlineStr">
        <is>
          <t>2021-04-15 17:15:49</t>
        </is>
      </c>
      <c r="H46" t="n">
        <v>33</v>
      </c>
      <c r="I46" t="n">
        <v>18792</v>
      </c>
      <c r="J46" t="inlineStr">
        <is>
          <t>s</t>
        </is>
      </c>
      <c r="K46" t="inlineStr">
        <is>
          <t>s</t>
        </is>
      </c>
      <c r="L46" t="inlineStr">
        <is>
          <t>BS4</t>
        </is>
      </c>
      <c r="M46" t="inlineStr">
        <is>
          <t>Norvind</t>
        </is>
      </c>
      <c r="N46" t="inlineStr">
        <is>
          <t>Elecda</t>
        </is>
      </c>
      <c r="O46" t="inlineStr">
        <is>
          <t>2013/03-2</t>
        </is>
      </c>
      <c r="P46" t="inlineStr">
        <is>
          <t>ELECDA</t>
        </is>
      </c>
      <c r="Q46" t="n">
        <v>3</v>
      </c>
      <c r="R46" t="inlineStr">
        <is>
          <t>D.ALMAGRO 220</t>
        </is>
      </c>
      <c r="U46" t="n">
        <v>5</v>
      </c>
      <c r="V46" t="n">
        <v>26846</v>
      </c>
      <c r="W46" t="n">
        <v>5369.126</v>
      </c>
    </row>
    <row r="47">
      <c r="A47" t="inlineStr">
        <is>
          <t>01-03-2021</t>
        </is>
      </c>
      <c r="B47" t="inlineStr">
        <is>
          <t>01-03-2021</t>
        </is>
      </c>
      <c r="C47" t="inlineStr">
        <is>
          <t>Licitación Norvind y Elecda (SIC 2013/03-2) BS4</t>
        </is>
      </c>
      <c r="D47" t="inlineStr">
        <is>
          <t>Energia Licitaciones</t>
        </is>
      </c>
      <c r="E47" t="inlineStr">
        <is>
          <t>Energía</t>
        </is>
      </c>
      <c r="F47" t="inlineStr">
        <is>
          <t>Lic. SIC 2013/03-2 bloques BS4: Energía mar 2021</t>
        </is>
      </c>
      <c r="G47" t="inlineStr">
        <is>
          <t>2021-04-15 17:15:49</t>
        </is>
      </c>
      <c r="H47" t="n">
        <v>33</v>
      </c>
      <c r="I47" t="n">
        <v>18792</v>
      </c>
      <c r="J47" t="inlineStr">
        <is>
          <t>s</t>
        </is>
      </c>
      <c r="K47" t="inlineStr">
        <is>
          <t>s</t>
        </is>
      </c>
      <c r="L47" t="inlineStr">
        <is>
          <t>BS4</t>
        </is>
      </c>
      <c r="M47" t="inlineStr">
        <is>
          <t>Norvind</t>
        </is>
      </c>
      <c r="N47" t="inlineStr">
        <is>
          <t>Elecda</t>
        </is>
      </c>
      <c r="O47" t="inlineStr">
        <is>
          <t>2013/03-2</t>
        </is>
      </c>
      <c r="P47" t="inlineStr">
        <is>
          <t>ELECDA</t>
        </is>
      </c>
      <c r="Q47" t="n">
        <v>3</v>
      </c>
      <c r="R47" t="inlineStr">
        <is>
          <t>D.ALMAGRO 220</t>
        </is>
      </c>
      <c r="S47" t="n">
        <v>2236</v>
      </c>
      <c r="T47" t="n">
        <v>171269</v>
      </c>
      <c r="W47" t="n">
        <v>76.596</v>
      </c>
    </row>
    <row r="48">
      <c r="A48" t="inlineStr">
        <is>
          <t>01-03-2021</t>
        </is>
      </c>
      <c r="B48" t="inlineStr">
        <is>
          <t>01-03-2021</t>
        </is>
      </c>
      <c r="C48" t="inlineStr">
        <is>
          <t>Licitación Norvind y Elecda (SIC 2013/03-2) BS4</t>
        </is>
      </c>
      <c r="D48" t="inlineStr">
        <is>
          <t>Energia Licitaciones</t>
        </is>
      </c>
      <c r="E48" t="inlineStr">
        <is>
          <t>Energía</t>
        </is>
      </c>
      <c r="F48" t="inlineStr">
        <is>
          <t>Lic. SIC 2013/03-2 bloques BS4: Energía mar 2021</t>
        </is>
      </c>
      <c r="G48" t="inlineStr">
        <is>
          <t>2021-04-15 17:15:49</t>
        </is>
      </c>
      <c r="H48" t="n">
        <v>33</v>
      </c>
      <c r="I48" t="n">
        <v>18792</v>
      </c>
      <c r="J48" t="inlineStr">
        <is>
          <t>s</t>
        </is>
      </c>
      <c r="K48" t="inlineStr">
        <is>
          <t>s</t>
        </is>
      </c>
      <c r="L48" t="inlineStr">
        <is>
          <t>BS4</t>
        </is>
      </c>
      <c r="M48" t="inlineStr">
        <is>
          <t>Norvind</t>
        </is>
      </c>
      <c r="N48" t="inlineStr">
        <is>
          <t>Elecda</t>
        </is>
      </c>
      <c r="O48" t="inlineStr">
        <is>
          <t>2013/03-2</t>
        </is>
      </c>
      <c r="P48" t="inlineStr">
        <is>
          <t>ELECDA</t>
        </is>
      </c>
      <c r="Q48" t="n">
        <v>4</v>
      </c>
      <c r="R48" t="inlineStr">
        <is>
          <t>ENCUENTRO 220</t>
        </is>
      </c>
      <c r="S48" t="n">
        <v>0</v>
      </c>
      <c r="T48" t="n">
        <v>0</v>
      </c>
      <c r="W48" t="n">
        <v>84.538</v>
      </c>
    </row>
    <row r="49">
      <c r="A49" t="inlineStr">
        <is>
          <t>01-03-2021</t>
        </is>
      </c>
      <c r="B49" t="inlineStr">
        <is>
          <t>01-03-2021</t>
        </is>
      </c>
      <c r="C49" t="inlineStr">
        <is>
          <t>Licitación Norvind y Elecda (SIC 2013/03-2) BS4</t>
        </is>
      </c>
      <c r="D49" t="inlineStr">
        <is>
          <t>Potencia Licitaciones</t>
        </is>
      </c>
      <c r="E49" t="inlineStr">
        <is>
          <t>Potencia</t>
        </is>
      </c>
      <c r="F49" t="inlineStr">
        <is>
          <t>Lic. SIC 2013/03-2 bloques BS4: Potencia mar 2021</t>
        </is>
      </c>
      <c r="G49" t="inlineStr">
        <is>
          <t>2021-04-15 17:15:49</t>
        </is>
      </c>
      <c r="H49" t="n">
        <v>33</v>
      </c>
      <c r="I49" t="n">
        <v>18792</v>
      </c>
      <c r="J49" t="inlineStr">
        <is>
          <t>s</t>
        </is>
      </c>
      <c r="K49" t="inlineStr">
        <is>
          <t>s</t>
        </is>
      </c>
      <c r="L49" t="inlineStr">
        <is>
          <t>BS4</t>
        </is>
      </c>
      <c r="M49" t="inlineStr">
        <is>
          <t>Norvind</t>
        </is>
      </c>
      <c r="N49" t="inlineStr">
        <is>
          <t>Elecda</t>
        </is>
      </c>
      <c r="O49" t="inlineStr">
        <is>
          <t>2013/03-2</t>
        </is>
      </c>
      <c r="P49" t="inlineStr">
        <is>
          <t>ELECDA</t>
        </is>
      </c>
      <c r="Q49" t="n">
        <v>4</v>
      </c>
      <c r="R49" t="inlineStr">
        <is>
          <t>ENCUENTRO 220</t>
        </is>
      </c>
      <c r="U49" t="n">
        <v>0</v>
      </c>
      <c r="V49" t="n">
        <v>0</v>
      </c>
      <c r="W49" t="n">
        <v>5482.0669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W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01-10-2020</t>
        </is>
      </c>
      <c r="B2" t="inlineStr">
        <is>
          <t>01-10-2020</t>
        </is>
      </c>
      <c r="C2" t="inlineStr">
        <is>
          <t>Licitación Norvind y Elecda (SIC 2013/03-2) BS4</t>
        </is>
      </c>
      <c r="D2" t="inlineStr">
        <is>
          <t>Energia Licitaciones</t>
        </is>
      </c>
      <c r="E2" t="inlineStr">
        <is>
          <t>Energía</t>
        </is>
      </c>
      <c r="F2" t="inlineStr">
        <is>
          <t>Lic. SIC 2013/03-2 bloques BS4: Energía oct 2020</t>
        </is>
      </c>
      <c r="G2" t="inlineStr">
        <is>
          <t>2020-11-16 20:31:11</t>
        </is>
      </c>
      <c r="H2" t="n">
        <v>33</v>
      </c>
      <c r="I2" t="n">
        <v>16895</v>
      </c>
      <c r="J2" t="inlineStr">
        <is>
          <t>s</t>
        </is>
      </c>
      <c r="K2" t="inlineStr">
        <is>
          <t>s</t>
        </is>
      </c>
      <c r="L2" t="inlineStr">
        <is>
          <t>BS4</t>
        </is>
      </c>
      <c r="M2" t="inlineStr">
        <is>
          <t>Norvind</t>
        </is>
      </c>
      <c r="N2" t="inlineStr">
        <is>
          <t>Elecda</t>
        </is>
      </c>
      <c r="O2" t="inlineStr">
        <is>
          <t>2013/03-2</t>
        </is>
      </c>
      <c r="P2" t="inlineStr">
        <is>
          <t>ELECDA</t>
        </is>
      </c>
      <c r="Q2" t="n">
        <v>1</v>
      </c>
      <c r="R2" t="inlineStr">
        <is>
          <t>ATACAMA 220</t>
        </is>
      </c>
      <c r="S2" t="n">
        <v>0</v>
      </c>
      <c r="T2" t="n">
        <v>0</v>
      </c>
      <c r="W2" t="n">
        <v>74.22499999999999</v>
      </c>
    </row>
    <row r="3">
      <c r="A3" t="inlineStr">
        <is>
          <t>01-10-2020</t>
        </is>
      </c>
      <c r="B3" t="inlineStr">
        <is>
          <t>01-10-2020</t>
        </is>
      </c>
      <c r="C3" t="inlineStr">
        <is>
          <t>Licitación Norvind y Elecda (SIC 2013/03-2) BS4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BS4: Energía oct 2020</t>
        </is>
      </c>
      <c r="G3" t="inlineStr">
        <is>
          <t>2020-11-16 20:31:11</t>
        </is>
      </c>
      <c r="H3" t="n">
        <v>33</v>
      </c>
      <c r="I3" t="n">
        <v>16895</v>
      </c>
      <c r="J3" t="inlineStr">
        <is>
          <t>s</t>
        </is>
      </c>
      <c r="K3" t="inlineStr">
        <is>
          <t>s</t>
        </is>
      </c>
      <c r="L3" t="inlineStr">
        <is>
          <t>BS4</t>
        </is>
      </c>
      <c r="M3" t="inlineStr">
        <is>
          <t>Norvind</t>
        </is>
      </c>
      <c r="N3" t="inlineStr">
        <is>
          <t>Elecda</t>
        </is>
      </c>
      <c r="O3" t="inlineStr">
        <is>
          <t>2013/03-2</t>
        </is>
      </c>
      <c r="P3" t="inlineStr">
        <is>
          <t>ELECDA</t>
        </is>
      </c>
      <c r="Q3" t="n">
        <v>2</v>
      </c>
      <c r="R3" t="inlineStr">
        <is>
          <t>CRUCERO 220</t>
        </is>
      </c>
      <c r="S3" t="n">
        <v>0</v>
      </c>
      <c r="T3" t="n">
        <v>0</v>
      </c>
      <c r="W3" t="n">
        <v>73.16200000000001</v>
      </c>
    </row>
    <row r="4">
      <c r="A4" t="inlineStr">
        <is>
          <t>01-10-2020</t>
        </is>
      </c>
      <c r="B4" t="inlineStr">
        <is>
          <t>01-10-2020</t>
        </is>
      </c>
      <c r="C4" t="inlineStr">
        <is>
          <t>Licitación Norvind y Elecda (SIC 2013/03-2) BS4</t>
        </is>
      </c>
      <c r="D4" t="inlineStr">
        <is>
          <t>Energia Licitaciones</t>
        </is>
      </c>
      <c r="E4" t="inlineStr">
        <is>
          <t>Energía</t>
        </is>
      </c>
      <c r="F4" t="inlineStr">
        <is>
          <t>Lic. SIC 2013/03-2 bloques BS4: Energía oct 2020</t>
        </is>
      </c>
      <c r="G4" t="inlineStr">
        <is>
          <t>2020-11-16 20:31:11</t>
        </is>
      </c>
      <c r="H4" t="n">
        <v>33</v>
      </c>
      <c r="I4" t="n">
        <v>16895</v>
      </c>
      <c r="J4" t="inlineStr">
        <is>
          <t>s</t>
        </is>
      </c>
      <c r="K4" t="inlineStr">
        <is>
          <t>s</t>
        </is>
      </c>
      <c r="L4" t="inlineStr">
        <is>
          <t>BS4</t>
        </is>
      </c>
      <c r="M4" t="inlineStr">
        <is>
          <t>Norvind</t>
        </is>
      </c>
      <c r="N4" t="inlineStr">
        <is>
          <t>Elecda</t>
        </is>
      </c>
      <c r="O4" t="inlineStr">
        <is>
          <t>2013/03-2</t>
        </is>
      </c>
      <c r="P4" t="inlineStr">
        <is>
          <t>ELECDA</t>
        </is>
      </c>
      <c r="Q4" t="n">
        <v>3</v>
      </c>
      <c r="R4" t="inlineStr">
        <is>
          <t>D.ALMAGRO 220</t>
        </is>
      </c>
      <c r="S4" t="n">
        <v>2420</v>
      </c>
      <c r="T4" t="n">
        <v>175264</v>
      </c>
      <c r="W4" t="n">
        <v>72.423</v>
      </c>
    </row>
    <row r="5">
      <c r="A5" t="inlineStr">
        <is>
          <t>01-10-2020</t>
        </is>
      </c>
      <c r="B5" t="inlineStr">
        <is>
          <t>01-10-2020</t>
        </is>
      </c>
      <c r="C5" t="inlineStr">
        <is>
          <t>Licitación Norvind y Elecda (SIC 2013/03-2) BS4</t>
        </is>
      </c>
      <c r="D5" t="inlineStr">
        <is>
          <t>Energia Licitaciones</t>
        </is>
      </c>
      <c r="E5" t="inlineStr">
        <is>
          <t>Energía</t>
        </is>
      </c>
      <c r="F5" t="inlineStr">
        <is>
          <t>Lic. SIC 2013/03-2 bloques BS4: Energía oct 2020</t>
        </is>
      </c>
      <c r="G5" t="inlineStr">
        <is>
          <t>2020-11-16 20:31:11</t>
        </is>
      </c>
      <c r="H5" t="n">
        <v>33</v>
      </c>
      <c r="I5" t="n">
        <v>16895</v>
      </c>
      <c r="J5" t="inlineStr">
        <is>
          <t>s</t>
        </is>
      </c>
      <c r="K5" t="inlineStr">
        <is>
          <t>s</t>
        </is>
      </c>
      <c r="L5" t="inlineStr">
        <is>
          <t>BS4</t>
        </is>
      </c>
      <c r="M5" t="inlineStr">
        <is>
          <t>Norvind</t>
        </is>
      </c>
      <c r="N5" t="inlineStr">
        <is>
          <t>Elecda</t>
        </is>
      </c>
      <c r="O5" t="inlineStr">
        <is>
          <t>2013/03-2</t>
        </is>
      </c>
      <c r="P5" t="inlineStr">
        <is>
          <t>ELECDA</t>
        </is>
      </c>
      <c r="Q5" t="n">
        <v>4</v>
      </c>
      <c r="R5" t="inlineStr">
        <is>
          <t>ENCUENTRO 220</t>
        </is>
      </c>
      <c r="S5" t="n">
        <v>0</v>
      </c>
      <c r="T5" t="n">
        <v>0</v>
      </c>
      <c r="W5" t="n">
        <v>73.81100000000001</v>
      </c>
    </row>
    <row r="6">
      <c r="A6" t="inlineStr">
        <is>
          <t>01-11-2020</t>
        </is>
      </c>
      <c r="B6" t="inlineStr">
        <is>
          <t>01-11-2020</t>
        </is>
      </c>
      <c r="C6" t="inlineStr">
        <is>
          <t>Licitación Norvind y Elecda (SIC 2013/03-2) BS4</t>
        </is>
      </c>
      <c r="D6" t="inlineStr">
        <is>
          <t>Energia Licitaciones</t>
        </is>
      </c>
      <c r="E6" t="inlineStr">
        <is>
          <t>Energía</t>
        </is>
      </c>
      <c r="F6" t="inlineStr">
        <is>
          <t>Lic. SIC 2013/03-2 bloques BS4: Energía nov 2020</t>
        </is>
      </c>
      <c r="G6" t="inlineStr">
        <is>
          <t>2020-12-28 17:05:44</t>
        </is>
      </c>
      <c r="H6" t="n">
        <v>33</v>
      </c>
      <c r="I6" t="n">
        <v>17457</v>
      </c>
      <c r="J6" t="inlineStr">
        <is>
          <t>s</t>
        </is>
      </c>
      <c r="K6" t="inlineStr">
        <is>
          <t>s</t>
        </is>
      </c>
      <c r="L6" t="inlineStr">
        <is>
          <t>BS4</t>
        </is>
      </c>
      <c r="M6" t="inlineStr">
        <is>
          <t>Norvind</t>
        </is>
      </c>
      <c r="N6" t="inlineStr">
        <is>
          <t>Elecda</t>
        </is>
      </c>
      <c r="O6" t="inlineStr">
        <is>
          <t>2013/03-2</t>
        </is>
      </c>
      <c r="P6" t="inlineStr">
        <is>
          <t>ELECDA</t>
        </is>
      </c>
      <c r="Q6" t="n">
        <v>1</v>
      </c>
      <c r="R6" t="inlineStr">
        <is>
          <t>ATACAMA 220</t>
        </is>
      </c>
      <c r="S6" t="n">
        <v>0</v>
      </c>
      <c r="T6" t="n">
        <v>0</v>
      </c>
      <c r="W6" t="n">
        <v>74.22499999999999</v>
      </c>
    </row>
    <row r="7">
      <c r="A7" t="inlineStr">
        <is>
          <t>01-11-2020</t>
        </is>
      </c>
      <c r="B7" t="inlineStr">
        <is>
          <t>01-11-2020</t>
        </is>
      </c>
      <c r="C7" t="inlineStr">
        <is>
          <t>Licitación Norvind y Elecda (SIC 2013/03-2) BS4</t>
        </is>
      </c>
      <c r="D7" t="inlineStr">
        <is>
          <t>Energia Licitaciones</t>
        </is>
      </c>
      <c r="E7" t="inlineStr">
        <is>
          <t>Energía</t>
        </is>
      </c>
      <c r="F7" t="inlineStr">
        <is>
          <t>Lic. SIC 2013/03-2 bloques BS4: Energía nov 2020</t>
        </is>
      </c>
      <c r="G7" t="inlineStr">
        <is>
          <t>2020-12-28 17:05:44</t>
        </is>
      </c>
      <c r="H7" t="n">
        <v>33</v>
      </c>
      <c r="I7" t="n">
        <v>17457</v>
      </c>
      <c r="J7" t="inlineStr">
        <is>
          <t>s</t>
        </is>
      </c>
      <c r="K7" t="inlineStr">
        <is>
          <t>s</t>
        </is>
      </c>
      <c r="L7" t="inlineStr">
        <is>
          <t>BS4</t>
        </is>
      </c>
      <c r="M7" t="inlineStr">
        <is>
          <t>Norvind</t>
        </is>
      </c>
      <c r="N7" t="inlineStr">
        <is>
          <t>Elecda</t>
        </is>
      </c>
      <c r="O7" t="inlineStr">
        <is>
          <t>2013/03-2</t>
        </is>
      </c>
      <c r="P7" t="inlineStr">
        <is>
          <t>ELECDA</t>
        </is>
      </c>
      <c r="Q7" t="n">
        <v>2</v>
      </c>
      <c r="R7" t="inlineStr">
        <is>
          <t>CRUCERO 220</t>
        </is>
      </c>
      <c r="S7" t="n">
        <v>0</v>
      </c>
      <c r="T7" t="n">
        <v>0</v>
      </c>
      <c r="W7" t="n">
        <v>73.16200000000001</v>
      </c>
    </row>
    <row r="8">
      <c r="A8" t="inlineStr">
        <is>
          <t>01-11-2020</t>
        </is>
      </c>
      <c r="B8" t="inlineStr">
        <is>
          <t>01-11-2020</t>
        </is>
      </c>
      <c r="C8" t="inlineStr">
        <is>
          <t>Licitación Norvind y Elecda (SIC 2013/03-2) BS4</t>
        </is>
      </c>
      <c r="D8" t="inlineStr">
        <is>
          <t>Energia Licitaciones</t>
        </is>
      </c>
      <c r="E8" t="inlineStr">
        <is>
          <t>Energía</t>
        </is>
      </c>
      <c r="F8" t="inlineStr">
        <is>
          <t>Lic. SIC 2013/03-2 bloques BS4: Energía nov 2020</t>
        </is>
      </c>
      <c r="G8" t="inlineStr">
        <is>
          <t>2020-12-28 17:05:44</t>
        </is>
      </c>
      <c r="H8" t="n">
        <v>33</v>
      </c>
      <c r="I8" t="n">
        <v>17457</v>
      </c>
      <c r="J8" t="inlineStr">
        <is>
          <t>s</t>
        </is>
      </c>
      <c r="K8" t="inlineStr">
        <is>
          <t>s</t>
        </is>
      </c>
      <c r="L8" t="inlineStr">
        <is>
          <t>BS4</t>
        </is>
      </c>
      <c r="M8" t="inlineStr">
        <is>
          <t>Norvind</t>
        </is>
      </c>
      <c r="N8" t="inlineStr">
        <is>
          <t>Elecda</t>
        </is>
      </c>
      <c r="O8" t="inlineStr">
        <is>
          <t>2013/03-2</t>
        </is>
      </c>
      <c r="P8" t="inlineStr">
        <is>
          <t>ELECDA</t>
        </is>
      </c>
      <c r="Q8" t="n">
        <v>3</v>
      </c>
      <c r="R8" t="inlineStr">
        <is>
          <t>D.ALMAGRO 220</t>
        </is>
      </c>
      <c r="S8" t="n">
        <v>2366</v>
      </c>
      <c r="T8" t="n">
        <v>171353</v>
      </c>
      <c r="W8" t="n">
        <v>72.423</v>
      </c>
    </row>
    <row r="9">
      <c r="A9" t="inlineStr">
        <is>
          <t>01-11-2020</t>
        </is>
      </c>
      <c r="B9" t="inlineStr">
        <is>
          <t>01-11-2020</t>
        </is>
      </c>
      <c r="C9" t="inlineStr">
        <is>
          <t>Licitación Norvind y Elecda (SIC 2013/03-2) BS4</t>
        </is>
      </c>
      <c r="D9" t="inlineStr">
        <is>
          <t>Energia Licitaciones</t>
        </is>
      </c>
      <c r="E9" t="inlineStr">
        <is>
          <t>Energía</t>
        </is>
      </c>
      <c r="F9" t="inlineStr">
        <is>
          <t>Lic. SIC 2013/03-2 bloques BS4: Energía nov 2020</t>
        </is>
      </c>
      <c r="G9" t="inlineStr">
        <is>
          <t>2020-12-28 17:05:44</t>
        </is>
      </c>
      <c r="H9" t="n">
        <v>33</v>
      </c>
      <c r="I9" t="n">
        <v>17457</v>
      </c>
      <c r="J9" t="inlineStr">
        <is>
          <t>s</t>
        </is>
      </c>
      <c r="K9" t="inlineStr">
        <is>
          <t>s</t>
        </is>
      </c>
      <c r="L9" t="inlineStr">
        <is>
          <t>BS4</t>
        </is>
      </c>
      <c r="M9" t="inlineStr">
        <is>
          <t>Norvind</t>
        </is>
      </c>
      <c r="N9" t="inlineStr">
        <is>
          <t>Elecda</t>
        </is>
      </c>
      <c r="O9" t="inlineStr">
        <is>
          <t>2013/03-2</t>
        </is>
      </c>
      <c r="P9" t="inlineStr">
        <is>
          <t>ELECDA</t>
        </is>
      </c>
      <c r="Q9" t="n">
        <v>4</v>
      </c>
      <c r="R9" t="inlineStr">
        <is>
          <t>ENCUENTRO 220</t>
        </is>
      </c>
      <c r="S9" t="n">
        <v>0</v>
      </c>
      <c r="T9" t="n">
        <v>0</v>
      </c>
      <c r="W9" t="n">
        <v>73.81100000000001</v>
      </c>
    </row>
    <row r="10">
      <c r="A10" t="inlineStr">
        <is>
          <t>01-12-2020</t>
        </is>
      </c>
      <c r="B10" t="inlineStr">
        <is>
          <t>01-12-2020</t>
        </is>
      </c>
      <c r="C10" t="inlineStr">
        <is>
          <t>Licitación Norvind y Elecda (SIC 2013/03-2) BS4</t>
        </is>
      </c>
      <c r="D10" t="inlineStr">
        <is>
          <t>Energia Licitaciones</t>
        </is>
      </c>
      <c r="E10" t="inlineStr">
        <is>
          <t>Energía</t>
        </is>
      </c>
      <c r="F10" t="inlineStr">
        <is>
          <t>Lic. SIC 2013/03-2 bloques BS4: Energía dic 2020</t>
        </is>
      </c>
      <c r="G10" t="inlineStr">
        <is>
          <t>2021-01-15 16:43:02</t>
        </is>
      </c>
      <c r="H10" t="n">
        <v>33</v>
      </c>
      <c r="I10" t="n">
        <v>17485</v>
      </c>
      <c r="J10" t="inlineStr">
        <is>
          <t>s</t>
        </is>
      </c>
      <c r="K10" t="inlineStr">
        <is>
          <t>s</t>
        </is>
      </c>
      <c r="L10" t="inlineStr">
        <is>
          <t>BS4</t>
        </is>
      </c>
      <c r="M10" t="inlineStr">
        <is>
          <t>Norvind</t>
        </is>
      </c>
      <c r="N10" t="inlineStr">
        <is>
          <t>Elecda</t>
        </is>
      </c>
      <c r="O10" t="inlineStr">
        <is>
          <t>2013/03-2</t>
        </is>
      </c>
      <c r="P10" t="inlineStr">
        <is>
          <t>ELECDA</t>
        </is>
      </c>
      <c r="Q10" t="n">
        <v>1</v>
      </c>
      <c r="R10" t="inlineStr">
        <is>
          <t>ATACAMA 220</t>
        </is>
      </c>
      <c r="S10" t="n">
        <v>0</v>
      </c>
      <c r="T10" t="n">
        <v>0</v>
      </c>
      <c r="W10" t="n">
        <v>74.22499999999999</v>
      </c>
    </row>
    <row r="11">
      <c r="A11" t="inlineStr">
        <is>
          <t>01-12-2020</t>
        </is>
      </c>
      <c r="B11" t="inlineStr">
        <is>
          <t>01-12-2020</t>
        </is>
      </c>
      <c r="C11" t="inlineStr">
        <is>
          <t>Licitación Norvind y Elecda (SIC 2013/03-2) BS4</t>
        </is>
      </c>
      <c r="D11" t="inlineStr">
        <is>
          <t>Energia Licitaciones</t>
        </is>
      </c>
      <c r="E11" t="inlineStr">
        <is>
          <t>Energía</t>
        </is>
      </c>
      <c r="F11" t="inlineStr">
        <is>
          <t>Lic. SIC 2013/03-2 bloques BS4: Energía dic 2020</t>
        </is>
      </c>
      <c r="G11" t="inlineStr">
        <is>
          <t>2021-01-15 16:43:02</t>
        </is>
      </c>
      <c r="H11" t="n">
        <v>33</v>
      </c>
      <c r="I11" t="n">
        <v>17485</v>
      </c>
      <c r="J11" t="inlineStr">
        <is>
          <t>s</t>
        </is>
      </c>
      <c r="K11" t="inlineStr">
        <is>
          <t>s</t>
        </is>
      </c>
      <c r="L11" t="inlineStr">
        <is>
          <t>BS4</t>
        </is>
      </c>
      <c r="M11" t="inlineStr">
        <is>
          <t>Norvind</t>
        </is>
      </c>
      <c r="N11" t="inlineStr">
        <is>
          <t>Elecda</t>
        </is>
      </c>
      <c r="O11" t="inlineStr">
        <is>
          <t>2013/03-2</t>
        </is>
      </c>
      <c r="P11" t="inlineStr">
        <is>
          <t>ELECDA</t>
        </is>
      </c>
      <c r="Q11" t="n">
        <v>2</v>
      </c>
      <c r="R11" t="inlineStr">
        <is>
          <t>CRUCERO 220</t>
        </is>
      </c>
      <c r="S11" t="n">
        <v>0</v>
      </c>
      <c r="T11" t="n">
        <v>0</v>
      </c>
      <c r="W11" t="n">
        <v>73.16200000000001</v>
      </c>
    </row>
    <row r="12">
      <c r="A12" t="inlineStr">
        <is>
          <t>01-12-2020</t>
        </is>
      </c>
      <c r="B12" t="inlineStr">
        <is>
          <t>01-12-2020</t>
        </is>
      </c>
      <c r="C12" t="inlineStr">
        <is>
          <t>Licitación Norvind y Elecda (SIC 2013/03-2) BS4</t>
        </is>
      </c>
      <c r="D12" t="inlineStr">
        <is>
          <t>Energia Licitaciones</t>
        </is>
      </c>
      <c r="E12" t="inlineStr">
        <is>
          <t>Energía</t>
        </is>
      </c>
      <c r="F12" t="inlineStr">
        <is>
          <t>Lic. SIC 2013/03-2 bloques BS4: Energía dic 2020</t>
        </is>
      </c>
      <c r="G12" t="inlineStr">
        <is>
          <t>2021-01-15 16:43:02</t>
        </is>
      </c>
      <c r="H12" t="n">
        <v>33</v>
      </c>
      <c r="I12" t="n">
        <v>17485</v>
      </c>
      <c r="J12" t="inlineStr">
        <is>
          <t>s</t>
        </is>
      </c>
      <c r="K12" t="inlineStr">
        <is>
          <t>s</t>
        </is>
      </c>
      <c r="L12" t="inlineStr">
        <is>
          <t>BS4</t>
        </is>
      </c>
      <c r="M12" t="inlineStr">
        <is>
          <t>Norvind</t>
        </is>
      </c>
      <c r="N12" t="inlineStr">
        <is>
          <t>Elecda</t>
        </is>
      </c>
      <c r="O12" t="inlineStr">
        <is>
          <t>2013/03-2</t>
        </is>
      </c>
      <c r="P12" t="inlineStr">
        <is>
          <t>ELECDA</t>
        </is>
      </c>
      <c r="Q12" t="n">
        <v>3</v>
      </c>
      <c r="R12" t="inlineStr">
        <is>
          <t>D.ALMAGRO 220</t>
        </is>
      </c>
      <c r="S12" t="n">
        <v>2551</v>
      </c>
      <c r="T12" t="n">
        <v>184751</v>
      </c>
      <c r="W12" t="n">
        <v>72.423</v>
      </c>
    </row>
    <row r="13">
      <c r="A13" t="inlineStr">
        <is>
          <t>01-12-2020</t>
        </is>
      </c>
      <c r="B13" t="inlineStr">
        <is>
          <t>01-12-2020</t>
        </is>
      </c>
      <c r="C13" t="inlineStr">
        <is>
          <t>Licitación Norvind y Elecda (SIC 2013/03-2) BS4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BS4: Energía dic 2020</t>
        </is>
      </c>
      <c r="G13" t="inlineStr">
        <is>
          <t>2021-01-15 16:43:02</t>
        </is>
      </c>
      <c r="H13" t="n">
        <v>33</v>
      </c>
      <c r="I13" t="n">
        <v>17485</v>
      </c>
      <c r="J13" t="inlineStr">
        <is>
          <t>s</t>
        </is>
      </c>
      <c r="K13" t="inlineStr">
        <is>
          <t>s</t>
        </is>
      </c>
      <c r="L13" t="inlineStr">
        <is>
          <t>BS4</t>
        </is>
      </c>
      <c r="M13" t="inlineStr">
        <is>
          <t>Norvind</t>
        </is>
      </c>
      <c r="N13" t="inlineStr">
        <is>
          <t>Elecda</t>
        </is>
      </c>
      <c r="O13" t="inlineStr">
        <is>
          <t>2013/03-2</t>
        </is>
      </c>
      <c r="P13" t="inlineStr">
        <is>
          <t>ELECDA</t>
        </is>
      </c>
      <c r="Q13" t="n">
        <v>4</v>
      </c>
      <c r="R13" t="inlineStr">
        <is>
          <t>ENCUENTRO 220</t>
        </is>
      </c>
      <c r="S13" t="n">
        <v>0</v>
      </c>
      <c r="T13" t="n">
        <v>0</v>
      </c>
      <c r="W13" t="n">
        <v>73.81100000000001</v>
      </c>
    </row>
    <row r="14">
      <c r="A14" t="inlineStr">
        <is>
          <t>01-01-2021</t>
        </is>
      </c>
      <c r="B14" t="inlineStr">
        <is>
          <t>01-01-2021</t>
        </is>
      </c>
      <c r="C14" t="inlineStr">
        <is>
          <t>Licitación Norvind y Elecda (SIC 2013/03-2) BS4</t>
        </is>
      </c>
      <c r="D14" t="inlineStr">
        <is>
          <t>Energia Licitaciones</t>
        </is>
      </c>
      <c r="E14" t="inlineStr">
        <is>
          <t>Energía</t>
        </is>
      </c>
      <c r="F14" t="inlineStr">
        <is>
          <t>Lic. SIC 2013/03-2 bloques BS4: Energía ene 2021</t>
        </is>
      </c>
      <c r="G14" t="inlineStr">
        <is>
          <t>2021-02-13 16:01:26</t>
        </is>
      </c>
      <c r="H14" t="n">
        <v>33</v>
      </c>
      <c r="I14" t="n">
        <v>17762</v>
      </c>
      <c r="J14" t="inlineStr">
        <is>
          <t>s</t>
        </is>
      </c>
      <c r="K14" t="inlineStr">
        <is>
          <t>s</t>
        </is>
      </c>
      <c r="L14" t="inlineStr">
        <is>
          <t>BS4</t>
        </is>
      </c>
      <c r="M14" t="inlineStr">
        <is>
          <t>Norvind</t>
        </is>
      </c>
      <c r="N14" t="inlineStr">
        <is>
          <t>Elecda</t>
        </is>
      </c>
      <c r="O14" t="inlineStr">
        <is>
          <t>2013/03-2</t>
        </is>
      </c>
      <c r="P14" t="inlineStr">
        <is>
          <t>ELECDA</t>
        </is>
      </c>
      <c r="Q14" t="n">
        <v>1</v>
      </c>
      <c r="R14" t="inlineStr">
        <is>
          <t>ATACAMA 220</t>
        </is>
      </c>
      <c r="S14" t="n">
        <v>0</v>
      </c>
      <c r="T14" t="n">
        <v>0</v>
      </c>
      <c r="W14" t="n">
        <v>74.22499999999999</v>
      </c>
    </row>
    <row r="15">
      <c r="A15" t="inlineStr">
        <is>
          <t>01-01-2021</t>
        </is>
      </c>
      <c r="B15" t="inlineStr">
        <is>
          <t>01-01-2021</t>
        </is>
      </c>
      <c r="C15" t="inlineStr">
        <is>
          <t>Licitación Norvind y Elecda (SIC 2013/03-2) BS4</t>
        </is>
      </c>
      <c r="D15" t="inlineStr">
        <is>
          <t>Energia Licitaciones</t>
        </is>
      </c>
      <c r="E15" t="inlineStr">
        <is>
          <t>Energía</t>
        </is>
      </c>
      <c r="F15" t="inlineStr">
        <is>
          <t>Lic. SIC 2013/03-2 bloques BS4: Energía ene 2021</t>
        </is>
      </c>
      <c r="G15" t="inlineStr">
        <is>
          <t>2021-02-13 16:01:26</t>
        </is>
      </c>
      <c r="H15" t="n">
        <v>33</v>
      </c>
      <c r="I15" t="n">
        <v>17762</v>
      </c>
      <c r="J15" t="inlineStr">
        <is>
          <t>s</t>
        </is>
      </c>
      <c r="K15" t="inlineStr">
        <is>
          <t>s</t>
        </is>
      </c>
      <c r="L15" t="inlineStr">
        <is>
          <t>BS4</t>
        </is>
      </c>
      <c r="M15" t="inlineStr">
        <is>
          <t>Norvind</t>
        </is>
      </c>
      <c r="N15" t="inlineStr">
        <is>
          <t>Elecda</t>
        </is>
      </c>
      <c r="O15" t="inlineStr">
        <is>
          <t>2013/03-2</t>
        </is>
      </c>
      <c r="P15" t="inlineStr">
        <is>
          <t>ELECDA</t>
        </is>
      </c>
      <c r="Q15" t="n">
        <v>2</v>
      </c>
      <c r="R15" t="inlineStr">
        <is>
          <t>CRUCERO 220</t>
        </is>
      </c>
      <c r="S15" t="n">
        <v>0</v>
      </c>
      <c r="T15" t="n">
        <v>0</v>
      </c>
      <c r="W15" t="n">
        <v>73.16200000000001</v>
      </c>
    </row>
    <row r="16">
      <c r="A16" t="inlineStr">
        <is>
          <t>01-01-2021</t>
        </is>
      </c>
      <c r="B16" t="inlineStr">
        <is>
          <t>01-01-2021</t>
        </is>
      </c>
      <c r="C16" t="inlineStr">
        <is>
          <t>Licitación Norvind y Elecda (SIC 2013/03-2) BS4</t>
        </is>
      </c>
      <c r="D16" t="inlineStr">
        <is>
          <t>Energia Licitaciones</t>
        </is>
      </c>
      <c r="E16" t="inlineStr">
        <is>
          <t>Energía</t>
        </is>
      </c>
      <c r="F16" t="inlineStr">
        <is>
          <t>Lic. SIC 2013/03-2 bloques BS4: Energía ene 2021</t>
        </is>
      </c>
      <c r="G16" t="inlineStr">
        <is>
          <t>2021-02-13 16:01:26</t>
        </is>
      </c>
      <c r="H16" t="n">
        <v>33</v>
      </c>
      <c r="I16" t="n">
        <v>17762</v>
      </c>
      <c r="J16" t="inlineStr">
        <is>
          <t>s</t>
        </is>
      </c>
      <c r="K16" t="inlineStr">
        <is>
          <t>s</t>
        </is>
      </c>
      <c r="L16" t="inlineStr">
        <is>
          <t>BS4</t>
        </is>
      </c>
      <c r="M16" t="inlineStr">
        <is>
          <t>Norvind</t>
        </is>
      </c>
      <c r="N16" t="inlineStr">
        <is>
          <t>Elecda</t>
        </is>
      </c>
      <c r="O16" t="inlineStr">
        <is>
          <t>2013/03-2</t>
        </is>
      </c>
      <c r="P16" t="inlineStr">
        <is>
          <t>ELECDA</t>
        </is>
      </c>
      <c r="Q16" t="n">
        <v>3</v>
      </c>
      <c r="R16" t="inlineStr">
        <is>
          <t>D.ALMAGRO 220</t>
        </is>
      </c>
      <c r="S16" t="n">
        <v>2224.99</v>
      </c>
      <c r="T16" t="n">
        <v>161140</v>
      </c>
      <c r="W16" t="n">
        <v>72.423</v>
      </c>
    </row>
    <row r="17">
      <c r="A17" t="inlineStr">
        <is>
          <t>01-01-2021</t>
        </is>
      </c>
      <c r="B17" t="inlineStr">
        <is>
          <t>01-01-2021</t>
        </is>
      </c>
      <c r="C17" t="inlineStr">
        <is>
          <t>Licitación Norvind y Elecda (SIC 2013/03-2) BS4</t>
        </is>
      </c>
      <c r="D17" t="inlineStr">
        <is>
          <t>Energia Licitaciones</t>
        </is>
      </c>
      <c r="E17" t="inlineStr">
        <is>
          <t>Energía</t>
        </is>
      </c>
      <c r="F17" t="inlineStr">
        <is>
          <t>Lic. SIC 2013/03-2 bloques BS4: Energía ene 2021</t>
        </is>
      </c>
      <c r="G17" t="inlineStr">
        <is>
          <t>2021-02-13 16:01:26</t>
        </is>
      </c>
      <c r="H17" t="n">
        <v>33</v>
      </c>
      <c r="I17" t="n">
        <v>17762</v>
      </c>
      <c r="J17" t="inlineStr">
        <is>
          <t>s</t>
        </is>
      </c>
      <c r="K17" t="inlineStr">
        <is>
          <t>s</t>
        </is>
      </c>
      <c r="L17" t="inlineStr">
        <is>
          <t>BS4</t>
        </is>
      </c>
      <c r="M17" t="inlineStr">
        <is>
          <t>Norvind</t>
        </is>
      </c>
      <c r="N17" t="inlineStr">
        <is>
          <t>Elecda</t>
        </is>
      </c>
      <c r="O17" t="inlineStr">
        <is>
          <t>2013/03-2</t>
        </is>
      </c>
      <c r="P17" t="inlineStr">
        <is>
          <t>ELECDA</t>
        </is>
      </c>
      <c r="Q17" t="n">
        <v>4</v>
      </c>
      <c r="R17" t="inlineStr">
        <is>
          <t>ENCUENTRO 220</t>
        </is>
      </c>
      <c r="S17" t="n">
        <v>0</v>
      </c>
      <c r="T17" t="n">
        <v>0</v>
      </c>
      <c r="W17" t="n">
        <v>73.81100000000001</v>
      </c>
    </row>
    <row r="18">
      <c r="A18" t="inlineStr">
        <is>
          <t>01-02-2021</t>
        </is>
      </c>
      <c r="B18" t="inlineStr">
        <is>
          <t>01-02-2021</t>
        </is>
      </c>
      <c r="C18" t="inlineStr">
        <is>
          <t>Licitación Norvind y Elecda (SIC 2013/03-2) BS4</t>
        </is>
      </c>
      <c r="D18" t="inlineStr">
        <is>
          <t>Energia Licitaciones</t>
        </is>
      </c>
      <c r="E18" t="inlineStr">
        <is>
          <t>Energía</t>
        </is>
      </c>
      <c r="F18" t="inlineStr">
        <is>
          <t>Lic. SIC 2013/03-2 bloques BS4: Energía feb 2021</t>
        </is>
      </c>
      <c r="G18" t="inlineStr">
        <is>
          <t>2021-03-12 15:41:59</t>
        </is>
      </c>
      <c r="H18" t="n">
        <v>33</v>
      </c>
      <c r="I18" t="n">
        <v>18078</v>
      </c>
      <c r="J18" t="inlineStr">
        <is>
          <t>s</t>
        </is>
      </c>
      <c r="K18" t="inlineStr">
        <is>
          <t>s</t>
        </is>
      </c>
      <c r="L18" t="inlineStr">
        <is>
          <t>BS4</t>
        </is>
      </c>
      <c r="M18" t="inlineStr">
        <is>
          <t>Norvind</t>
        </is>
      </c>
      <c r="N18" t="inlineStr">
        <is>
          <t>Elecda</t>
        </is>
      </c>
      <c r="O18" t="inlineStr">
        <is>
          <t>2013/03-2</t>
        </is>
      </c>
      <c r="P18" t="inlineStr">
        <is>
          <t>ELECDA</t>
        </is>
      </c>
      <c r="Q18" t="n">
        <v>1</v>
      </c>
      <c r="R18" t="inlineStr">
        <is>
          <t>ATACAMA 220</t>
        </is>
      </c>
      <c r="S18" t="n">
        <v>0</v>
      </c>
      <c r="T18" t="n">
        <v>0</v>
      </c>
      <c r="W18" t="n">
        <v>74.22499999999999</v>
      </c>
    </row>
    <row r="19">
      <c r="A19" t="inlineStr">
        <is>
          <t>01-02-2021</t>
        </is>
      </c>
      <c r="B19" t="inlineStr">
        <is>
          <t>01-02-2021</t>
        </is>
      </c>
      <c r="C19" t="inlineStr">
        <is>
          <t>Licitación Norvind y Elecda (SIC 2013/03-2) BS4</t>
        </is>
      </c>
      <c r="D19" t="inlineStr">
        <is>
          <t>Energia Licitaciones</t>
        </is>
      </c>
      <c r="E19" t="inlineStr">
        <is>
          <t>Energía</t>
        </is>
      </c>
      <c r="F19" t="inlineStr">
        <is>
          <t>Lic. SIC 2013/03-2 bloques BS4: Energía feb 2021</t>
        </is>
      </c>
      <c r="G19" t="inlineStr">
        <is>
          <t>2021-03-12 15:41:59</t>
        </is>
      </c>
      <c r="H19" t="n">
        <v>33</v>
      </c>
      <c r="I19" t="n">
        <v>18078</v>
      </c>
      <c r="J19" t="inlineStr">
        <is>
          <t>s</t>
        </is>
      </c>
      <c r="K19" t="inlineStr">
        <is>
          <t>s</t>
        </is>
      </c>
      <c r="L19" t="inlineStr">
        <is>
          <t>BS4</t>
        </is>
      </c>
      <c r="M19" t="inlineStr">
        <is>
          <t>Norvind</t>
        </is>
      </c>
      <c r="N19" t="inlineStr">
        <is>
          <t>Elecda</t>
        </is>
      </c>
      <c r="O19" t="inlineStr">
        <is>
          <t>2013/03-2</t>
        </is>
      </c>
      <c r="P19" t="inlineStr">
        <is>
          <t>ELECDA</t>
        </is>
      </c>
      <c r="Q19" t="n">
        <v>2</v>
      </c>
      <c r="R19" t="inlineStr">
        <is>
          <t>CRUCERO 220</t>
        </is>
      </c>
      <c r="S19" t="n">
        <v>0</v>
      </c>
      <c r="T19" t="n">
        <v>0</v>
      </c>
      <c r="W19" t="n">
        <v>73.16200000000001</v>
      </c>
    </row>
    <row r="20">
      <c r="A20" t="inlineStr">
        <is>
          <t>01-02-2021</t>
        </is>
      </c>
      <c r="B20" t="inlineStr">
        <is>
          <t>01-02-2021</t>
        </is>
      </c>
      <c r="C20" t="inlineStr">
        <is>
          <t>Licitación Norvind y Elecda (SIC 2013/03-2) BS4</t>
        </is>
      </c>
      <c r="D20" t="inlineStr">
        <is>
          <t>Energia Licitaciones</t>
        </is>
      </c>
      <c r="E20" t="inlineStr">
        <is>
          <t>Energía</t>
        </is>
      </c>
      <c r="F20" t="inlineStr">
        <is>
          <t>Lic. SIC 2013/03-2 bloques BS4: Energía feb 2021</t>
        </is>
      </c>
      <c r="G20" t="inlineStr">
        <is>
          <t>2021-03-12 15:41:59</t>
        </is>
      </c>
      <c r="H20" t="n">
        <v>33</v>
      </c>
      <c r="I20" t="n">
        <v>18078</v>
      </c>
      <c r="J20" t="inlineStr">
        <is>
          <t>s</t>
        </is>
      </c>
      <c r="K20" t="inlineStr">
        <is>
          <t>s</t>
        </is>
      </c>
      <c r="L20" t="inlineStr">
        <is>
          <t>BS4</t>
        </is>
      </c>
      <c r="M20" t="inlineStr">
        <is>
          <t>Norvind</t>
        </is>
      </c>
      <c r="N20" t="inlineStr">
        <is>
          <t>Elecda</t>
        </is>
      </c>
      <c r="O20" t="inlineStr">
        <is>
          <t>2013/03-2</t>
        </is>
      </c>
      <c r="P20" t="inlineStr">
        <is>
          <t>ELECDA</t>
        </is>
      </c>
      <c r="Q20" t="n">
        <v>3</v>
      </c>
      <c r="R20" t="inlineStr">
        <is>
          <t>D.ALMAGRO 220</t>
        </is>
      </c>
      <c r="S20" t="n">
        <v>2028</v>
      </c>
      <c r="T20" t="n">
        <v>146874</v>
      </c>
      <c r="W20" t="n">
        <v>72.423</v>
      </c>
    </row>
    <row r="21">
      <c r="A21" t="inlineStr">
        <is>
          <t>01-02-2021</t>
        </is>
      </c>
      <c r="B21" t="inlineStr">
        <is>
          <t>01-02-2021</t>
        </is>
      </c>
      <c r="C21" t="inlineStr">
        <is>
          <t>Licitación Norvind y Elecda (SIC 2013/03-2) BS4</t>
        </is>
      </c>
      <c r="D21" t="inlineStr">
        <is>
          <t>Energia Licitaciones</t>
        </is>
      </c>
      <c r="E21" t="inlineStr">
        <is>
          <t>Energía</t>
        </is>
      </c>
      <c r="F21" t="inlineStr">
        <is>
          <t>Lic. SIC 2013/03-2 bloques BS4: Energía feb 2021</t>
        </is>
      </c>
      <c r="G21" t="inlineStr">
        <is>
          <t>2021-03-12 15:41:59</t>
        </is>
      </c>
      <c r="H21" t="n">
        <v>33</v>
      </c>
      <c r="I21" t="n">
        <v>18078</v>
      </c>
      <c r="J21" t="inlineStr">
        <is>
          <t>s</t>
        </is>
      </c>
      <c r="K21" t="inlineStr">
        <is>
          <t>s</t>
        </is>
      </c>
      <c r="L21" t="inlineStr">
        <is>
          <t>BS4</t>
        </is>
      </c>
      <c r="M21" t="inlineStr">
        <is>
          <t>Norvind</t>
        </is>
      </c>
      <c r="N21" t="inlineStr">
        <is>
          <t>Elecda</t>
        </is>
      </c>
      <c r="O21" t="inlineStr">
        <is>
          <t>2013/03-2</t>
        </is>
      </c>
      <c r="P21" t="inlineStr">
        <is>
          <t>ELECDA</t>
        </is>
      </c>
      <c r="Q21" t="n">
        <v>4</v>
      </c>
      <c r="R21" t="inlineStr">
        <is>
          <t>ENCUENTRO 220</t>
        </is>
      </c>
      <c r="S21" t="n">
        <v>0</v>
      </c>
      <c r="T21" t="n">
        <v>0</v>
      </c>
      <c r="W21" t="n">
        <v>73.81100000000001</v>
      </c>
    </row>
    <row r="22">
      <c r="A22" t="inlineStr">
        <is>
          <t>01-03-2021</t>
        </is>
      </c>
      <c r="B22" t="inlineStr">
        <is>
          <t>01-03-2021</t>
        </is>
      </c>
      <c r="C22" t="inlineStr">
        <is>
          <t>Licitación Norvind y Elecda (SIC 2013/03-2) BS4</t>
        </is>
      </c>
      <c r="D22" t="inlineStr">
        <is>
          <t>Energia Licitaciones</t>
        </is>
      </c>
      <c r="E22" t="inlineStr">
        <is>
          <t>Energía</t>
        </is>
      </c>
      <c r="F22" t="inlineStr">
        <is>
          <t>Lic. SIC 2013/03-2 bloques BS4: Energía mar 2021</t>
        </is>
      </c>
      <c r="G22" t="inlineStr">
        <is>
          <t>2021-04-15 17:15:49</t>
        </is>
      </c>
      <c r="H22" t="n">
        <v>33</v>
      </c>
      <c r="I22" t="n">
        <v>18792</v>
      </c>
      <c r="J22" t="inlineStr">
        <is>
          <t>s</t>
        </is>
      </c>
      <c r="K22" t="inlineStr">
        <is>
          <t>s</t>
        </is>
      </c>
      <c r="L22" t="inlineStr">
        <is>
          <t>BS4</t>
        </is>
      </c>
      <c r="M22" t="inlineStr">
        <is>
          <t>Norvind</t>
        </is>
      </c>
      <c r="N22" t="inlineStr">
        <is>
          <t>Elecda</t>
        </is>
      </c>
      <c r="O22" t="inlineStr">
        <is>
          <t>2013/03-2</t>
        </is>
      </c>
      <c r="P22" t="inlineStr">
        <is>
          <t>ELECDA</t>
        </is>
      </c>
      <c r="Q22" t="n">
        <v>1</v>
      </c>
      <c r="R22" t="inlineStr">
        <is>
          <t>ATACAMA 220</t>
        </is>
      </c>
      <c r="S22" t="n">
        <v>0</v>
      </c>
      <c r="T22" t="n">
        <v>0</v>
      </c>
      <c r="W22" t="n">
        <v>84.262</v>
      </c>
    </row>
    <row r="23">
      <c r="A23" t="inlineStr">
        <is>
          <t>01-03-2021</t>
        </is>
      </c>
      <c r="B23" t="inlineStr">
        <is>
          <t>01-03-2021</t>
        </is>
      </c>
      <c r="C23" t="inlineStr">
        <is>
          <t>Licitación Norvind y Elecda (SIC 2013/03-2) BS4</t>
        </is>
      </c>
      <c r="D23" t="inlineStr">
        <is>
          <t>Energia Licitaciones</t>
        </is>
      </c>
      <c r="E23" t="inlineStr">
        <is>
          <t>Energía</t>
        </is>
      </c>
      <c r="F23" t="inlineStr">
        <is>
          <t>Lic. SIC 2013/03-2 bloques BS4: Energía mar 2021</t>
        </is>
      </c>
      <c r="G23" t="inlineStr">
        <is>
          <t>2021-04-15 17:15:49</t>
        </is>
      </c>
      <c r="H23" t="n">
        <v>33</v>
      </c>
      <c r="I23" t="n">
        <v>18792</v>
      </c>
      <c r="J23" t="inlineStr">
        <is>
          <t>s</t>
        </is>
      </c>
      <c r="K23" t="inlineStr">
        <is>
          <t>s</t>
        </is>
      </c>
      <c r="L23" t="inlineStr">
        <is>
          <t>BS4</t>
        </is>
      </c>
      <c r="M23" t="inlineStr">
        <is>
          <t>Norvind</t>
        </is>
      </c>
      <c r="N23" t="inlineStr">
        <is>
          <t>Elecda</t>
        </is>
      </c>
      <c r="O23" t="inlineStr">
        <is>
          <t>2013/03-2</t>
        </is>
      </c>
      <c r="P23" t="inlineStr">
        <is>
          <t>ELECDA</t>
        </is>
      </c>
      <c r="Q23" t="n">
        <v>2</v>
      </c>
      <c r="R23" t="inlineStr">
        <is>
          <t>CRUCERO 220</t>
        </is>
      </c>
      <c r="S23" t="n">
        <v>0</v>
      </c>
      <c r="T23" t="n">
        <v>0</v>
      </c>
      <c r="W23" t="n">
        <v>83.64100000000001</v>
      </c>
    </row>
    <row r="24">
      <c r="A24" t="inlineStr">
        <is>
          <t>01-03-2021</t>
        </is>
      </c>
      <c r="B24" t="inlineStr">
        <is>
          <t>01-03-2021</t>
        </is>
      </c>
      <c r="C24" t="inlineStr">
        <is>
          <t>Licitación Norvind y Elecda (SIC 2013/03-2) BS4</t>
        </is>
      </c>
      <c r="D24" t="inlineStr">
        <is>
          <t>Energia Licitaciones</t>
        </is>
      </c>
      <c r="E24" t="inlineStr">
        <is>
          <t>Energía</t>
        </is>
      </c>
      <c r="F24" t="inlineStr">
        <is>
          <t>Lic. SIC 2013/03-2 bloques BS4: Energía mar 2021</t>
        </is>
      </c>
      <c r="G24" t="inlineStr">
        <is>
          <t>2021-04-15 17:15:49</t>
        </is>
      </c>
      <c r="H24" t="n">
        <v>33</v>
      </c>
      <c r="I24" t="n">
        <v>18792</v>
      </c>
      <c r="J24" t="inlineStr">
        <is>
          <t>s</t>
        </is>
      </c>
      <c r="K24" t="inlineStr">
        <is>
          <t>s</t>
        </is>
      </c>
      <c r="L24" t="inlineStr">
        <is>
          <t>BS4</t>
        </is>
      </c>
      <c r="M24" t="inlineStr">
        <is>
          <t>Norvind</t>
        </is>
      </c>
      <c r="N24" t="inlineStr">
        <is>
          <t>Elecda</t>
        </is>
      </c>
      <c r="O24" t="inlineStr">
        <is>
          <t>2013/03-2</t>
        </is>
      </c>
      <c r="P24" t="inlineStr">
        <is>
          <t>ELECDA</t>
        </is>
      </c>
      <c r="Q24" t="n">
        <v>3</v>
      </c>
      <c r="R24" t="inlineStr">
        <is>
          <t>D.ALMAGRO 220</t>
        </is>
      </c>
      <c r="S24" t="n">
        <v>2236</v>
      </c>
      <c r="T24" t="n">
        <v>171269</v>
      </c>
      <c r="W24" t="n">
        <v>76.596</v>
      </c>
    </row>
    <row r="25">
      <c r="A25" t="inlineStr">
        <is>
          <t>01-03-2021</t>
        </is>
      </c>
      <c r="B25" t="inlineStr">
        <is>
          <t>01-03-2021</t>
        </is>
      </c>
      <c r="C25" t="inlineStr">
        <is>
          <t>Licitación Norvind y Elecda (SIC 2013/03-2) BS4</t>
        </is>
      </c>
      <c r="D25" t="inlineStr">
        <is>
          <t>Energia Licitaciones</t>
        </is>
      </c>
      <c r="E25" t="inlineStr">
        <is>
          <t>Energía</t>
        </is>
      </c>
      <c r="F25" t="inlineStr">
        <is>
          <t>Lic. SIC 2013/03-2 bloques BS4: Energía mar 2021</t>
        </is>
      </c>
      <c r="G25" t="inlineStr">
        <is>
          <t>2021-04-15 17:15:49</t>
        </is>
      </c>
      <c r="H25" t="n">
        <v>33</v>
      </c>
      <c r="I25" t="n">
        <v>18792</v>
      </c>
      <c r="J25" t="inlineStr">
        <is>
          <t>s</t>
        </is>
      </c>
      <c r="K25" t="inlineStr">
        <is>
          <t>s</t>
        </is>
      </c>
      <c r="L25" t="inlineStr">
        <is>
          <t>BS4</t>
        </is>
      </c>
      <c r="M25" t="inlineStr">
        <is>
          <t>Norvind</t>
        </is>
      </c>
      <c r="N25" t="inlineStr">
        <is>
          <t>Elecda</t>
        </is>
      </c>
      <c r="O25" t="inlineStr">
        <is>
          <t>2013/03-2</t>
        </is>
      </c>
      <c r="P25" t="inlineStr">
        <is>
          <t>ELECDA</t>
        </is>
      </c>
      <c r="Q25" t="n">
        <v>4</v>
      </c>
      <c r="R25" t="inlineStr">
        <is>
          <t>ENCUENTRO 220</t>
        </is>
      </c>
      <c r="S25" t="n">
        <v>0</v>
      </c>
      <c r="T25" t="n">
        <v>0</v>
      </c>
      <c r="W25" t="n">
        <v>84.538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W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01-10-2020</t>
        </is>
      </c>
      <c r="B2" t="inlineStr">
        <is>
          <t>01-10-2020</t>
        </is>
      </c>
      <c r="C2" t="inlineStr">
        <is>
          <t>Licitación Norvind y Elecda (SIC 2013/03-2) BS4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BS4: Potencia oct 2020</t>
        </is>
      </c>
      <c r="G2" t="inlineStr">
        <is>
          <t>2020-11-16 20:31:11</t>
        </is>
      </c>
      <c r="H2" t="n">
        <v>33</v>
      </c>
      <c r="I2" t="n">
        <v>16895</v>
      </c>
      <c r="J2" t="inlineStr">
        <is>
          <t>s</t>
        </is>
      </c>
      <c r="K2" t="inlineStr">
        <is>
          <t>s</t>
        </is>
      </c>
      <c r="L2" t="inlineStr">
        <is>
          <t>BS4</t>
        </is>
      </c>
      <c r="M2" t="inlineStr">
        <is>
          <t>Norvind</t>
        </is>
      </c>
      <c r="N2" t="inlineStr">
        <is>
          <t>Elecda</t>
        </is>
      </c>
      <c r="O2" t="inlineStr">
        <is>
          <t>2013/03-2</t>
        </is>
      </c>
      <c r="P2" t="inlineStr">
        <is>
          <t>ELECDA</t>
        </is>
      </c>
      <c r="Q2" t="n">
        <v>1</v>
      </c>
      <c r="R2" t="inlineStr">
        <is>
          <t>ATACAMA 220</t>
        </is>
      </c>
      <c r="U2" t="n">
        <v>0</v>
      </c>
      <c r="V2" t="n">
        <v>0</v>
      </c>
      <c r="W2" t="n">
        <v>5710.1668</v>
      </c>
    </row>
    <row r="3">
      <c r="A3" t="inlineStr">
        <is>
          <t>01-10-2020</t>
        </is>
      </c>
      <c r="B3" t="inlineStr">
        <is>
          <t>01-10-2020</t>
        </is>
      </c>
      <c r="C3" t="inlineStr">
        <is>
          <t>Licitación Norvind y Elecda (SIC 2013/03-2) BS4</t>
        </is>
      </c>
      <c r="D3" t="inlineStr">
        <is>
          <t>Potencia Licitaciones</t>
        </is>
      </c>
      <c r="E3" t="inlineStr">
        <is>
          <t>Potencia</t>
        </is>
      </c>
      <c r="F3" t="inlineStr">
        <is>
          <t>Lic. SIC 2013/03-2 bloques BS4: Potencia oct 2020</t>
        </is>
      </c>
      <c r="G3" t="inlineStr">
        <is>
          <t>2020-11-16 20:31:11</t>
        </is>
      </c>
      <c r="H3" t="n">
        <v>33</v>
      </c>
      <c r="I3" t="n">
        <v>16895</v>
      </c>
      <c r="J3" t="inlineStr">
        <is>
          <t>s</t>
        </is>
      </c>
      <c r="K3" t="inlineStr">
        <is>
          <t>s</t>
        </is>
      </c>
      <c r="L3" t="inlineStr">
        <is>
          <t>BS4</t>
        </is>
      </c>
      <c r="M3" t="inlineStr">
        <is>
          <t>Norvind</t>
        </is>
      </c>
      <c r="N3" t="inlineStr">
        <is>
          <t>Elecda</t>
        </is>
      </c>
      <c r="O3" t="inlineStr">
        <is>
          <t>2013/03-2</t>
        </is>
      </c>
      <c r="P3" t="inlineStr">
        <is>
          <t>ELECDA</t>
        </is>
      </c>
      <c r="Q3" t="n">
        <v>2</v>
      </c>
      <c r="R3" t="inlineStr">
        <is>
          <t>CRUCERO 220</t>
        </is>
      </c>
      <c r="U3" t="n">
        <v>0</v>
      </c>
      <c r="V3" t="n">
        <v>0</v>
      </c>
      <c r="W3" t="n">
        <v>5628.8657</v>
      </c>
    </row>
    <row r="4">
      <c r="A4" t="inlineStr">
        <is>
          <t>01-10-2020</t>
        </is>
      </c>
      <c r="B4" t="inlineStr">
        <is>
          <t>01-10-2020</t>
        </is>
      </c>
      <c r="C4" t="inlineStr">
        <is>
          <t>Licitación Norvind y Elecda (SIC 2013/03-2) BS4</t>
        </is>
      </c>
      <c r="D4" t="inlineStr">
        <is>
          <t>Potencia Licitaciones</t>
        </is>
      </c>
      <c r="E4" t="inlineStr">
        <is>
          <t>Potencia</t>
        </is>
      </c>
      <c r="F4" t="inlineStr">
        <is>
          <t>Lic. SIC 2013/03-2 bloques BS4: Potencia oct 2020</t>
        </is>
      </c>
      <c r="G4" t="inlineStr">
        <is>
          <t>2020-11-16 20:31:11</t>
        </is>
      </c>
      <c r="H4" t="n">
        <v>33</v>
      </c>
      <c r="I4" t="n">
        <v>16895</v>
      </c>
      <c r="J4" t="inlineStr">
        <is>
          <t>s</t>
        </is>
      </c>
      <c r="K4" t="inlineStr">
        <is>
          <t>s</t>
        </is>
      </c>
      <c r="L4" t="inlineStr">
        <is>
          <t>BS4</t>
        </is>
      </c>
      <c r="M4" t="inlineStr">
        <is>
          <t>Norvind</t>
        </is>
      </c>
      <c r="N4" t="inlineStr">
        <is>
          <t>Elecda</t>
        </is>
      </c>
      <c r="O4" t="inlineStr">
        <is>
          <t>2013/03-2</t>
        </is>
      </c>
      <c r="P4" t="inlineStr">
        <is>
          <t>ELECDA</t>
        </is>
      </c>
      <c r="Q4" t="n">
        <v>3</v>
      </c>
      <c r="R4" t="inlineStr">
        <is>
          <t>D.ALMAGRO 220</t>
        </is>
      </c>
      <c r="U4" t="n">
        <v>6</v>
      </c>
      <c r="V4" t="n">
        <v>34010</v>
      </c>
      <c r="W4" t="n">
        <v>5668.311</v>
      </c>
    </row>
    <row r="5">
      <c r="A5" t="inlineStr">
        <is>
          <t>01-10-2020</t>
        </is>
      </c>
      <c r="B5" t="inlineStr">
        <is>
          <t>01-10-2020</t>
        </is>
      </c>
      <c r="C5" t="inlineStr">
        <is>
          <t>Licitación Norvind y Elecda (SIC 2013/03-2) BS4</t>
        </is>
      </c>
      <c r="D5" t="inlineStr">
        <is>
          <t>Potencia Licitaciones</t>
        </is>
      </c>
      <c r="E5" t="inlineStr">
        <is>
          <t>Potencia</t>
        </is>
      </c>
      <c r="F5" t="inlineStr">
        <is>
          <t>Lic. SIC 2013/03-2 bloques BS4: Potencia oct 2020</t>
        </is>
      </c>
      <c r="G5" t="inlineStr">
        <is>
          <t>2020-11-16 20:31:11</t>
        </is>
      </c>
      <c r="H5" t="n">
        <v>33</v>
      </c>
      <c r="I5" t="n">
        <v>16895</v>
      </c>
      <c r="J5" t="inlineStr">
        <is>
          <t>s</t>
        </is>
      </c>
      <c r="K5" t="inlineStr">
        <is>
          <t>s</t>
        </is>
      </c>
      <c r="L5" t="inlineStr">
        <is>
          <t>BS4</t>
        </is>
      </c>
      <c r="M5" t="inlineStr">
        <is>
          <t>Norvind</t>
        </is>
      </c>
      <c r="N5" t="inlineStr">
        <is>
          <t>Elecda</t>
        </is>
      </c>
      <c r="O5" t="inlineStr">
        <is>
          <t>2013/03-2</t>
        </is>
      </c>
      <c r="P5" t="inlineStr">
        <is>
          <t>ELECDA</t>
        </is>
      </c>
      <c r="Q5" t="n">
        <v>4</v>
      </c>
      <c r="R5" t="inlineStr">
        <is>
          <t>ENCUENTRO 220</t>
        </is>
      </c>
      <c r="U5" t="n">
        <v>0</v>
      </c>
      <c r="V5" t="n">
        <v>0</v>
      </c>
      <c r="W5" t="n">
        <v>5678.0142</v>
      </c>
    </row>
    <row r="6">
      <c r="A6" t="inlineStr">
        <is>
          <t>01-11-2020</t>
        </is>
      </c>
      <c r="B6" t="inlineStr">
        <is>
          <t>01-11-2020</t>
        </is>
      </c>
      <c r="C6" t="inlineStr">
        <is>
          <t>Licitación Norvind y Elecda (SIC 2013/03-2) BS4</t>
        </is>
      </c>
      <c r="D6" t="inlineStr">
        <is>
          <t>Potencia Licitaciones</t>
        </is>
      </c>
      <c r="E6" t="inlineStr">
        <is>
          <t>Potencia</t>
        </is>
      </c>
      <c r="F6" t="inlineStr">
        <is>
          <t>Lic. SIC 2013/03-2 bloques BS4: Potencia nov 2020</t>
        </is>
      </c>
      <c r="G6" t="inlineStr">
        <is>
          <t>2020-12-28 17:05:44</t>
        </is>
      </c>
      <c r="H6" t="n">
        <v>33</v>
      </c>
      <c r="I6" t="n">
        <v>17457</v>
      </c>
      <c r="J6" t="inlineStr">
        <is>
          <t>s</t>
        </is>
      </c>
      <c r="K6" t="inlineStr">
        <is>
          <t>s</t>
        </is>
      </c>
      <c r="L6" t="inlineStr">
        <is>
          <t>BS4</t>
        </is>
      </c>
      <c r="M6" t="inlineStr">
        <is>
          <t>Norvind</t>
        </is>
      </c>
      <c r="N6" t="inlineStr">
        <is>
          <t>Elecda</t>
        </is>
      </c>
      <c r="O6" t="inlineStr">
        <is>
          <t>2013/03-2</t>
        </is>
      </c>
      <c r="P6" t="inlineStr">
        <is>
          <t>ELECDA</t>
        </is>
      </c>
      <c r="Q6" t="n">
        <v>1</v>
      </c>
      <c r="R6" t="inlineStr">
        <is>
          <t>ATACAMA 220</t>
        </is>
      </c>
      <c r="U6" t="n">
        <v>0</v>
      </c>
      <c r="V6" t="n">
        <v>0</v>
      </c>
      <c r="W6" t="n">
        <v>5710.1668</v>
      </c>
    </row>
    <row r="7">
      <c r="A7" t="inlineStr">
        <is>
          <t>01-11-2020</t>
        </is>
      </c>
      <c r="B7" t="inlineStr">
        <is>
          <t>01-11-2020</t>
        </is>
      </c>
      <c r="C7" t="inlineStr">
        <is>
          <t>Licitación Norvind y Elecda (SIC 2013/03-2) BS4</t>
        </is>
      </c>
      <c r="D7" t="inlineStr">
        <is>
          <t>Potencia Licitaciones</t>
        </is>
      </c>
      <c r="E7" t="inlineStr">
        <is>
          <t>Potencia</t>
        </is>
      </c>
      <c r="F7" t="inlineStr">
        <is>
          <t>Lic. SIC 2013/03-2 bloques BS4: Potencia nov 2020</t>
        </is>
      </c>
      <c r="G7" t="inlineStr">
        <is>
          <t>2020-12-28 17:05:44</t>
        </is>
      </c>
      <c r="H7" t="n">
        <v>33</v>
      </c>
      <c r="I7" t="n">
        <v>17457</v>
      </c>
      <c r="J7" t="inlineStr">
        <is>
          <t>s</t>
        </is>
      </c>
      <c r="K7" t="inlineStr">
        <is>
          <t>s</t>
        </is>
      </c>
      <c r="L7" t="inlineStr">
        <is>
          <t>BS4</t>
        </is>
      </c>
      <c r="M7" t="inlineStr">
        <is>
          <t>Norvind</t>
        </is>
      </c>
      <c r="N7" t="inlineStr">
        <is>
          <t>Elecda</t>
        </is>
      </c>
      <c r="O7" t="inlineStr">
        <is>
          <t>2013/03-2</t>
        </is>
      </c>
      <c r="P7" t="inlineStr">
        <is>
          <t>ELECDA</t>
        </is>
      </c>
      <c r="Q7" t="n">
        <v>2</v>
      </c>
      <c r="R7" t="inlineStr">
        <is>
          <t>CRUCERO 220</t>
        </is>
      </c>
      <c r="U7" t="n">
        <v>0</v>
      </c>
      <c r="V7" t="n">
        <v>0</v>
      </c>
      <c r="W7" t="n">
        <v>5628.8657</v>
      </c>
    </row>
    <row r="8">
      <c r="A8" t="inlineStr">
        <is>
          <t>01-11-2020</t>
        </is>
      </c>
      <c r="B8" t="inlineStr">
        <is>
          <t>01-11-2020</t>
        </is>
      </c>
      <c r="C8" t="inlineStr">
        <is>
          <t>Licitación Norvind y Elecda (SIC 2013/03-2) BS4</t>
        </is>
      </c>
      <c r="D8" t="inlineStr">
        <is>
          <t>Potencia Licitaciones</t>
        </is>
      </c>
      <c r="E8" t="inlineStr">
        <is>
          <t>Potencia</t>
        </is>
      </c>
      <c r="F8" t="inlineStr">
        <is>
          <t>Lic. SIC 2013/03-2 bloques BS4: Potencia nov 2020</t>
        </is>
      </c>
      <c r="G8" t="inlineStr">
        <is>
          <t>2020-12-28 17:05:44</t>
        </is>
      </c>
      <c r="H8" t="n">
        <v>33</v>
      </c>
      <c r="I8" t="n">
        <v>17457</v>
      </c>
      <c r="J8" t="inlineStr">
        <is>
          <t>s</t>
        </is>
      </c>
      <c r="K8" t="inlineStr">
        <is>
          <t>s</t>
        </is>
      </c>
      <c r="L8" t="inlineStr">
        <is>
          <t>BS4</t>
        </is>
      </c>
      <c r="M8" t="inlineStr">
        <is>
          <t>Norvind</t>
        </is>
      </c>
      <c r="N8" t="inlineStr">
        <is>
          <t>Elecda</t>
        </is>
      </c>
      <c r="O8" t="inlineStr">
        <is>
          <t>2013/03-2</t>
        </is>
      </c>
      <c r="P8" t="inlineStr">
        <is>
          <t>ELECDA</t>
        </is>
      </c>
      <c r="Q8" t="n">
        <v>3</v>
      </c>
      <c r="R8" t="inlineStr">
        <is>
          <t>D.ALMAGRO 220</t>
        </is>
      </c>
      <c r="U8" t="n">
        <v>6</v>
      </c>
      <c r="V8" t="n">
        <v>34010</v>
      </c>
      <c r="W8" t="n">
        <v>5668.311</v>
      </c>
    </row>
    <row r="9">
      <c r="A9" t="inlineStr">
        <is>
          <t>01-11-2020</t>
        </is>
      </c>
      <c r="B9" t="inlineStr">
        <is>
          <t>01-11-2020</t>
        </is>
      </c>
      <c r="C9" t="inlineStr">
        <is>
          <t>Licitación Norvind y Elecda (SIC 2013/03-2) BS4</t>
        </is>
      </c>
      <c r="D9" t="inlineStr">
        <is>
          <t>Potencia Licitaciones</t>
        </is>
      </c>
      <c r="E9" t="inlineStr">
        <is>
          <t>Potencia</t>
        </is>
      </c>
      <c r="F9" t="inlineStr">
        <is>
          <t>Lic. SIC 2013/03-2 bloques BS4: Potencia nov 2020</t>
        </is>
      </c>
      <c r="G9" t="inlineStr">
        <is>
          <t>2020-12-28 17:05:44</t>
        </is>
      </c>
      <c r="H9" t="n">
        <v>33</v>
      </c>
      <c r="I9" t="n">
        <v>17457</v>
      </c>
      <c r="J9" t="inlineStr">
        <is>
          <t>s</t>
        </is>
      </c>
      <c r="K9" t="inlineStr">
        <is>
          <t>s</t>
        </is>
      </c>
      <c r="L9" t="inlineStr">
        <is>
          <t>BS4</t>
        </is>
      </c>
      <c r="M9" t="inlineStr">
        <is>
          <t>Norvind</t>
        </is>
      </c>
      <c r="N9" t="inlineStr">
        <is>
          <t>Elecda</t>
        </is>
      </c>
      <c r="O9" t="inlineStr">
        <is>
          <t>2013/03-2</t>
        </is>
      </c>
      <c r="P9" t="inlineStr">
        <is>
          <t>ELECDA</t>
        </is>
      </c>
      <c r="Q9" t="n">
        <v>4</v>
      </c>
      <c r="R9" t="inlineStr">
        <is>
          <t>ENCUENTRO 220</t>
        </is>
      </c>
      <c r="U9" t="n">
        <v>0</v>
      </c>
      <c r="V9" t="n">
        <v>0</v>
      </c>
      <c r="W9" t="n">
        <v>5678.0142</v>
      </c>
    </row>
    <row r="10">
      <c r="A10" t="inlineStr">
        <is>
          <t>01-12-2020</t>
        </is>
      </c>
      <c r="B10" t="inlineStr">
        <is>
          <t>01-12-2020</t>
        </is>
      </c>
      <c r="C10" t="inlineStr">
        <is>
          <t>Licitación Norvind y Elecda (SIC 2013/03-2) BS4</t>
        </is>
      </c>
      <c r="D10" t="inlineStr">
        <is>
          <t>Potencia Licitaciones</t>
        </is>
      </c>
      <c r="E10" t="inlineStr">
        <is>
          <t>Potencia</t>
        </is>
      </c>
      <c r="F10" t="inlineStr">
        <is>
          <t>Lic. SIC 2013/03-2 bloques BS4: Potencia dic 2020</t>
        </is>
      </c>
      <c r="G10" t="inlineStr">
        <is>
          <t>2021-01-15 16:43:02</t>
        </is>
      </c>
      <c r="H10" t="n">
        <v>33</v>
      </c>
      <c r="I10" t="n">
        <v>17485</v>
      </c>
      <c r="J10" t="inlineStr">
        <is>
          <t>s</t>
        </is>
      </c>
      <c r="K10" t="inlineStr">
        <is>
          <t>s</t>
        </is>
      </c>
      <c r="L10" t="inlineStr">
        <is>
          <t>BS4</t>
        </is>
      </c>
      <c r="M10" t="inlineStr">
        <is>
          <t>Norvind</t>
        </is>
      </c>
      <c r="N10" t="inlineStr">
        <is>
          <t>Elecda</t>
        </is>
      </c>
      <c r="O10" t="inlineStr">
        <is>
          <t>2013/03-2</t>
        </is>
      </c>
      <c r="P10" t="inlineStr">
        <is>
          <t>ELECDA</t>
        </is>
      </c>
      <c r="Q10" t="n">
        <v>1</v>
      </c>
      <c r="R10" t="inlineStr">
        <is>
          <t>ATACAMA 220</t>
        </is>
      </c>
      <c r="U10" t="n">
        <v>0</v>
      </c>
      <c r="V10" t="n">
        <v>0</v>
      </c>
      <c r="W10" t="n">
        <v>5710.1668</v>
      </c>
    </row>
    <row r="11">
      <c r="A11" t="inlineStr">
        <is>
          <t>01-12-2020</t>
        </is>
      </c>
      <c r="B11" t="inlineStr">
        <is>
          <t>01-12-2020</t>
        </is>
      </c>
      <c r="C11" t="inlineStr">
        <is>
          <t>Licitación Norvind y Elecda (SIC 2013/03-2) BS4</t>
        </is>
      </c>
      <c r="D11" t="inlineStr">
        <is>
          <t>Potencia Licitaciones</t>
        </is>
      </c>
      <c r="E11" t="inlineStr">
        <is>
          <t>Potencia</t>
        </is>
      </c>
      <c r="F11" t="inlineStr">
        <is>
          <t>Lic. SIC 2013/03-2 bloques BS4: Potencia dic 2020</t>
        </is>
      </c>
      <c r="G11" t="inlineStr">
        <is>
          <t>2021-01-15 16:43:02</t>
        </is>
      </c>
      <c r="H11" t="n">
        <v>33</v>
      </c>
      <c r="I11" t="n">
        <v>17485</v>
      </c>
      <c r="J11" t="inlineStr">
        <is>
          <t>s</t>
        </is>
      </c>
      <c r="K11" t="inlineStr">
        <is>
          <t>s</t>
        </is>
      </c>
      <c r="L11" t="inlineStr">
        <is>
          <t>BS4</t>
        </is>
      </c>
      <c r="M11" t="inlineStr">
        <is>
          <t>Norvind</t>
        </is>
      </c>
      <c r="N11" t="inlineStr">
        <is>
          <t>Elecda</t>
        </is>
      </c>
      <c r="O11" t="inlineStr">
        <is>
          <t>2013/03-2</t>
        </is>
      </c>
      <c r="P11" t="inlineStr">
        <is>
          <t>ELECDA</t>
        </is>
      </c>
      <c r="Q11" t="n">
        <v>2</v>
      </c>
      <c r="R11" t="inlineStr">
        <is>
          <t>CRUCERO 220</t>
        </is>
      </c>
      <c r="U11" t="n">
        <v>0</v>
      </c>
      <c r="V11" t="n">
        <v>0</v>
      </c>
      <c r="W11" t="n">
        <v>5628.8657</v>
      </c>
    </row>
    <row r="12">
      <c r="A12" t="inlineStr">
        <is>
          <t>01-12-2020</t>
        </is>
      </c>
      <c r="B12" t="inlineStr">
        <is>
          <t>01-12-2020</t>
        </is>
      </c>
      <c r="C12" t="inlineStr">
        <is>
          <t>Licitación Norvind y Elecda (SIC 2013/03-2) BS4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BS4: Potencia dic 2020</t>
        </is>
      </c>
      <c r="G12" t="inlineStr">
        <is>
          <t>2021-01-15 16:43:02</t>
        </is>
      </c>
      <c r="H12" t="n">
        <v>33</v>
      </c>
      <c r="I12" t="n">
        <v>17485</v>
      </c>
      <c r="J12" t="inlineStr">
        <is>
          <t>s</t>
        </is>
      </c>
      <c r="K12" t="inlineStr">
        <is>
          <t>s</t>
        </is>
      </c>
      <c r="L12" t="inlineStr">
        <is>
          <t>BS4</t>
        </is>
      </c>
      <c r="M12" t="inlineStr">
        <is>
          <t>Norvind</t>
        </is>
      </c>
      <c r="N12" t="inlineStr">
        <is>
          <t>Elecda</t>
        </is>
      </c>
      <c r="O12" t="inlineStr">
        <is>
          <t>2013/03-2</t>
        </is>
      </c>
      <c r="P12" t="inlineStr">
        <is>
          <t>ELECDA</t>
        </is>
      </c>
      <c r="Q12" t="n">
        <v>3</v>
      </c>
      <c r="R12" t="inlineStr">
        <is>
          <t>D.ALMAGRO 220</t>
        </is>
      </c>
      <c r="U12" t="n">
        <v>6</v>
      </c>
      <c r="V12" t="n">
        <v>34010</v>
      </c>
      <c r="W12" t="n">
        <v>5668.311</v>
      </c>
    </row>
    <row r="13">
      <c r="A13" t="inlineStr">
        <is>
          <t>01-12-2020</t>
        </is>
      </c>
      <c r="B13" t="inlineStr">
        <is>
          <t>01-12-2020</t>
        </is>
      </c>
      <c r="C13" t="inlineStr">
        <is>
          <t>Licitación Norvind y Elecda (SIC 2013/03-2) BS4</t>
        </is>
      </c>
      <c r="D13" t="inlineStr">
        <is>
          <t>Potencia Licitaciones</t>
        </is>
      </c>
      <c r="E13" t="inlineStr">
        <is>
          <t>Potencia</t>
        </is>
      </c>
      <c r="F13" t="inlineStr">
        <is>
          <t>Lic. SIC 2013/03-2 bloques BS4: Potencia dic 2020</t>
        </is>
      </c>
      <c r="G13" t="inlineStr">
        <is>
          <t>2021-01-15 16:43:02</t>
        </is>
      </c>
      <c r="H13" t="n">
        <v>33</v>
      </c>
      <c r="I13" t="n">
        <v>17485</v>
      </c>
      <c r="J13" t="inlineStr">
        <is>
          <t>s</t>
        </is>
      </c>
      <c r="K13" t="inlineStr">
        <is>
          <t>s</t>
        </is>
      </c>
      <c r="L13" t="inlineStr">
        <is>
          <t>BS4</t>
        </is>
      </c>
      <c r="M13" t="inlineStr">
        <is>
          <t>Norvind</t>
        </is>
      </c>
      <c r="N13" t="inlineStr">
        <is>
          <t>Elecda</t>
        </is>
      </c>
      <c r="O13" t="inlineStr">
        <is>
          <t>2013/03-2</t>
        </is>
      </c>
      <c r="P13" t="inlineStr">
        <is>
          <t>ELECDA</t>
        </is>
      </c>
      <c r="Q13" t="n">
        <v>4</v>
      </c>
      <c r="R13" t="inlineStr">
        <is>
          <t>ENCUENTRO 220</t>
        </is>
      </c>
      <c r="U13" t="n">
        <v>0</v>
      </c>
      <c r="V13" t="n">
        <v>0</v>
      </c>
      <c r="W13" t="n">
        <v>5678.0142</v>
      </c>
    </row>
    <row r="14">
      <c r="A14" t="inlineStr">
        <is>
          <t>01-01-2021</t>
        </is>
      </c>
      <c r="B14" t="inlineStr">
        <is>
          <t>01-01-2021</t>
        </is>
      </c>
      <c r="C14" t="inlineStr">
        <is>
          <t>Licitación Norvind y Elecda (SIC 2013/03-2) BS4</t>
        </is>
      </c>
      <c r="D14" t="inlineStr">
        <is>
          <t>Potencia Licitaciones</t>
        </is>
      </c>
      <c r="E14" t="inlineStr">
        <is>
          <t>Potencia</t>
        </is>
      </c>
      <c r="F14" t="inlineStr">
        <is>
          <t>Lic. SIC 2013/03-2 bloques BS4: Potencia ene 2021</t>
        </is>
      </c>
      <c r="G14" t="inlineStr">
        <is>
          <t>2021-02-13 16:01:26</t>
        </is>
      </c>
      <c r="H14" t="n">
        <v>33</v>
      </c>
      <c r="I14" t="n">
        <v>17762</v>
      </c>
      <c r="J14" t="inlineStr">
        <is>
          <t>s</t>
        </is>
      </c>
      <c r="K14" t="inlineStr">
        <is>
          <t>s</t>
        </is>
      </c>
      <c r="L14" t="inlineStr">
        <is>
          <t>BS4</t>
        </is>
      </c>
      <c r="M14" t="inlineStr">
        <is>
          <t>Norvind</t>
        </is>
      </c>
      <c r="N14" t="inlineStr">
        <is>
          <t>Elecda</t>
        </is>
      </c>
      <c r="O14" t="inlineStr">
        <is>
          <t>2013/03-2</t>
        </is>
      </c>
      <c r="P14" t="inlineStr">
        <is>
          <t>ELECDA</t>
        </is>
      </c>
      <c r="Q14" t="n">
        <v>1</v>
      </c>
      <c r="R14" t="inlineStr">
        <is>
          <t>ATACAMA 220</t>
        </is>
      </c>
      <c r="U14" t="n">
        <v>0</v>
      </c>
      <c r="V14" t="n">
        <v>0</v>
      </c>
      <c r="W14" t="n">
        <v>5710.1668</v>
      </c>
    </row>
    <row r="15">
      <c r="A15" t="inlineStr">
        <is>
          <t>01-01-2021</t>
        </is>
      </c>
      <c r="B15" t="inlineStr">
        <is>
          <t>01-01-2021</t>
        </is>
      </c>
      <c r="C15" t="inlineStr">
        <is>
          <t>Licitación Norvind y Elecda (SIC 2013/03-2) BS4</t>
        </is>
      </c>
      <c r="D15" t="inlineStr">
        <is>
          <t>Potencia Licitaciones</t>
        </is>
      </c>
      <c r="E15" t="inlineStr">
        <is>
          <t>Potencia</t>
        </is>
      </c>
      <c r="F15" t="inlineStr">
        <is>
          <t>Lic. SIC 2013/03-2 bloques BS4: Potencia ene 2021</t>
        </is>
      </c>
      <c r="G15" t="inlineStr">
        <is>
          <t>2021-02-13 16:01:26</t>
        </is>
      </c>
      <c r="H15" t="n">
        <v>33</v>
      </c>
      <c r="I15" t="n">
        <v>17762</v>
      </c>
      <c r="J15" t="inlineStr">
        <is>
          <t>s</t>
        </is>
      </c>
      <c r="K15" t="inlineStr">
        <is>
          <t>s</t>
        </is>
      </c>
      <c r="L15" t="inlineStr">
        <is>
          <t>BS4</t>
        </is>
      </c>
      <c r="M15" t="inlineStr">
        <is>
          <t>Norvind</t>
        </is>
      </c>
      <c r="N15" t="inlineStr">
        <is>
          <t>Elecda</t>
        </is>
      </c>
      <c r="O15" t="inlineStr">
        <is>
          <t>2013/03-2</t>
        </is>
      </c>
      <c r="P15" t="inlineStr">
        <is>
          <t>ELECDA</t>
        </is>
      </c>
      <c r="Q15" t="n">
        <v>2</v>
      </c>
      <c r="R15" t="inlineStr">
        <is>
          <t>CRUCERO 220</t>
        </is>
      </c>
      <c r="U15" t="n">
        <v>0</v>
      </c>
      <c r="V15" t="n">
        <v>0</v>
      </c>
      <c r="W15" t="n">
        <v>5628.8657</v>
      </c>
    </row>
    <row r="16">
      <c r="A16" t="inlineStr">
        <is>
          <t>01-01-2021</t>
        </is>
      </c>
      <c r="B16" t="inlineStr">
        <is>
          <t>01-01-2021</t>
        </is>
      </c>
      <c r="C16" t="inlineStr">
        <is>
          <t>Licitación Norvind y Elecda (SIC 2013/03-2) BS4</t>
        </is>
      </c>
      <c r="D16" t="inlineStr">
        <is>
          <t>Potencia Licitaciones</t>
        </is>
      </c>
      <c r="E16" t="inlineStr">
        <is>
          <t>Potencia</t>
        </is>
      </c>
      <c r="F16" t="inlineStr">
        <is>
          <t>Lic. SIC 2013/03-2 bloques BS4: Potencia ene 2021</t>
        </is>
      </c>
      <c r="G16" t="inlineStr">
        <is>
          <t>2021-02-13 16:01:26</t>
        </is>
      </c>
      <c r="H16" t="n">
        <v>33</v>
      </c>
      <c r="I16" t="n">
        <v>17762</v>
      </c>
      <c r="J16" t="inlineStr">
        <is>
          <t>s</t>
        </is>
      </c>
      <c r="K16" t="inlineStr">
        <is>
          <t>s</t>
        </is>
      </c>
      <c r="L16" t="inlineStr">
        <is>
          <t>BS4</t>
        </is>
      </c>
      <c r="M16" t="inlineStr">
        <is>
          <t>Norvind</t>
        </is>
      </c>
      <c r="N16" t="inlineStr">
        <is>
          <t>Elecda</t>
        </is>
      </c>
      <c r="O16" t="inlineStr">
        <is>
          <t>2013/03-2</t>
        </is>
      </c>
      <c r="P16" t="inlineStr">
        <is>
          <t>ELECDA</t>
        </is>
      </c>
      <c r="Q16" t="n">
        <v>3</v>
      </c>
      <c r="R16" t="inlineStr">
        <is>
          <t>D.ALMAGRO 220</t>
        </is>
      </c>
      <c r="U16" t="n">
        <v>5</v>
      </c>
      <c r="V16" t="n">
        <v>28342</v>
      </c>
      <c r="W16" t="n">
        <v>5668.311</v>
      </c>
    </row>
    <row r="17">
      <c r="A17" t="inlineStr">
        <is>
          <t>01-01-2021</t>
        </is>
      </c>
      <c r="B17" t="inlineStr">
        <is>
          <t>01-01-2021</t>
        </is>
      </c>
      <c r="C17" t="inlineStr">
        <is>
          <t>Licitación Norvind y Elecda (SIC 2013/03-2) BS4</t>
        </is>
      </c>
      <c r="D17" t="inlineStr">
        <is>
          <t>Potencia Licitaciones</t>
        </is>
      </c>
      <c r="E17" t="inlineStr">
        <is>
          <t>Potencia</t>
        </is>
      </c>
      <c r="F17" t="inlineStr">
        <is>
          <t>Lic. SIC 2013/03-2 bloques BS4: Potencia ene 2021</t>
        </is>
      </c>
      <c r="G17" t="inlineStr">
        <is>
          <t>2021-02-13 16:01:26</t>
        </is>
      </c>
      <c r="H17" t="n">
        <v>33</v>
      </c>
      <c r="I17" t="n">
        <v>17762</v>
      </c>
      <c r="J17" t="inlineStr">
        <is>
          <t>s</t>
        </is>
      </c>
      <c r="K17" t="inlineStr">
        <is>
          <t>s</t>
        </is>
      </c>
      <c r="L17" t="inlineStr">
        <is>
          <t>BS4</t>
        </is>
      </c>
      <c r="M17" t="inlineStr">
        <is>
          <t>Norvind</t>
        </is>
      </c>
      <c r="N17" t="inlineStr">
        <is>
          <t>Elecda</t>
        </is>
      </c>
      <c r="O17" t="inlineStr">
        <is>
          <t>2013/03-2</t>
        </is>
      </c>
      <c r="P17" t="inlineStr">
        <is>
          <t>ELECDA</t>
        </is>
      </c>
      <c r="Q17" t="n">
        <v>4</v>
      </c>
      <c r="R17" t="inlineStr">
        <is>
          <t>ENCUENTRO 220</t>
        </is>
      </c>
      <c r="U17" t="n">
        <v>0</v>
      </c>
      <c r="V17" t="n">
        <v>0</v>
      </c>
      <c r="W17" t="n">
        <v>5678.0142</v>
      </c>
    </row>
    <row r="18">
      <c r="A18" t="inlineStr">
        <is>
          <t>01-02-2021</t>
        </is>
      </c>
      <c r="B18" t="inlineStr">
        <is>
          <t>01-02-2021</t>
        </is>
      </c>
      <c r="C18" t="inlineStr">
        <is>
          <t>Licitación Norvind y Elecda (SIC 2013/03-2) BS4</t>
        </is>
      </c>
      <c r="D18" t="inlineStr">
        <is>
          <t>Potencia Licitaciones</t>
        </is>
      </c>
      <c r="E18" t="inlineStr">
        <is>
          <t>Potencia</t>
        </is>
      </c>
      <c r="F18" t="inlineStr">
        <is>
          <t>Lic. SIC 2013/03-2 bloques BS4: Potencia feb 2021</t>
        </is>
      </c>
      <c r="G18" t="inlineStr">
        <is>
          <t>2021-03-12 15:41:59</t>
        </is>
      </c>
      <c r="H18" t="n">
        <v>33</v>
      </c>
      <c r="I18" t="n">
        <v>18078</v>
      </c>
      <c r="J18" t="inlineStr">
        <is>
          <t>s</t>
        </is>
      </c>
      <c r="K18" t="inlineStr">
        <is>
          <t>s</t>
        </is>
      </c>
      <c r="L18" t="inlineStr">
        <is>
          <t>BS4</t>
        </is>
      </c>
      <c r="M18" t="inlineStr">
        <is>
          <t>Norvind</t>
        </is>
      </c>
      <c r="N18" t="inlineStr">
        <is>
          <t>Elecda</t>
        </is>
      </c>
      <c r="O18" t="inlineStr">
        <is>
          <t>2013/03-2</t>
        </is>
      </c>
      <c r="P18" t="inlineStr">
        <is>
          <t>ELECDA</t>
        </is>
      </c>
      <c r="Q18" t="n">
        <v>1</v>
      </c>
      <c r="R18" t="inlineStr">
        <is>
          <t>ATACAMA 220</t>
        </is>
      </c>
      <c r="U18" t="n">
        <v>0</v>
      </c>
      <c r="V18" t="n">
        <v>0</v>
      </c>
      <c r="W18" t="n">
        <v>5710.1668</v>
      </c>
    </row>
    <row r="19">
      <c r="A19" t="inlineStr">
        <is>
          <t>01-02-2021</t>
        </is>
      </c>
      <c r="B19" t="inlineStr">
        <is>
          <t>01-02-2021</t>
        </is>
      </c>
      <c r="C19" t="inlineStr">
        <is>
          <t>Licitación Norvind y Elecda (SIC 2013/03-2) BS4</t>
        </is>
      </c>
      <c r="D19" t="inlineStr">
        <is>
          <t>Potencia Licitaciones</t>
        </is>
      </c>
      <c r="E19" t="inlineStr">
        <is>
          <t>Potencia</t>
        </is>
      </c>
      <c r="F19" t="inlineStr">
        <is>
          <t>Lic. SIC 2013/03-2 bloques BS4: Potencia feb 2021</t>
        </is>
      </c>
      <c r="G19" t="inlineStr">
        <is>
          <t>2021-03-12 15:41:59</t>
        </is>
      </c>
      <c r="H19" t="n">
        <v>33</v>
      </c>
      <c r="I19" t="n">
        <v>18078</v>
      </c>
      <c r="J19" t="inlineStr">
        <is>
          <t>s</t>
        </is>
      </c>
      <c r="K19" t="inlineStr">
        <is>
          <t>s</t>
        </is>
      </c>
      <c r="L19" t="inlineStr">
        <is>
          <t>BS4</t>
        </is>
      </c>
      <c r="M19" t="inlineStr">
        <is>
          <t>Norvind</t>
        </is>
      </c>
      <c r="N19" t="inlineStr">
        <is>
          <t>Elecda</t>
        </is>
      </c>
      <c r="O19" t="inlineStr">
        <is>
          <t>2013/03-2</t>
        </is>
      </c>
      <c r="P19" t="inlineStr">
        <is>
          <t>ELECDA</t>
        </is>
      </c>
      <c r="Q19" t="n">
        <v>2</v>
      </c>
      <c r="R19" t="inlineStr">
        <is>
          <t>CRUCERO 220</t>
        </is>
      </c>
      <c r="U19" t="n">
        <v>0</v>
      </c>
      <c r="V19" t="n">
        <v>0</v>
      </c>
      <c r="W19" t="n">
        <v>5628.8657</v>
      </c>
    </row>
    <row r="20">
      <c r="A20" t="inlineStr">
        <is>
          <t>01-02-2021</t>
        </is>
      </c>
      <c r="B20" t="inlineStr">
        <is>
          <t>01-02-2021</t>
        </is>
      </c>
      <c r="C20" t="inlineStr">
        <is>
          <t>Licitación Norvind y Elecda (SIC 2013/03-2) BS4</t>
        </is>
      </c>
      <c r="D20" t="inlineStr">
        <is>
          <t>Potencia Licitaciones</t>
        </is>
      </c>
      <c r="E20" t="inlineStr">
        <is>
          <t>Potencia</t>
        </is>
      </c>
      <c r="F20" t="inlineStr">
        <is>
          <t>Lic. SIC 2013/03-2 bloques BS4: Potencia feb 2021</t>
        </is>
      </c>
      <c r="G20" t="inlineStr">
        <is>
          <t>2021-03-12 15:41:59</t>
        </is>
      </c>
      <c r="H20" t="n">
        <v>33</v>
      </c>
      <c r="I20" t="n">
        <v>18078</v>
      </c>
      <c r="J20" t="inlineStr">
        <is>
          <t>s</t>
        </is>
      </c>
      <c r="K20" t="inlineStr">
        <is>
          <t>s</t>
        </is>
      </c>
      <c r="L20" t="inlineStr">
        <is>
          <t>BS4</t>
        </is>
      </c>
      <c r="M20" t="inlineStr">
        <is>
          <t>Norvind</t>
        </is>
      </c>
      <c r="N20" t="inlineStr">
        <is>
          <t>Elecda</t>
        </is>
      </c>
      <c r="O20" t="inlineStr">
        <is>
          <t>2013/03-2</t>
        </is>
      </c>
      <c r="P20" t="inlineStr">
        <is>
          <t>ELECDA</t>
        </is>
      </c>
      <c r="Q20" t="n">
        <v>3</v>
      </c>
      <c r="R20" t="inlineStr">
        <is>
          <t>D.ALMAGRO 220</t>
        </is>
      </c>
      <c r="U20" t="n">
        <v>5</v>
      </c>
      <c r="V20" t="n">
        <v>28342</v>
      </c>
      <c r="W20" t="n">
        <v>5668.311</v>
      </c>
    </row>
    <row r="21">
      <c r="A21" t="inlineStr">
        <is>
          <t>01-02-2021</t>
        </is>
      </c>
      <c r="B21" t="inlineStr">
        <is>
          <t>01-02-2021</t>
        </is>
      </c>
      <c r="C21" t="inlineStr">
        <is>
          <t>Licitación Norvind y Elecda (SIC 2013/03-2) BS4</t>
        </is>
      </c>
      <c r="D21" t="inlineStr">
        <is>
          <t>Potencia Licitaciones</t>
        </is>
      </c>
      <c r="E21" t="inlineStr">
        <is>
          <t>Potencia</t>
        </is>
      </c>
      <c r="F21" t="inlineStr">
        <is>
          <t>Lic. SIC 2013/03-2 bloques BS4: Potencia feb 2021</t>
        </is>
      </c>
      <c r="G21" t="inlineStr">
        <is>
          <t>2021-03-12 15:41:59</t>
        </is>
      </c>
      <c r="H21" t="n">
        <v>33</v>
      </c>
      <c r="I21" t="n">
        <v>18078</v>
      </c>
      <c r="J21" t="inlineStr">
        <is>
          <t>s</t>
        </is>
      </c>
      <c r="K21" t="inlineStr">
        <is>
          <t>s</t>
        </is>
      </c>
      <c r="L21" t="inlineStr">
        <is>
          <t>BS4</t>
        </is>
      </c>
      <c r="M21" t="inlineStr">
        <is>
          <t>Norvind</t>
        </is>
      </c>
      <c r="N21" t="inlineStr">
        <is>
          <t>Elecda</t>
        </is>
      </c>
      <c r="O21" t="inlineStr">
        <is>
          <t>2013/03-2</t>
        </is>
      </c>
      <c r="P21" t="inlineStr">
        <is>
          <t>ELECDA</t>
        </is>
      </c>
      <c r="Q21" t="n">
        <v>4</v>
      </c>
      <c r="R21" t="inlineStr">
        <is>
          <t>ENCUENTRO 220</t>
        </is>
      </c>
      <c r="U21" t="n">
        <v>0</v>
      </c>
      <c r="V21" t="n">
        <v>0</v>
      </c>
      <c r="W21" t="n">
        <v>5678.0142</v>
      </c>
    </row>
    <row r="22">
      <c r="A22" t="inlineStr">
        <is>
          <t>01-03-2021</t>
        </is>
      </c>
      <c r="B22" t="inlineStr">
        <is>
          <t>01-03-2021</t>
        </is>
      </c>
      <c r="C22" t="inlineStr">
        <is>
          <t>Licitación Norvind y Elecda (SIC 2013/03-2) BS4</t>
        </is>
      </c>
      <c r="D22" t="inlineStr">
        <is>
          <t>Potencia Licitaciones</t>
        </is>
      </c>
      <c r="E22" t="inlineStr">
        <is>
          <t>Potencia</t>
        </is>
      </c>
      <c r="F22" t="inlineStr">
        <is>
          <t>Lic. SIC 2013/03-2 bloques BS4: Potencia mar 2021</t>
        </is>
      </c>
      <c r="G22" t="inlineStr">
        <is>
          <t>2021-04-15 17:15:49</t>
        </is>
      </c>
      <c r="H22" t="n">
        <v>33</v>
      </c>
      <c r="I22" t="n">
        <v>18792</v>
      </c>
      <c r="J22" t="inlineStr">
        <is>
          <t>s</t>
        </is>
      </c>
      <c r="K22" t="inlineStr">
        <is>
          <t>s</t>
        </is>
      </c>
      <c r="L22" t="inlineStr">
        <is>
          <t>BS4</t>
        </is>
      </c>
      <c r="M22" t="inlineStr">
        <is>
          <t>Norvind</t>
        </is>
      </c>
      <c r="N22" t="inlineStr">
        <is>
          <t>Elecda</t>
        </is>
      </c>
      <c r="O22" t="inlineStr">
        <is>
          <t>2013/03-2</t>
        </is>
      </c>
      <c r="P22" t="inlineStr">
        <is>
          <t>ELECDA</t>
        </is>
      </c>
      <c r="Q22" t="n">
        <v>1</v>
      </c>
      <c r="R22" t="inlineStr">
        <is>
          <t>ATACAMA 220</t>
        </is>
      </c>
      <c r="U22" t="n">
        <v>0</v>
      </c>
      <c r="V22" t="n">
        <v>0</v>
      </c>
      <c r="W22" t="n">
        <v>5459.7042</v>
      </c>
    </row>
    <row r="23">
      <c r="A23" t="inlineStr">
        <is>
          <t>01-03-2021</t>
        </is>
      </c>
      <c r="B23" t="inlineStr">
        <is>
          <t>01-03-2021</t>
        </is>
      </c>
      <c r="C23" t="inlineStr">
        <is>
          <t>Licitación Norvind y Elecda (SIC 2013/03-2) BS4</t>
        </is>
      </c>
      <c r="D23" t="inlineStr">
        <is>
          <t>Potencia Licitaciones</t>
        </is>
      </c>
      <c r="E23" t="inlineStr">
        <is>
          <t>Potencia</t>
        </is>
      </c>
      <c r="F23" t="inlineStr">
        <is>
          <t>Lic. SIC 2013/03-2 bloques BS4: Potencia mar 2021</t>
        </is>
      </c>
      <c r="G23" t="inlineStr">
        <is>
          <t>2021-04-15 17:15:49</t>
        </is>
      </c>
      <c r="H23" t="n">
        <v>33</v>
      </c>
      <c r="I23" t="n">
        <v>18792</v>
      </c>
      <c r="J23" t="inlineStr">
        <is>
          <t>s</t>
        </is>
      </c>
      <c r="K23" t="inlineStr">
        <is>
          <t>s</t>
        </is>
      </c>
      <c r="L23" t="inlineStr">
        <is>
          <t>BS4</t>
        </is>
      </c>
      <c r="M23" t="inlineStr">
        <is>
          <t>Norvind</t>
        </is>
      </c>
      <c r="N23" t="inlineStr">
        <is>
          <t>Elecda</t>
        </is>
      </c>
      <c r="O23" t="inlineStr">
        <is>
          <t>2013/03-2</t>
        </is>
      </c>
      <c r="P23" t="inlineStr">
        <is>
          <t>ELECDA</t>
        </is>
      </c>
      <c r="Q23" t="n">
        <v>2</v>
      </c>
      <c r="R23" t="inlineStr">
        <is>
          <t>CRUCERO 220</t>
        </is>
      </c>
      <c r="U23" t="n">
        <v>0</v>
      </c>
      <c r="V23" t="n">
        <v>0</v>
      </c>
      <c r="W23" t="n">
        <v>5418.0481</v>
      </c>
    </row>
    <row r="24">
      <c r="A24" t="inlineStr">
        <is>
          <t>01-03-2021</t>
        </is>
      </c>
      <c r="B24" t="inlineStr">
        <is>
          <t>01-03-2021</t>
        </is>
      </c>
      <c r="C24" t="inlineStr">
        <is>
          <t>Licitación Norvind y Elecda (SIC 2013/03-2) BS4</t>
        </is>
      </c>
      <c r="D24" t="inlineStr">
        <is>
          <t>Potencia Licitaciones</t>
        </is>
      </c>
      <c r="E24" t="inlineStr">
        <is>
          <t>Potencia</t>
        </is>
      </c>
      <c r="F24" t="inlineStr">
        <is>
          <t>Lic. SIC 2013/03-2 bloques BS4: Potencia mar 2021</t>
        </is>
      </c>
      <c r="G24" t="inlineStr">
        <is>
          <t>2021-04-15 17:15:49</t>
        </is>
      </c>
      <c r="H24" t="n">
        <v>33</v>
      </c>
      <c r="I24" t="n">
        <v>18792</v>
      </c>
      <c r="J24" t="inlineStr">
        <is>
          <t>s</t>
        </is>
      </c>
      <c r="K24" t="inlineStr">
        <is>
          <t>s</t>
        </is>
      </c>
      <c r="L24" t="inlineStr">
        <is>
          <t>BS4</t>
        </is>
      </c>
      <c r="M24" t="inlineStr">
        <is>
          <t>Norvind</t>
        </is>
      </c>
      <c r="N24" t="inlineStr">
        <is>
          <t>Elecda</t>
        </is>
      </c>
      <c r="O24" t="inlineStr">
        <is>
          <t>2013/03-2</t>
        </is>
      </c>
      <c r="P24" t="inlineStr">
        <is>
          <t>ELECDA</t>
        </is>
      </c>
      <c r="Q24" t="n">
        <v>3</v>
      </c>
      <c r="R24" t="inlineStr">
        <is>
          <t>D.ALMAGRO 220</t>
        </is>
      </c>
      <c r="U24" t="n">
        <v>5</v>
      </c>
      <c r="V24" t="n">
        <v>26846</v>
      </c>
      <c r="W24" t="n">
        <v>5369.126</v>
      </c>
    </row>
    <row r="25">
      <c r="A25" t="inlineStr">
        <is>
          <t>01-03-2021</t>
        </is>
      </c>
      <c r="B25" t="inlineStr">
        <is>
          <t>01-03-2021</t>
        </is>
      </c>
      <c r="C25" t="inlineStr">
        <is>
          <t>Licitación Norvind y Elecda (SIC 2013/03-2) BS4</t>
        </is>
      </c>
      <c r="D25" t="inlineStr">
        <is>
          <t>Potencia Licitaciones</t>
        </is>
      </c>
      <c r="E25" t="inlineStr">
        <is>
          <t>Potencia</t>
        </is>
      </c>
      <c r="F25" t="inlineStr">
        <is>
          <t>Lic. SIC 2013/03-2 bloques BS4: Potencia mar 2021</t>
        </is>
      </c>
      <c r="G25" t="inlineStr">
        <is>
          <t>2021-04-15 17:15:49</t>
        </is>
      </c>
      <c r="H25" t="n">
        <v>33</v>
      </c>
      <c r="I25" t="n">
        <v>18792</v>
      </c>
      <c r="J25" t="inlineStr">
        <is>
          <t>s</t>
        </is>
      </c>
      <c r="K25" t="inlineStr">
        <is>
          <t>s</t>
        </is>
      </c>
      <c r="L25" t="inlineStr">
        <is>
          <t>BS4</t>
        </is>
      </c>
      <c r="M25" t="inlineStr">
        <is>
          <t>Norvind</t>
        </is>
      </c>
      <c r="N25" t="inlineStr">
        <is>
          <t>Elecda</t>
        </is>
      </c>
      <c r="O25" t="inlineStr">
        <is>
          <t>2013/03-2</t>
        </is>
      </c>
      <c r="P25" t="inlineStr">
        <is>
          <t>ELECDA</t>
        </is>
      </c>
      <c r="Q25" t="n">
        <v>4</v>
      </c>
      <c r="R25" t="inlineStr">
        <is>
          <t>ENCUENTRO 220</t>
        </is>
      </c>
      <c r="U25" t="n">
        <v>0</v>
      </c>
      <c r="V25" t="n">
        <v>0</v>
      </c>
      <c r="W25" t="n">
        <v>5482.0669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D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TotalEnergiaAjustado</t>
        </is>
      </c>
      <c r="U1" s="1" t="inlineStr">
        <is>
          <t>Potencia</t>
        </is>
      </c>
      <c r="V1" s="1" t="inlineStr">
        <is>
          <t>TotalPotenciaAjustado</t>
        </is>
      </c>
      <c r="W1" s="1" t="inlineStr">
        <is>
          <t>EmpresaDistribuidora</t>
        </is>
      </c>
      <c r="X1" s="1" t="inlineStr">
        <is>
          <t>PrecioEnergia</t>
        </is>
      </c>
      <c r="Y1" s="1" t="inlineStr">
        <is>
          <t>PrecioEnergiaAjustado</t>
        </is>
      </c>
      <c r="Z1" s="1" t="inlineStr">
        <is>
          <t>TotalEnergia</t>
        </is>
      </c>
      <c r="AA1" s="1" t="inlineStr">
        <is>
          <t>PrecioPotencia</t>
        </is>
      </c>
      <c r="AB1" s="1" t="inlineStr">
        <is>
          <t>PrecioPotenciaAjustado</t>
        </is>
      </c>
      <c r="AC1" s="1" t="inlineStr">
        <is>
          <t>TotalPotencia</t>
        </is>
      </c>
      <c r="AD1" s="1" t="inlineStr">
        <is>
          <t>Fecha</t>
        </is>
      </c>
    </row>
    <row r="2">
      <c r="A2" t="n">
        <v>-1</v>
      </c>
      <c r="B2" t="inlineStr">
        <is>
          <t>01-10-2020</t>
        </is>
      </c>
      <c r="C2" t="n">
        <v>2020</v>
      </c>
      <c r="D2" t="n">
        <v>10</v>
      </c>
      <c r="E2" t="inlineStr">
        <is>
          <t>Taltal 13.8</t>
        </is>
      </c>
      <c r="F2" t="inlineStr">
        <is>
          <t>ELECDA</t>
        </is>
      </c>
      <c r="G2" t="inlineStr">
        <is>
          <t>ELECDA</t>
        </is>
      </c>
      <c r="H2" t="inlineStr">
        <is>
          <t>Norvind</t>
        </is>
      </c>
      <c r="I2" t="inlineStr">
        <is>
          <t>Norvind</t>
        </is>
      </c>
      <c r="J2" t="inlineStr">
        <is>
          <t>SIC 2013/03_2_BS4_BB_Elecda_Norvind</t>
        </is>
      </c>
      <c r="K2" t="inlineStr">
        <is>
          <t>Taltal 13.8</t>
        </is>
      </c>
      <c r="L2" t="inlineStr">
        <is>
          <t>-1</t>
        </is>
      </c>
      <c r="M2" t="n">
        <v>2362.08471690357</v>
      </c>
      <c r="N2" t="n">
        <v>6</v>
      </c>
      <c r="O2" t="inlineStr">
        <is>
          <t>2</t>
        </is>
      </c>
      <c r="P2" s="2" t="n">
        <v>44664.57533101852</v>
      </c>
      <c r="Q2" t="n">
        <v>12</v>
      </c>
      <c r="R2" t="inlineStr">
        <is>
          <t>DIEGO DE ALMAGRO 220</t>
        </is>
      </c>
      <c r="S2" t="n">
        <v>2420.006794600915</v>
      </c>
      <c r="T2" t="n">
        <v>185272.085876321</v>
      </c>
      <c r="U2" t="n">
        <v>6.006122609020972</v>
      </c>
      <c r="V2" t="n">
        <v>32256.00736657228</v>
      </c>
      <c r="W2" t="inlineStr">
        <is>
          <t>ELECDA</t>
        </is>
      </c>
      <c r="X2" t="n">
        <v>87.09726759929998</v>
      </c>
      <c r="Y2" t="n">
        <v>185.272085876321</v>
      </c>
      <c r="Z2" t="n">
        <v>210775.9793814801</v>
      </c>
      <c r="AA2" t="n">
        <v>40119.41214747796</v>
      </c>
      <c r="AB2" t="n">
        <v>32256.00736657228</v>
      </c>
      <c r="AC2" t="n">
        <v>40119.41214747796</v>
      </c>
      <c r="AD2" s="2" t="n">
        <v>44105</v>
      </c>
    </row>
    <row r="3">
      <c r="A3" t="n">
        <v>-1</v>
      </c>
      <c r="B3" t="inlineStr">
        <is>
          <t>01-11-2020</t>
        </is>
      </c>
      <c r="C3" t="n">
        <v>2020</v>
      </c>
      <c r="D3" t="n">
        <v>11</v>
      </c>
      <c r="E3" t="inlineStr">
        <is>
          <t>Taltal 13.8</t>
        </is>
      </c>
      <c r="F3" t="inlineStr">
        <is>
          <t>ELECDA</t>
        </is>
      </c>
      <c r="G3" t="inlineStr">
        <is>
          <t>ELECDA</t>
        </is>
      </c>
      <c r="H3" t="inlineStr">
        <is>
          <t>Norvind</t>
        </is>
      </c>
      <c r="I3" t="inlineStr">
        <is>
          <t>Norvind</t>
        </is>
      </c>
      <c r="J3" t="inlineStr">
        <is>
          <t>SIC 2013/03_2_BS4_BB_Elecda_Norvind</t>
        </is>
      </c>
      <c r="K3" t="inlineStr">
        <is>
          <t>Taltal 13.8</t>
        </is>
      </c>
      <c r="L3" t="inlineStr">
        <is>
          <t>-1</t>
        </is>
      </c>
      <c r="M3" t="n">
        <v>2309.3750765453</v>
      </c>
      <c r="N3" t="n">
        <v>6</v>
      </c>
      <c r="O3" t="inlineStr">
        <is>
          <t>2</t>
        </is>
      </c>
      <c r="P3" s="2" t="n">
        <v>44664.57533101852</v>
      </c>
      <c r="Q3" t="n">
        <v>12</v>
      </c>
      <c r="R3" t="inlineStr">
        <is>
          <t>DIEGO DE ALMAGRO 220</t>
        </is>
      </c>
      <c r="S3" t="n">
        <v>2366.004629947312</v>
      </c>
      <c r="T3" t="n">
        <v>181137.7612498237</v>
      </c>
      <c r="U3" t="n">
        <v>6.006122609020972</v>
      </c>
      <c r="V3" t="n">
        <v>32256.00736657228</v>
      </c>
      <c r="W3" t="inlineStr">
        <is>
          <t>ELECDA</t>
        </is>
      </c>
      <c r="X3" t="n">
        <v>87.09726759929998</v>
      </c>
      <c r="Y3" t="n">
        <v>181.1377612498236</v>
      </c>
      <c r="Z3" t="n">
        <v>206072.5383957038</v>
      </c>
      <c r="AA3" t="n">
        <v>40119.41214747796</v>
      </c>
      <c r="AB3" t="n">
        <v>32256.00736657228</v>
      </c>
      <c r="AC3" t="n">
        <v>40119.41214747796</v>
      </c>
      <c r="AD3" s="2" t="n">
        <v>44136</v>
      </c>
    </row>
    <row r="4">
      <c r="A4" t="n">
        <v>-1</v>
      </c>
      <c r="B4" t="inlineStr">
        <is>
          <t>01-12-2020</t>
        </is>
      </c>
      <c r="C4" t="n">
        <v>2020</v>
      </c>
      <c r="D4" t="n">
        <v>12</v>
      </c>
      <c r="E4" t="inlineStr">
        <is>
          <t>Taltal 13.8</t>
        </is>
      </c>
      <c r="F4" t="inlineStr">
        <is>
          <t>ELECDA</t>
        </is>
      </c>
      <c r="G4" t="inlineStr">
        <is>
          <t>ELECDA</t>
        </is>
      </c>
      <c r="H4" t="inlineStr">
        <is>
          <t>Norvind</t>
        </is>
      </c>
      <c r="I4" t="inlineStr">
        <is>
          <t>Norvind</t>
        </is>
      </c>
      <c r="J4" t="inlineStr">
        <is>
          <t>SIC 2013/03_2_BS4_BB_Elecda_Norvind</t>
        </is>
      </c>
      <c r="K4" t="inlineStr">
        <is>
          <t>Taltal 13.8</t>
        </is>
      </c>
      <c r="L4" t="inlineStr">
        <is>
          <t>-1</t>
        </is>
      </c>
      <c r="M4" t="n">
        <v>2489.946102514</v>
      </c>
      <c r="N4" t="n">
        <v>6</v>
      </c>
      <c r="O4" t="inlineStr">
        <is>
          <t>2</t>
        </is>
      </c>
      <c r="P4" s="2" t="n">
        <v>44664.57533101852</v>
      </c>
      <c r="Q4" t="n">
        <v>12</v>
      </c>
      <c r="R4" t="inlineStr">
        <is>
          <t>DIEGO DE ALMAGRO 220</t>
        </is>
      </c>
      <c r="S4" t="n">
        <v>2551.003544941838</v>
      </c>
      <c r="T4" t="n">
        <v>195301.0003540942</v>
      </c>
      <c r="U4" t="n">
        <v>6.006122609020972</v>
      </c>
      <c r="V4" t="n">
        <v>32256.00736657228</v>
      </c>
      <c r="W4" t="inlineStr">
        <is>
          <t>ELECDA</t>
        </is>
      </c>
      <c r="X4" t="n">
        <v>87.09726759929998</v>
      </c>
      <c r="Y4" t="n">
        <v>195.3010003540942</v>
      </c>
      <c r="Z4" t="n">
        <v>222185.4384005622</v>
      </c>
      <c r="AA4" t="n">
        <v>40119.41214747796</v>
      </c>
      <c r="AB4" t="n">
        <v>32256.00736657228</v>
      </c>
      <c r="AC4" t="n">
        <v>40119.41214747796</v>
      </c>
      <c r="AD4" s="2" t="n">
        <v>44166</v>
      </c>
    </row>
    <row r="5">
      <c r="A5" t="n">
        <v>-1</v>
      </c>
      <c r="B5" t="inlineStr">
        <is>
          <t>01-01-2021</t>
        </is>
      </c>
      <c r="C5" t="n">
        <v>2021</v>
      </c>
      <c r="D5" t="n">
        <v>1</v>
      </c>
      <c r="E5" t="inlineStr">
        <is>
          <t>Taltal 13.8</t>
        </is>
      </c>
      <c r="F5" t="inlineStr">
        <is>
          <t>Elecda</t>
        </is>
      </c>
      <c r="G5" t="inlineStr">
        <is>
          <t>Elecda</t>
        </is>
      </c>
      <c r="H5" t="inlineStr">
        <is>
          <t>Norvind</t>
        </is>
      </c>
      <c r="I5" t="inlineStr">
        <is>
          <t>Norvind</t>
        </is>
      </c>
      <c r="J5" t="inlineStr">
        <is>
          <t>SIC 2013/03_2_BS4_BB_ELECDA_Norvind</t>
        </is>
      </c>
      <c r="K5" t="inlineStr">
        <is>
          <t>Taltal 13.8</t>
        </is>
      </c>
      <c r="L5" t="inlineStr">
        <is>
          <t>-1</t>
        </is>
      </c>
      <c r="M5" t="n">
        <v>2168.89433862542</v>
      </c>
      <c r="N5" t="n">
        <v>5</v>
      </c>
      <c r="O5" t="inlineStr">
        <is>
          <t>2</t>
        </is>
      </c>
      <c r="P5" s="2" t="n">
        <v>44664.57533101852</v>
      </c>
      <c r="Q5" t="n">
        <v>12</v>
      </c>
      <c r="R5" t="inlineStr">
        <is>
          <t>DIEGO DE ALMAGRO 220</t>
        </is>
      </c>
      <c r="S5" t="n">
        <v>2224.999873548079</v>
      </c>
      <c r="T5" t="n">
        <v>180820.4558162518</v>
      </c>
      <c r="U5" t="n">
        <v>4.997739752592913</v>
      </c>
      <c r="V5" t="n">
        <v>30090.45211959938</v>
      </c>
      <c r="W5" t="inlineStr">
        <is>
          <t>ELECDA</t>
        </is>
      </c>
      <c r="X5" t="n">
        <v>89.79848089525066</v>
      </c>
      <c r="Y5" t="n">
        <v>180.8204558162518</v>
      </c>
      <c r="Z5" t="n">
        <v>199801.6086367423</v>
      </c>
      <c r="AA5" t="n">
        <v>39078.50924623296</v>
      </c>
      <c r="AB5" t="n">
        <v>30090.45211959938</v>
      </c>
      <c r="AC5" t="n">
        <v>39078.50924623296</v>
      </c>
      <c r="AD5" s="2" t="n">
        <v>44197</v>
      </c>
    </row>
    <row r="6">
      <c r="A6" t="n">
        <v>-1</v>
      </c>
      <c r="B6" t="inlineStr">
        <is>
          <t>01-02-2021</t>
        </is>
      </c>
      <c r="C6" t="n">
        <v>2021</v>
      </c>
      <c r="D6" t="n">
        <v>2</v>
      </c>
      <c r="E6" t="inlineStr">
        <is>
          <t>Taltal 13.8</t>
        </is>
      </c>
      <c r="F6" t="inlineStr">
        <is>
          <t>Elecda</t>
        </is>
      </c>
      <c r="G6" t="inlineStr">
        <is>
          <t>Elecda</t>
        </is>
      </c>
      <c r="H6" t="inlineStr">
        <is>
          <t>Norvind</t>
        </is>
      </c>
      <c r="I6" t="inlineStr">
        <is>
          <t>Norvind</t>
        </is>
      </c>
      <c r="J6" t="inlineStr">
        <is>
          <t>SIC 2013/03_2_BS4_BB_ELECDA_Norvind</t>
        </is>
      </c>
      <c r="K6" t="inlineStr">
        <is>
          <t>Taltal 13.8</t>
        </is>
      </c>
      <c r="L6" t="inlineStr">
        <is>
          <t>-1</t>
        </is>
      </c>
      <c r="M6" t="n">
        <v>1976.86807671367</v>
      </c>
      <c r="N6" t="n">
        <v>5</v>
      </c>
      <c r="O6" t="inlineStr">
        <is>
          <t>2</t>
        </is>
      </c>
      <c r="P6" s="2" t="n">
        <v>44664.57533101852</v>
      </c>
      <c r="Q6" t="n">
        <v>12</v>
      </c>
      <c r="R6" t="inlineStr">
        <is>
          <t>DIEGO DE ALMAGRO 220</t>
        </is>
      </c>
      <c r="S6" t="n">
        <v>2028.006225281038</v>
      </c>
      <c r="T6" t="n">
        <v>164811.2498400955</v>
      </c>
      <c r="U6" t="n">
        <v>4.997739752592913</v>
      </c>
      <c r="V6" t="n">
        <v>30090.45211959938</v>
      </c>
      <c r="W6" t="inlineStr">
        <is>
          <t>ELECDA</t>
        </is>
      </c>
      <c r="X6" t="n">
        <v>89.79848089525066</v>
      </c>
      <c r="Y6" t="n">
        <v>164.8112498400956</v>
      </c>
      <c r="Z6" t="n">
        <v>182111.8782763486</v>
      </c>
      <c r="AA6" t="n">
        <v>39078.50924623296</v>
      </c>
      <c r="AB6" t="n">
        <v>30090.45211959938</v>
      </c>
      <c r="AC6" t="n">
        <v>39078.50924623296</v>
      </c>
      <c r="AD6" s="2" t="n">
        <v>44228</v>
      </c>
    </row>
    <row r="7">
      <c r="A7" t="n">
        <v>-1</v>
      </c>
      <c r="B7" t="inlineStr">
        <is>
          <t>01-03-2021</t>
        </is>
      </c>
      <c r="C7" t="n">
        <v>2021</v>
      </c>
      <c r="D7" t="n">
        <v>3</v>
      </c>
      <c r="E7" t="inlineStr">
        <is>
          <t>Taltal 13.8</t>
        </is>
      </c>
      <c r="F7" t="inlineStr">
        <is>
          <t>Elecda</t>
        </is>
      </c>
      <c r="G7" t="inlineStr">
        <is>
          <t>Elecda</t>
        </is>
      </c>
      <c r="H7" t="inlineStr">
        <is>
          <t>Norvind</t>
        </is>
      </c>
      <c r="I7" t="inlineStr">
        <is>
          <t>Norvind</t>
        </is>
      </c>
      <c r="J7" t="inlineStr">
        <is>
          <t>SIC 2013/03_2_BS4_BB_ELECDA_Norvind</t>
        </is>
      </c>
      <c r="K7" t="inlineStr">
        <is>
          <t>Taltal 13.8</t>
        </is>
      </c>
      <c r="L7" t="inlineStr">
        <is>
          <t>-1</t>
        </is>
      </c>
      <c r="M7" t="n">
        <v>2179.60864877817</v>
      </c>
      <c r="N7" t="n">
        <v>5</v>
      </c>
      <c r="O7" t="inlineStr">
        <is>
          <t>2</t>
        </is>
      </c>
      <c r="P7" s="2" t="n">
        <v>44664.57533101852</v>
      </c>
      <c r="Q7" t="n">
        <v>12</v>
      </c>
      <c r="R7" t="inlineStr">
        <is>
          <t>DIEGO DE ALMAGRO 220</t>
        </is>
      </c>
      <c r="S7" t="n">
        <v>2235.991344322139</v>
      </c>
      <c r="T7" t="n">
        <v>181713.7065436269</v>
      </c>
      <c r="U7" t="n">
        <v>4.997739752592913</v>
      </c>
      <c r="V7" t="n">
        <v>30090.45211959938</v>
      </c>
      <c r="W7" t="inlineStr">
        <is>
          <t>ELECDA</t>
        </is>
      </c>
      <c r="X7" t="n">
        <v>89.79848089525065</v>
      </c>
      <c r="Y7" t="n">
        <v>181.713706543627</v>
      </c>
      <c r="Z7" t="n">
        <v>200788.6260150574</v>
      </c>
      <c r="AA7" t="n">
        <v>39078.50924623296</v>
      </c>
      <c r="AB7" t="n">
        <v>30090.45211959938</v>
      </c>
      <c r="AC7" t="n">
        <v>39078.50924623296</v>
      </c>
      <c r="AD7" s="2" t="n">
        <v>44256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P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Fecha</t>
        </is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K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Num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Empresa</t>
        </is>
      </c>
      <c r="F1" s="1" t="inlineStr">
        <is>
          <t>Propietario</t>
        </is>
      </c>
      <c r="G1" s="1" t="inlineStr">
        <is>
          <t>Turno</t>
        </is>
      </c>
      <c r="H1" s="1" t="inlineStr">
        <is>
          <t>Distribuidora</t>
        </is>
      </c>
      <c r="I1" s="1" t="inlineStr">
        <is>
          <t>Clave</t>
        </is>
      </c>
      <c r="J1" s="1" t="inlineStr">
        <is>
          <t>PuntoRetiro</t>
        </is>
      </c>
      <c r="K1" s="1" t="inlineStr">
        <is>
          <t>Medida_kWh</t>
        </is>
      </c>
      <c r="L1" s="1" t="inlineStr">
        <is>
          <t>PuntoRetiroBT</t>
        </is>
      </c>
      <c r="M1" s="1" t="inlineStr">
        <is>
          <t>BarraEnAT</t>
        </is>
      </c>
      <c r="N1" s="1" t="inlineStr">
        <is>
          <t>FactorRef_BT_AT</t>
        </is>
      </c>
      <c r="O1" s="1" t="inlineStr">
        <is>
          <t>ValorAT</t>
        </is>
      </c>
      <c r="P1" s="1" t="inlineStr">
        <is>
          <t>Bloque</t>
        </is>
      </c>
      <c r="Q1" s="1" t="inlineStr">
        <is>
          <t>Incremento</t>
        </is>
      </c>
      <c r="R1" s="1" t="inlineStr">
        <is>
          <t>kWhAnho</t>
        </is>
      </c>
      <c r="S1" s="1" t="inlineStr">
        <is>
          <t>PorcenEnergiaAnho</t>
        </is>
      </c>
      <c r="T1" s="1" t="inlineStr">
        <is>
          <t>kWh_AnhoMes</t>
        </is>
      </c>
      <c r="U1" s="1" t="inlineStr">
        <is>
          <t>PorcenBarraAnho</t>
        </is>
      </c>
      <c r="V1" s="1" t="inlineStr">
        <is>
          <t>EnergiaBloqueAnhoMesBarra_kWh</t>
        </is>
      </c>
      <c r="W1" s="1" t="inlineStr">
        <is>
          <t>Amplificacion24h</t>
        </is>
      </c>
      <c r="X1" s="1" t="inlineStr">
        <is>
          <t>Denominador</t>
        </is>
      </c>
      <c r="Y1" s="1" t="inlineStr">
        <is>
          <t>Prorrata</t>
        </is>
      </c>
      <c r="Z1" s="1" t="inlineStr">
        <is>
          <t>EnergiaBloqueTurnoAnhoMesBarra_kWh</t>
        </is>
      </c>
      <c r="AA1" s="1" t="inlineStr">
        <is>
          <t>V_DecretoPNPVigente</t>
        </is>
      </c>
      <c r="AB1" s="1" t="inlineStr">
        <is>
          <t>V_DecretoPNCPAsociado</t>
        </is>
      </c>
      <c r="AC1" s="1" t="inlineStr">
        <is>
          <t>V_DecretoPNCPLicitacion</t>
        </is>
      </c>
      <c r="AD1" s="1" t="inlineStr">
        <is>
          <t>V_Barra</t>
        </is>
      </c>
      <c r="AE1" s="1" t="inlineStr">
        <is>
          <t>V_PrecioOferta_EnergiaPolpaico220</t>
        </is>
      </c>
      <c r="AF1" s="1" t="inlineStr">
        <is>
          <t>V_Indexacion</t>
        </is>
      </c>
      <c r="AG1" s="1" t="inlineStr">
        <is>
          <t>V_PrecioEnergiaIndexado_USDMWh</t>
        </is>
      </c>
      <c r="AH1" s="1" t="inlineStr">
        <is>
          <t>V_DolarPNPVigente</t>
        </is>
      </c>
      <c r="AI1" s="1" t="inlineStr">
        <is>
          <t>V_FactorAjusteEnergia</t>
        </is>
      </c>
      <c r="AJ1" s="1" t="inlineStr">
        <is>
          <t>V_PrecioEnergiaAjustado_CLP_kWh_Polpaico220</t>
        </is>
      </c>
      <c r="AK1" s="1" t="inlineStr">
        <is>
          <t>V_FPEnergia</t>
        </is>
      </c>
      <c r="AL1" s="1" t="inlineStr">
        <is>
          <t>V_PrecioEnergiaAjustado_CLP_kWh</t>
        </is>
      </c>
      <c r="AM1" s="1" t="inlineStr">
        <is>
          <t>V_PrecioPotenciaUSD_kW_Mes</t>
        </is>
      </c>
      <c r="AN1" s="1" t="inlineStr">
        <is>
          <t>V_PrecioPotenciaIndexadoUSD_kW_Mes</t>
        </is>
      </c>
      <c r="AO1" s="1" t="inlineStr">
        <is>
          <t>V_FactorAjustePotencia</t>
        </is>
      </c>
      <c r="AP1" s="1" t="inlineStr">
        <is>
          <t>V_PrecioPotenciaAjustado_CLP_kW_Mes_Polpaico220</t>
        </is>
      </c>
      <c r="AQ1" s="1" t="inlineStr">
        <is>
          <t>V_FPPotencia</t>
        </is>
      </c>
      <c r="AR1" s="1" t="inlineStr">
        <is>
          <t>V_PrecioPotenciaAjustado_CLP_kW_Mes</t>
        </is>
      </c>
      <c r="AS1" s="1" t="inlineStr">
        <is>
          <t>V_TotalEnergiaMesBarraGxDxBloque_CLP_kW_Mes</t>
        </is>
      </c>
      <c r="AT1" s="1" t="inlineStr">
        <is>
          <t>R_DecretoPNPReliquidacion</t>
        </is>
      </c>
      <c r="AU1" s="1" t="inlineStr">
        <is>
          <t>R_DecretoPNCPAsociado</t>
        </is>
      </c>
      <c r="AV1" s="1" t="inlineStr">
        <is>
          <t>R_DecretoPNCPLicitacion</t>
        </is>
      </c>
      <c r="AW1" s="1" t="inlineStr">
        <is>
          <t>R_Barra</t>
        </is>
      </c>
      <c r="AX1" s="1" t="inlineStr">
        <is>
          <t>R_PrecioOfertaEnergiaPolpaico220</t>
        </is>
      </c>
      <c r="AY1" s="1" t="inlineStr">
        <is>
          <t>R_Indexacion</t>
        </is>
      </c>
      <c r="AZ1" s="1" t="inlineStr">
        <is>
          <t>R_PrecioEnergiaIndexado_USDMWh</t>
        </is>
      </c>
      <c r="BA1" s="1" t="inlineStr">
        <is>
          <t>R_DolarPNPReliquidacion</t>
        </is>
      </c>
      <c r="BB1" s="1" t="inlineStr">
        <is>
          <t>R_FactorAjusteEnergia</t>
        </is>
      </c>
      <c r="BC1" s="1" t="inlineStr">
        <is>
          <t>R_PrecioEnergiaAjustado_CLP_kWh_Polpaico220</t>
        </is>
      </c>
      <c r="BD1" s="1" t="inlineStr">
        <is>
          <t>R_FPEnergia</t>
        </is>
      </c>
      <c r="BE1" s="1" t="inlineStr">
        <is>
          <t>R_PrecioEnergiaAjustado_CLP_kWh</t>
        </is>
      </c>
      <c r="BF1" s="1" t="inlineStr">
        <is>
          <t>R_PrecioPotenciaUSD_kW_Mes</t>
        </is>
      </c>
      <c r="BG1" s="1" t="inlineStr">
        <is>
          <t>R_FactorAjustePotencia</t>
        </is>
      </c>
      <c r="BH1" s="1" t="inlineStr">
        <is>
          <t>R_PrecioPotenciaAjustado_CLP_kW_Mes_Polpaico220</t>
        </is>
      </c>
      <c r="BI1" s="1" t="inlineStr">
        <is>
          <t>R_FPPotencia</t>
        </is>
      </c>
      <c r="BJ1" s="1" t="inlineStr">
        <is>
          <t>R_PrecioPotenciaAjustado_CLP_kW_Mes</t>
        </is>
      </c>
      <c r="BK1" s="1" t="inlineStr">
        <is>
          <t>R_TotalEnergiaMesBarraGxDxBloque_CLP_kW_Mes</t>
        </is>
      </c>
    </row>
    <row r="2">
      <c r="A2" t="n">
        <v>646</v>
      </c>
      <c r="B2" t="inlineStr">
        <is>
          <t>01-01-2021</t>
        </is>
      </c>
      <c r="C2" t="n">
        <v>2021</v>
      </c>
      <c r="D2" t="n">
        <v>1</v>
      </c>
      <c r="E2" t="inlineStr">
        <is>
          <t>NORVIND</t>
        </is>
      </c>
      <c r="F2" t="inlineStr">
        <is>
          <t>SUM_ELECDA_A</t>
        </is>
      </c>
      <c r="G2" t="inlineStr">
        <is>
          <t>A</t>
        </is>
      </c>
      <c r="H2" t="inlineStr">
        <is>
          <t>ELECDA</t>
        </is>
      </c>
      <c r="I2" t="inlineStr">
        <is>
          <t>EDALTALTA</t>
        </is>
      </c>
      <c r="J2" t="inlineStr">
        <is>
          <t>TALTAL</t>
        </is>
      </c>
      <c r="K2" t="n">
        <v>-724.2098975599999</v>
      </c>
      <c r="L2" t="inlineStr">
        <is>
          <t>TALTAL</t>
        </is>
      </c>
      <c r="M2" t="inlineStr">
        <is>
          <t>DIEGO DE ALMAGRO</t>
        </is>
      </c>
      <c r="N2" t="n">
        <v>1.0258299763344</v>
      </c>
      <c r="O2" t="n">
        <v>742.9162219999999</v>
      </c>
      <c r="P2" t="inlineStr">
        <is>
          <t>BS4</t>
        </is>
      </c>
      <c r="Q2" t="n">
        <v>1</v>
      </c>
      <c r="W2" t="n">
        <v>1</v>
      </c>
      <c r="X2" t="n">
        <v>0</v>
      </c>
      <c r="AA2" t="inlineStr">
        <is>
          <t>PNP_6T_08-05-2020</t>
        </is>
      </c>
      <c r="AB2" t="inlineStr">
        <is>
          <t>PNCP_9T_12-08-2019</t>
        </is>
      </c>
      <c r="AC2" t="inlineStr">
        <is>
          <t>PNCP_4T_30-04-2013</t>
        </is>
      </c>
      <c r="AD2" t="inlineStr">
        <is>
          <t>DIEGO DE ALMAGRO 220</t>
        </is>
      </c>
      <c r="AE2" t="n">
        <v>113.221</v>
      </c>
      <c r="AF2" t="n">
        <v>1.072776031070834</v>
      </c>
      <c r="AG2" t="n">
        <v>121.4607750138709</v>
      </c>
      <c r="AH2" t="n">
        <v>694.38</v>
      </c>
      <c r="AI2" t="n">
        <v>0.875</v>
      </c>
      <c r="AJ2" t="n">
        <v>73.79744133486523</v>
      </c>
      <c r="AK2" t="n">
        <v>0.981</v>
      </c>
      <c r="AL2" t="n">
        <v>72.395</v>
      </c>
      <c r="AM2" t="n">
        <v>8.9176</v>
      </c>
      <c r="AN2" t="n">
        <v>9.566587534677272</v>
      </c>
      <c r="AO2" t="n">
        <v>0.913</v>
      </c>
      <c r="AP2" t="n">
        <v>6064.919358776563</v>
      </c>
      <c r="AQ2" t="n">
        <v>1.00689729496713</v>
      </c>
      <c r="AR2" t="n">
        <v>6106.7509</v>
      </c>
      <c r="AT2" t="inlineStr">
        <is>
          <t>PNP_19T_30-12-2020</t>
        </is>
      </c>
      <c r="AU2" t="inlineStr">
        <is>
          <t>PNCP_12T_10-08-2020</t>
        </is>
      </c>
      <c r="AV2" t="inlineStr">
        <is>
          <t>PNCP_4T_30-04-2013</t>
        </is>
      </c>
      <c r="AW2" t="inlineStr">
        <is>
          <t>DIEGO DE ALMAGRO 220</t>
        </is>
      </c>
      <c r="AX2" t="n">
        <v>113.221</v>
      </c>
      <c r="AY2" t="n">
        <v>1.083385174100913</v>
      </c>
      <c r="AZ2" t="n">
        <v>122.6619527968795</v>
      </c>
      <c r="BA2" t="n">
        <v>801.49</v>
      </c>
      <c r="BB2" t="n">
        <v>0.905</v>
      </c>
      <c r="BC2" t="n">
        <v>88.97265733518969</v>
      </c>
      <c r="BD2" t="n">
        <v>0.9134</v>
      </c>
      <c r="BE2" t="n">
        <v>81.268</v>
      </c>
      <c r="BF2" t="n">
        <v>8.9176</v>
      </c>
      <c r="BG2" t="n">
        <v>0.77</v>
      </c>
      <c r="BH2" t="n">
        <v>5962.380796939026</v>
      </c>
      <c r="BI2" t="n">
        <v>1.088263821532493</v>
      </c>
      <c r="BJ2" t="n">
        <v>6488.6433</v>
      </c>
    </row>
    <row r="3">
      <c r="A3" t="n">
        <v>647</v>
      </c>
      <c r="B3" t="inlineStr">
        <is>
          <t>01-01-2021</t>
        </is>
      </c>
      <c r="C3" t="n">
        <v>2021</v>
      </c>
      <c r="D3" t="n">
        <v>1</v>
      </c>
      <c r="E3" t="inlineStr">
        <is>
          <t>NORVIND</t>
        </is>
      </c>
      <c r="F3" t="inlineStr">
        <is>
          <t>SUM_ELECDA_B</t>
        </is>
      </c>
      <c r="G3" t="inlineStr">
        <is>
          <t>B</t>
        </is>
      </c>
      <c r="H3" t="inlineStr">
        <is>
          <t>ELECDA</t>
        </is>
      </c>
      <c r="I3" t="inlineStr">
        <is>
          <t>EDALTALTB</t>
        </is>
      </c>
      <c r="J3" t="inlineStr">
        <is>
          <t>TALTAL</t>
        </is>
      </c>
      <c r="K3" t="n">
        <v>-833.06095893</v>
      </c>
      <c r="L3" t="inlineStr">
        <is>
          <t>TALTAL</t>
        </is>
      </c>
      <c r="M3" t="inlineStr">
        <is>
          <t>DIEGO DE ALMAGRO</t>
        </is>
      </c>
      <c r="N3" t="n">
        <v>1.0258299763344</v>
      </c>
      <c r="O3" t="n">
        <v>854.578904</v>
      </c>
      <c r="P3" t="inlineStr">
        <is>
          <t>BS4</t>
        </is>
      </c>
      <c r="Q3" t="n">
        <v>1</v>
      </c>
      <c r="W3" t="n">
        <v>1</v>
      </c>
      <c r="X3" t="n">
        <v>0</v>
      </c>
      <c r="AA3" t="inlineStr">
        <is>
          <t>PNP_6T_08-05-2020</t>
        </is>
      </c>
      <c r="AB3" t="inlineStr">
        <is>
          <t>PNCP_9T_12-08-2019</t>
        </is>
      </c>
      <c r="AC3" t="inlineStr">
        <is>
          <t>PNCP_4T_30-04-2013</t>
        </is>
      </c>
      <c r="AD3" t="inlineStr">
        <is>
          <t>DIEGO DE ALMAGRO 220</t>
        </is>
      </c>
      <c r="AE3" t="n">
        <v>113.221</v>
      </c>
      <c r="AF3" t="n">
        <v>1.072776031070834</v>
      </c>
      <c r="AG3" t="n">
        <v>121.4607750138709</v>
      </c>
      <c r="AH3" t="n">
        <v>694.38</v>
      </c>
      <c r="AI3" t="n">
        <v>0.875</v>
      </c>
      <c r="AJ3" t="n">
        <v>73.79744133486523</v>
      </c>
      <c r="AK3" t="n">
        <v>0.981</v>
      </c>
      <c r="AL3" t="n">
        <v>72.395</v>
      </c>
      <c r="AM3" t="n">
        <v>8.9176</v>
      </c>
      <c r="AN3" t="n">
        <v>9.566587534677272</v>
      </c>
      <c r="AO3" t="n">
        <v>0.913</v>
      </c>
      <c r="AP3" t="n">
        <v>6064.919358776563</v>
      </c>
      <c r="AQ3" t="n">
        <v>1.00689729496713</v>
      </c>
      <c r="AR3" t="n">
        <v>6106.7509</v>
      </c>
      <c r="AT3" t="inlineStr">
        <is>
          <t>PNP_19T_30-12-2020</t>
        </is>
      </c>
      <c r="AU3" t="inlineStr">
        <is>
          <t>PNCP_12T_10-08-2020</t>
        </is>
      </c>
      <c r="AV3" t="inlineStr">
        <is>
          <t>PNCP_4T_30-04-2013</t>
        </is>
      </c>
      <c r="AW3" t="inlineStr">
        <is>
          <t>DIEGO DE ALMAGRO 220</t>
        </is>
      </c>
      <c r="AX3" t="n">
        <v>113.221</v>
      </c>
      <c r="AY3" t="n">
        <v>1.083385174100913</v>
      </c>
      <c r="AZ3" t="n">
        <v>122.6619527968795</v>
      </c>
      <c r="BA3" t="n">
        <v>801.49</v>
      </c>
      <c r="BB3" t="n">
        <v>0.905</v>
      </c>
      <c r="BC3" t="n">
        <v>88.97265733518969</v>
      </c>
      <c r="BD3" t="n">
        <v>0.9134</v>
      </c>
      <c r="BE3" t="n">
        <v>81.268</v>
      </c>
      <c r="BF3" t="n">
        <v>8.9176</v>
      </c>
      <c r="BG3" t="n">
        <v>0.77</v>
      </c>
      <c r="BH3" t="n">
        <v>5962.380796939026</v>
      </c>
      <c r="BI3" t="n">
        <v>1.088263821532493</v>
      </c>
      <c r="BJ3" t="n">
        <v>6488.6433</v>
      </c>
    </row>
    <row r="4">
      <c r="A4" t="n">
        <v>648</v>
      </c>
      <c r="B4" t="inlineStr">
        <is>
          <t>01-01-2021</t>
        </is>
      </c>
      <c r="C4" t="n">
        <v>2021</v>
      </c>
      <c r="D4" t="n">
        <v>1</v>
      </c>
      <c r="E4" t="inlineStr">
        <is>
          <t>NORVIND</t>
        </is>
      </c>
      <c r="F4" t="inlineStr">
        <is>
          <t>SUM_ELECDA_C</t>
        </is>
      </c>
      <c r="G4" t="inlineStr">
        <is>
          <t>C</t>
        </is>
      </c>
      <c r="H4" t="inlineStr">
        <is>
          <t>ELECDA</t>
        </is>
      </c>
      <c r="I4" t="inlineStr">
        <is>
          <t>EDALTALTC</t>
        </is>
      </c>
      <c r="J4" t="inlineStr">
        <is>
          <t>TALTAL</t>
        </is>
      </c>
      <c r="K4" t="n">
        <v>-530.19072891</v>
      </c>
      <c r="L4" t="inlineStr">
        <is>
          <t>TALTAL</t>
        </is>
      </c>
      <c r="M4" t="inlineStr">
        <is>
          <t>DIEGO DE ALMAGRO</t>
        </is>
      </c>
      <c r="N4" t="n">
        <v>1.0258299763344</v>
      </c>
      <c r="O4" t="n">
        <v>543.885543</v>
      </c>
      <c r="P4" t="inlineStr">
        <is>
          <t>BS4</t>
        </is>
      </c>
      <c r="Q4" t="n">
        <v>1</v>
      </c>
      <c r="W4" t="n">
        <v>1</v>
      </c>
      <c r="X4" t="n">
        <v>0</v>
      </c>
      <c r="AA4" t="inlineStr">
        <is>
          <t>PNP_6T_08-05-2020</t>
        </is>
      </c>
      <c r="AB4" t="inlineStr">
        <is>
          <t>PNCP_9T_12-08-2019</t>
        </is>
      </c>
      <c r="AC4" t="inlineStr">
        <is>
          <t>PNCP_4T_30-04-2013</t>
        </is>
      </c>
      <c r="AD4" t="inlineStr">
        <is>
          <t>DIEGO DE ALMAGRO 220</t>
        </is>
      </c>
      <c r="AE4" t="n">
        <v>113.221</v>
      </c>
      <c r="AF4" t="n">
        <v>1.072776031070834</v>
      </c>
      <c r="AG4" t="n">
        <v>121.4607750138709</v>
      </c>
      <c r="AH4" t="n">
        <v>694.38</v>
      </c>
      <c r="AI4" t="n">
        <v>0.875</v>
      </c>
      <c r="AJ4" t="n">
        <v>73.79744133486523</v>
      </c>
      <c r="AK4" t="n">
        <v>0.981</v>
      </c>
      <c r="AL4" t="n">
        <v>72.395</v>
      </c>
      <c r="AM4" t="n">
        <v>8.9176</v>
      </c>
      <c r="AN4" t="n">
        <v>9.566587534677272</v>
      </c>
      <c r="AO4" t="n">
        <v>0.913</v>
      </c>
      <c r="AP4" t="n">
        <v>6064.919358776563</v>
      </c>
      <c r="AQ4" t="n">
        <v>1.00689729496713</v>
      </c>
      <c r="AR4" t="n">
        <v>6106.7509</v>
      </c>
      <c r="AT4" t="inlineStr">
        <is>
          <t>PNP_19T_30-12-2020</t>
        </is>
      </c>
      <c r="AU4" t="inlineStr">
        <is>
          <t>PNCP_12T_10-08-2020</t>
        </is>
      </c>
      <c r="AV4" t="inlineStr">
        <is>
          <t>PNCP_4T_30-04-2013</t>
        </is>
      </c>
      <c r="AW4" t="inlineStr">
        <is>
          <t>DIEGO DE ALMAGRO 220</t>
        </is>
      </c>
      <c r="AX4" t="n">
        <v>113.221</v>
      </c>
      <c r="AY4" t="n">
        <v>1.083385174100913</v>
      </c>
      <c r="AZ4" t="n">
        <v>122.6619527968795</v>
      </c>
      <c r="BA4" t="n">
        <v>801.49</v>
      </c>
      <c r="BB4" t="n">
        <v>0.905</v>
      </c>
      <c r="BC4" t="n">
        <v>88.97265733518969</v>
      </c>
      <c r="BD4" t="n">
        <v>0.9134</v>
      </c>
      <c r="BE4" t="n">
        <v>81.268</v>
      </c>
      <c r="BF4" t="n">
        <v>8.9176</v>
      </c>
      <c r="BG4" t="n">
        <v>0.77</v>
      </c>
      <c r="BH4" t="n">
        <v>5962.380796939026</v>
      </c>
      <c r="BI4" t="n">
        <v>1.088263821532493</v>
      </c>
      <c r="BJ4" t="n">
        <v>6488.6433</v>
      </c>
    </row>
    <row r="5">
      <c r="A5" t="n">
        <v>660</v>
      </c>
      <c r="B5" t="inlineStr">
        <is>
          <t>01-02-2021</t>
        </is>
      </c>
      <c r="C5" t="n">
        <v>2021</v>
      </c>
      <c r="D5" t="n">
        <v>1</v>
      </c>
      <c r="E5" t="inlineStr">
        <is>
          <t>NORVIND</t>
        </is>
      </c>
      <c r="F5" t="inlineStr">
        <is>
          <t>SUM_ELECDA_A</t>
        </is>
      </c>
      <c r="G5" t="inlineStr">
        <is>
          <t>A</t>
        </is>
      </c>
      <c r="H5" t="inlineStr">
        <is>
          <t>ELECDA</t>
        </is>
      </c>
      <c r="I5" t="inlineStr">
        <is>
          <t>EDALTALTA</t>
        </is>
      </c>
      <c r="J5" t="inlineStr">
        <is>
          <t>TALTAL</t>
        </is>
      </c>
      <c r="K5" t="n">
        <v>-653.47992488</v>
      </c>
      <c r="L5" t="inlineStr">
        <is>
          <t>TALTAL</t>
        </is>
      </c>
      <c r="M5" t="inlineStr">
        <is>
          <t>DIEGO DE ALMAGRO</t>
        </is>
      </c>
      <c r="N5" t="n">
        <v>1.0258299763344</v>
      </c>
      <c r="O5" t="n">
        <v>670.359296</v>
      </c>
      <c r="P5" t="inlineStr">
        <is>
          <t>BS4</t>
        </is>
      </c>
      <c r="Q5" t="n">
        <v>1</v>
      </c>
      <c r="W5" t="n">
        <v>1</v>
      </c>
      <c r="X5" t="n">
        <v>0</v>
      </c>
      <c r="AA5" t="inlineStr">
        <is>
          <t>PNP_6T_08-05-2020</t>
        </is>
      </c>
      <c r="AB5" t="inlineStr">
        <is>
          <t>PNCP_9T_12-08-2019</t>
        </is>
      </c>
      <c r="AC5" t="inlineStr">
        <is>
          <t>PNCP_4T_30-04-2013</t>
        </is>
      </c>
      <c r="AD5" t="inlineStr">
        <is>
          <t>DIEGO DE ALMAGRO 220</t>
        </is>
      </c>
      <c r="AE5" t="n">
        <v>113.221</v>
      </c>
      <c r="AF5" t="n">
        <v>1.072776031070834</v>
      </c>
      <c r="AG5" t="n">
        <v>121.4607750138709</v>
      </c>
      <c r="AH5" t="n">
        <v>694.38</v>
      </c>
      <c r="AI5" t="n">
        <v>0.875</v>
      </c>
      <c r="AJ5" t="n">
        <v>73.79744133486523</v>
      </c>
      <c r="AK5" t="n">
        <v>0.981</v>
      </c>
      <c r="AL5" t="n">
        <v>72.395</v>
      </c>
      <c r="AM5" t="n">
        <v>8.9176</v>
      </c>
      <c r="AN5" t="n">
        <v>9.566587534677272</v>
      </c>
      <c r="AO5" t="n">
        <v>0.913</v>
      </c>
      <c r="AP5" t="n">
        <v>6064.919358776563</v>
      </c>
      <c r="AQ5" t="n">
        <v>1.00689729496713</v>
      </c>
      <c r="AR5" t="n">
        <v>6106.7509</v>
      </c>
      <c r="AT5" t="inlineStr">
        <is>
          <t>PNP_19T_30-12-2020</t>
        </is>
      </c>
      <c r="AU5" t="inlineStr">
        <is>
          <t>PNCP_12T_10-08-2020</t>
        </is>
      </c>
      <c r="AV5" t="inlineStr">
        <is>
          <t>PNCP_4T_30-04-2013</t>
        </is>
      </c>
      <c r="AW5" t="inlineStr">
        <is>
          <t>DIEGO DE ALMAGRO 220</t>
        </is>
      </c>
      <c r="AX5" t="n">
        <v>113.221</v>
      </c>
      <c r="AY5" t="n">
        <v>1.083385174100913</v>
      </c>
      <c r="AZ5" t="n">
        <v>122.6619527968795</v>
      </c>
      <c r="BA5" t="n">
        <v>801.49</v>
      </c>
      <c r="BB5" t="n">
        <v>0.905</v>
      </c>
      <c r="BC5" t="n">
        <v>88.97265733518969</v>
      </c>
      <c r="BD5" t="n">
        <v>0.9134</v>
      </c>
      <c r="BE5" t="n">
        <v>81.268</v>
      </c>
      <c r="BF5" t="n">
        <v>8.9176</v>
      </c>
      <c r="BG5" t="n">
        <v>0.77</v>
      </c>
      <c r="BH5" t="n">
        <v>5962.380796939026</v>
      </c>
      <c r="BI5" t="n">
        <v>1.088263821532493</v>
      </c>
      <c r="BJ5" t="n">
        <v>6488.6433</v>
      </c>
    </row>
    <row r="6">
      <c r="A6" t="n">
        <v>661</v>
      </c>
      <c r="B6" t="inlineStr">
        <is>
          <t>01-02-2021</t>
        </is>
      </c>
      <c r="C6" t="n">
        <v>2021</v>
      </c>
      <c r="D6" t="n">
        <v>1</v>
      </c>
      <c r="E6" t="inlineStr">
        <is>
          <t>NORVIND</t>
        </is>
      </c>
      <c r="F6" t="inlineStr">
        <is>
          <t>SUM_ELECDA_B</t>
        </is>
      </c>
      <c r="G6" t="inlineStr">
        <is>
          <t>B</t>
        </is>
      </c>
      <c r="H6" t="inlineStr">
        <is>
          <t>ELECDA</t>
        </is>
      </c>
      <c r="I6" t="inlineStr">
        <is>
          <t>EDALTALTB</t>
        </is>
      </c>
      <c r="J6" t="inlineStr">
        <is>
          <t>TALTAL</t>
        </is>
      </c>
      <c r="K6" t="n">
        <v>-760.1263532</v>
      </c>
      <c r="L6" t="inlineStr">
        <is>
          <t>TALTAL</t>
        </is>
      </c>
      <c r="M6" t="inlineStr">
        <is>
          <t>DIEGO DE ALMAGRO</t>
        </is>
      </c>
      <c r="N6" t="n">
        <v>1.0258299763344</v>
      </c>
      <c r="O6" t="n">
        <v>779.760399</v>
      </c>
      <c r="P6" t="inlineStr">
        <is>
          <t>BS4</t>
        </is>
      </c>
      <c r="Q6" t="n">
        <v>1</v>
      </c>
      <c r="W6" t="n">
        <v>1</v>
      </c>
      <c r="X6" t="n">
        <v>0</v>
      </c>
      <c r="AA6" t="inlineStr">
        <is>
          <t>PNP_6T_08-05-2020</t>
        </is>
      </c>
      <c r="AB6" t="inlineStr">
        <is>
          <t>PNCP_9T_12-08-2019</t>
        </is>
      </c>
      <c r="AC6" t="inlineStr">
        <is>
          <t>PNCP_4T_30-04-2013</t>
        </is>
      </c>
      <c r="AD6" t="inlineStr">
        <is>
          <t>DIEGO DE ALMAGRO 220</t>
        </is>
      </c>
      <c r="AE6" t="n">
        <v>113.221</v>
      </c>
      <c r="AF6" t="n">
        <v>1.072776031070834</v>
      </c>
      <c r="AG6" t="n">
        <v>121.4607750138709</v>
      </c>
      <c r="AH6" t="n">
        <v>694.38</v>
      </c>
      <c r="AI6" t="n">
        <v>0.875</v>
      </c>
      <c r="AJ6" t="n">
        <v>73.79744133486523</v>
      </c>
      <c r="AK6" t="n">
        <v>0.981</v>
      </c>
      <c r="AL6" t="n">
        <v>72.395</v>
      </c>
      <c r="AM6" t="n">
        <v>8.9176</v>
      </c>
      <c r="AN6" t="n">
        <v>9.566587534677272</v>
      </c>
      <c r="AO6" t="n">
        <v>0.913</v>
      </c>
      <c r="AP6" t="n">
        <v>6064.919358776563</v>
      </c>
      <c r="AQ6" t="n">
        <v>1.00689729496713</v>
      </c>
      <c r="AR6" t="n">
        <v>6106.7509</v>
      </c>
      <c r="AT6" t="inlineStr">
        <is>
          <t>PNP_19T_30-12-2020</t>
        </is>
      </c>
      <c r="AU6" t="inlineStr">
        <is>
          <t>PNCP_12T_10-08-2020</t>
        </is>
      </c>
      <c r="AV6" t="inlineStr">
        <is>
          <t>PNCP_4T_30-04-2013</t>
        </is>
      </c>
      <c r="AW6" t="inlineStr">
        <is>
          <t>DIEGO DE ALMAGRO 220</t>
        </is>
      </c>
      <c r="AX6" t="n">
        <v>113.221</v>
      </c>
      <c r="AY6" t="n">
        <v>1.083385174100913</v>
      </c>
      <c r="AZ6" t="n">
        <v>122.6619527968795</v>
      </c>
      <c r="BA6" t="n">
        <v>801.49</v>
      </c>
      <c r="BB6" t="n">
        <v>0.905</v>
      </c>
      <c r="BC6" t="n">
        <v>88.97265733518969</v>
      </c>
      <c r="BD6" t="n">
        <v>0.9134</v>
      </c>
      <c r="BE6" t="n">
        <v>81.268</v>
      </c>
      <c r="BF6" t="n">
        <v>8.9176</v>
      </c>
      <c r="BG6" t="n">
        <v>0.77</v>
      </c>
      <c r="BH6" t="n">
        <v>5962.380796939026</v>
      </c>
      <c r="BI6" t="n">
        <v>1.088263821532493</v>
      </c>
      <c r="BJ6" t="n">
        <v>6488.6433</v>
      </c>
    </row>
    <row r="7">
      <c r="A7" t="n">
        <v>662</v>
      </c>
      <c r="B7" t="inlineStr">
        <is>
          <t>01-02-2021</t>
        </is>
      </c>
      <c r="C7" t="n">
        <v>2021</v>
      </c>
      <c r="D7" t="n">
        <v>1</v>
      </c>
      <c r="E7" t="inlineStr">
        <is>
          <t>NORVIND</t>
        </is>
      </c>
      <c r="F7" t="inlineStr">
        <is>
          <t>SUM_ELECDA_C</t>
        </is>
      </c>
      <c r="G7" t="inlineStr">
        <is>
          <t>C</t>
        </is>
      </c>
      <c r="H7" t="inlineStr">
        <is>
          <t>ELECDA</t>
        </is>
      </c>
      <c r="I7" t="inlineStr">
        <is>
          <t>EDALTALTC</t>
        </is>
      </c>
      <c r="J7" t="inlineStr">
        <is>
          <t>TALTAL</t>
        </is>
      </c>
      <c r="K7" t="n">
        <v>-488.80369497</v>
      </c>
      <c r="L7" t="inlineStr">
        <is>
          <t>TALTAL</t>
        </is>
      </c>
      <c r="M7" t="inlineStr">
        <is>
          <t>DIEGO DE ALMAGRO</t>
        </is>
      </c>
      <c r="N7" t="n">
        <v>1.0258299763344</v>
      </c>
      <c r="O7" t="n">
        <v>501.429483</v>
      </c>
      <c r="P7" t="inlineStr">
        <is>
          <t>BS4</t>
        </is>
      </c>
      <c r="Q7" t="n">
        <v>1</v>
      </c>
      <c r="W7" t="n">
        <v>1</v>
      </c>
      <c r="X7" t="n">
        <v>0</v>
      </c>
      <c r="AA7" t="inlineStr">
        <is>
          <t>PNP_6T_08-05-2020</t>
        </is>
      </c>
      <c r="AB7" t="inlineStr">
        <is>
          <t>PNCP_9T_12-08-2019</t>
        </is>
      </c>
      <c r="AC7" t="inlineStr">
        <is>
          <t>PNCP_4T_30-04-2013</t>
        </is>
      </c>
      <c r="AD7" t="inlineStr">
        <is>
          <t>DIEGO DE ALMAGRO 220</t>
        </is>
      </c>
      <c r="AE7" t="n">
        <v>113.221</v>
      </c>
      <c r="AF7" t="n">
        <v>1.072776031070834</v>
      </c>
      <c r="AG7" t="n">
        <v>121.4607750138709</v>
      </c>
      <c r="AH7" t="n">
        <v>694.38</v>
      </c>
      <c r="AI7" t="n">
        <v>0.875</v>
      </c>
      <c r="AJ7" t="n">
        <v>73.79744133486523</v>
      </c>
      <c r="AK7" t="n">
        <v>0.981</v>
      </c>
      <c r="AL7" t="n">
        <v>72.395</v>
      </c>
      <c r="AM7" t="n">
        <v>8.9176</v>
      </c>
      <c r="AN7" t="n">
        <v>9.566587534677272</v>
      </c>
      <c r="AO7" t="n">
        <v>0.913</v>
      </c>
      <c r="AP7" t="n">
        <v>6064.919358776563</v>
      </c>
      <c r="AQ7" t="n">
        <v>1.00689729496713</v>
      </c>
      <c r="AR7" t="n">
        <v>6106.7509</v>
      </c>
      <c r="AT7" t="inlineStr">
        <is>
          <t>PNP_19T_30-12-2020</t>
        </is>
      </c>
      <c r="AU7" t="inlineStr">
        <is>
          <t>PNCP_12T_10-08-2020</t>
        </is>
      </c>
      <c r="AV7" t="inlineStr">
        <is>
          <t>PNCP_4T_30-04-2013</t>
        </is>
      </c>
      <c r="AW7" t="inlineStr">
        <is>
          <t>DIEGO DE ALMAGRO 220</t>
        </is>
      </c>
      <c r="AX7" t="n">
        <v>113.221</v>
      </c>
      <c r="AY7" t="n">
        <v>1.083385174100913</v>
      </c>
      <c r="AZ7" t="n">
        <v>122.6619527968795</v>
      </c>
      <c r="BA7" t="n">
        <v>801.49</v>
      </c>
      <c r="BB7" t="n">
        <v>0.905</v>
      </c>
      <c r="BC7" t="n">
        <v>88.97265733518969</v>
      </c>
      <c r="BD7" t="n">
        <v>0.9134</v>
      </c>
      <c r="BE7" t="n">
        <v>81.268</v>
      </c>
      <c r="BF7" t="n">
        <v>8.9176</v>
      </c>
      <c r="BG7" t="n">
        <v>0.77</v>
      </c>
      <c r="BH7" t="n">
        <v>5962.380796939026</v>
      </c>
      <c r="BI7" t="n">
        <v>1.088263821532493</v>
      </c>
      <c r="BJ7" t="n">
        <v>6488.6433</v>
      </c>
    </row>
    <row r="8">
      <c r="A8" t="n">
        <v>674</v>
      </c>
      <c r="B8" t="inlineStr">
        <is>
          <t>01-03-2021</t>
        </is>
      </c>
      <c r="C8" t="n">
        <v>2021</v>
      </c>
      <c r="D8" t="n">
        <v>1</v>
      </c>
      <c r="E8" t="inlineStr">
        <is>
          <t>NORVIND</t>
        </is>
      </c>
      <c r="F8" t="inlineStr">
        <is>
          <t>SUM_ELECDA_A</t>
        </is>
      </c>
      <c r="G8" t="inlineStr">
        <is>
          <t>A</t>
        </is>
      </c>
      <c r="H8" t="inlineStr">
        <is>
          <t>ELECDA</t>
        </is>
      </c>
      <c r="I8" t="inlineStr">
        <is>
          <t>EDALTALTA</t>
        </is>
      </c>
      <c r="J8" t="inlineStr">
        <is>
          <t>TALTAL</t>
        </is>
      </c>
      <c r="K8" t="n">
        <v>-720.96258104</v>
      </c>
      <c r="L8" t="inlineStr">
        <is>
          <t>TALTAL</t>
        </is>
      </c>
      <c r="M8" t="inlineStr">
        <is>
          <t>DIEGO DE ALMAGRO</t>
        </is>
      </c>
      <c r="N8" t="n">
        <v>1.0258299763344</v>
      </c>
      <c r="O8" t="n">
        <v>739.585027</v>
      </c>
      <c r="P8" t="inlineStr">
        <is>
          <t>BS4</t>
        </is>
      </c>
      <c r="Q8" t="n">
        <v>1</v>
      </c>
      <c r="W8" t="n">
        <v>1</v>
      </c>
      <c r="X8" t="n">
        <v>0</v>
      </c>
      <c r="AA8" t="inlineStr">
        <is>
          <t>PNP_16T_02-11-2020</t>
        </is>
      </c>
      <c r="AB8" t="inlineStr">
        <is>
          <t>PNCP_2T_10-02-2020</t>
        </is>
      </c>
      <c r="AC8" t="inlineStr">
        <is>
          <t>PNCP_4T_30-04-2013</t>
        </is>
      </c>
      <c r="AD8" t="inlineStr">
        <is>
          <t>DIEGO DE ALMAGRO 220</t>
        </is>
      </c>
      <c r="AE8" t="n">
        <v>113.221</v>
      </c>
      <c r="AF8" t="n">
        <v>1.080821157758461</v>
      </c>
      <c r="AG8" t="n">
        <v>122.3716523025708</v>
      </c>
      <c r="AH8" t="n">
        <v>779.3099999999999</v>
      </c>
      <c r="AI8" t="n">
        <v>0.879</v>
      </c>
      <c r="AJ8" t="n">
        <v>83.82623262085055</v>
      </c>
      <c r="AK8" t="n">
        <v>0.9133</v>
      </c>
      <c r="AL8" t="n">
        <v>76.55800000000001</v>
      </c>
      <c r="AM8" t="n">
        <v>8.9176</v>
      </c>
      <c r="AN8" t="n">
        <v>9.638330756426855</v>
      </c>
      <c r="AO8" t="n">
        <v>0.804</v>
      </c>
      <c r="AP8" t="n">
        <v>6039.043023599974</v>
      </c>
      <c r="AQ8" t="n">
        <v>0.9584006897294968</v>
      </c>
      <c r="AR8" t="n">
        <v>5787.823</v>
      </c>
      <c r="AT8" t="inlineStr">
        <is>
          <t>PNP_19T_30-12-2020</t>
        </is>
      </c>
      <c r="AU8" t="inlineStr">
        <is>
          <t>PNCP_12T_10-08-2020</t>
        </is>
      </c>
      <c r="AV8" t="inlineStr">
        <is>
          <t>PNCP_4T_30-04-2013</t>
        </is>
      </c>
      <c r="AW8" t="inlineStr">
        <is>
          <t>DIEGO DE ALMAGRO 220</t>
        </is>
      </c>
      <c r="AX8" t="n">
        <v>113.221</v>
      </c>
      <c r="AY8" t="n">
        <v>1.083385174100913</v>
      </c>
      <c r="AZ8" t="n">
        <v>122.6619527968795</v>
      </c>
      <c r="BA8" t="n">
        <v>801.49</v>
      </c>
      <c r="BB8" t="n">
        <v>0.905</v>
      </c>
      <c r="BC8" t="n">
        <v>88.97265733518969</v>
      </c>
      <c r="BD8" t="n">
        <v>0.9134</v>
      </c>
      <c r="BE8" t="n">
        <v>81.268</v>
      </c>
      <c r="BF8" t="n">
        <v>8.9176</v>
      </c>
      <c r="BG8" t="n">
        <v>0.77</v>
      </c>
      <c r="BH8" t="n">
        <v>5962.380796939026</v>
      </c>
      <c r="BI8" t="n">
        <v>1.088263821532493</v>
      </c>
      <c r="BJ8" t="n">
        <v>6488.6433</v>
      </c>
    </row>
    <row r="9">
      <c r="A9" t="n">
        <v>675</v>
      </c>
      <c r="B9" t="inlineStr">
        <is>
          <t>01-03-2021</t>
        </is>
      </c>
      <c r="C9" t="n">
        <v>2021</v>
      </c>
      <c r="D9" t="n">
        <v>1</v>
      </c>
      <c r="E9" t="inlineStr">
        <is>
          <t>NORVIND</t>
        </is>
      </c>
      <c r="F9" t="inlineStr">
        <is>
          <t>SUM_ELECDA_B</t>
        </is>
      </c>
      <c r="G9" t="inlineStr">
        <is>
          <t>B</t>
        </is>
      </c>
      <c r="H9" t="inlineStr">
        <is>
          <t>ELECDA</t>
        </is>
      </c>
      <c r="I9" t="inlineStr">
        <is>
          <t>EDALTALTB</t>
        </is>
      </c>
      <c r="J9" t="inlineStr">
        <is>
          <t>TALTAL</t>
        </is>
      </c>
      <c r="K9" t="n">
        <v>-826.38531975</v>
      </c>
      <c r="L9" t="inlineStr">
        <is>
          <t>TALTAL</t>
        </is>
      </c>
      <c r="M9" t="inlineStr">
        <is>
          <t>DIEGO DE ALMAGRO</t>
        </is>
      </c>
      <c r="N9" t="n">
        <v>1.0258299763344</v>
      </c>
      <c r="O9" t="n">
        <v>847.730833</v>
      </c>
      <c r="P9" t="inlineStr">
        <is>
          <t>BS4</t>
        </is>
      </c>
      <c r="Q9" t="n">
        <v>1</v>
      </c>
      <c r="W9" t="n">
        <v>1</v>
      </c>
      <c r="X9" t="n">
        <v>0</v>
      </c>
      <c r="AA9" t="inlineStr">
        <is>
          <t>PNP_16T_02-11-2020</t>
        </is>
      </c>
      <c r="AB9" t="inlineStr">
        <is>
          <t>PNCP_2T_10-02-2020</t>
        </is>
      </c>
      <c r="AC9" t="inlineStr">
        <is>
          <t>PNCP_4T_30-04-2013</t>
        </is>
      </c>
      <c r="AD9" t="inlineStr">
        <is>
          <t>DIEGO DE ALMAGRO 220</t>
        </is>
      </c>
      <c r="AE9" t="n">
        <v>113.221</v>
      </c>
      <c r="AF9" t="n">
        <v>1.080821157758461</v>
      </c>
      <c r="AG9" t="n">
        <v>122.3716523025708</v>
      </c>
      <c r="AH9" t="n">
        <v>779.3099999999999</v>
      </c>
      <c r="AI9" t="n">
        <v>0.879</v>
      </c>
      <c r="AJ9" t="n">
        <v>83.82623262085055</v>
      </c>
      <c r="AK9" t="n">
        <v>0.9133</v>
      </c>
      <c r="AL9" t="n">
        <v>76.55800000000001</v>
      </c>
      <c r="AM9" t="n">
        <v>8.9176</v>
      </c>
      <c r="AN9" t="n">
        <v>9.638330756426855</v>
      </c>
      <c r="AO9" t="n">
        <v>0.804</v>
      </c>
      <c r="AP9" t="n">
        <v>6039.043023599974</v>
      </c>
      <c r="AQ9" t="n">
        <v>0.9584006897294968</v>
      </c>
      <c r="AR9" t="n">
        <v>5787.823</v>
      </c>
      <c r="AT9" t="inlineStr">
        <is>
          <t>PNP_19T_30-12-2020</t>
        </is>
      </c>
      <c r="AU9" t="inlineStr">
        <is>
          <t>PNCP_12T_10-08-2020</t>
        </is>
      </c>
      <c r="AV9" t="inlineStr">
        <is>
          <t>PNCP_4T_30-04-2013</t>
        </is>
      </c>
      <c r="AW9" t="inlineStr">
        <is>
          <t>DIEGO DE ALMAGRO 220</t>
        </is>
      </c>
      <c r="AX9" t="n">
        <v>113.221</v>
      </c>
      <c r="AY9" t="n">
        <v>1.083385174100913</v>
      </c>
      <c r="AZ9" t="n">
        <v>122.6619527968795</v>
      </c>
      <c r="BA9" t="n">
        <v>801.49</v>
      </c>
      <c r="BB9" t="n">
        <v>0.905</v>
      </c>
      <c r="BC9" t="n">
        <v>88.97265733518969</v>
      </c>
      <c r="BD9" t="n">
        <v>0.9134</v>
      </c>
      <c r="BE9" t="n">
        <v>81.268</v>
      </c>
      <c r="BF9" t="n">
        <v>8.9176</v>
      </c>
      <c r="BG9" t="n">
        <v>0.77</v>
      </c>
      <c r="BH9" t="n">
        <v>5962.380796939026</v>
      </c>
      <c r="BI9" t="n">
        <v>1.088263821532493</v>
      </c>
      <c r="BJ9" t="n">
        <v>6488.6433</v>
      </c>
    </row>
    <row r="10">
      <c r="A10" t="n">
        <v>676</v>
      </c>
      <c r="B10" t="inlineStr">
        <is>
          <t>01-03-2021</t>
        </is>
      </c>
      <c r="C10" t="n">
        <v>2021</v>
      </c>
      <c r="D10" t="n">
        <v>1</v>
      </c>
      <c r="E10" t="inlineStr">
        <is>
          <t>NORVIND</t>
        </is>
      </c>
      <c r="F10" t="inlineStr">
        <is>
          <t>SUM_ELECDA_C</t>
        </is>
      </c>
      <c r="G10" t="inlineStr">
        <is>
          <t>C</t>
        </is>
      </c>
      <c r="H10" t="inlineStr">
        <is>
          <t>ELECDA</t>
        </is>
      </c>
      <c r="I10" t="inlineStr">
        <is>
          <t>EDALTALTC</t>
        </is>
      </c>
      <c r="J10" t="inlineStr">
        <is>
          <t>TALTAL</t>
        </is>
      </c>
      <c r="K10" t="n">
        <v>-552.8388688700001</v>
      </c>
      <c r="L10" t="inlineStr">
        <is>
          <t>TALTAL</t>
        </is>
      </c>
      <c r="M10" t="inlineStr">
        <is>
          <t>DIEGO DE ALMAGRO</t>
        </is>
      </c>
      <c r="N10" t="n">
        <v>1.0258299763344</v>
      </c>
      <c r="O10" t="n">
        <v>567.118684</v>
      </c>
      <c r="P10" t="inlineStr">
        <is>
          <t>BS4</t>
        </is>
      </c>
      <c r="Q10" t="n">
        <v>1</v>
      </c>
      <c r="W10" t="n">
        <v>1</v>
      </c>
      <c r="X10" t="n">
        <v>0</v>
      </c>
      <c r="AA10" t="inlineStr">
        <is>
          <t>PNP_16T_02-11-2020</t>
        </is>
      </c>
      <c r="AB10" t="inlineStr">
        <is>
          <t>PNCP_2T_10-02-2020</t>
        </is>
      </c>
      <c r="AC10" t="inlineStr">
        <is>
          <t>PNCP_4T_30-04-2013</t>
        </is>
      </c>
      <c r="AD10" t="inlineStr">
        <is>
          <t>DIEGO DE ALMAGRO 220</t>
        </is>
      </c>
      <c r="AE10" t="n">
        <v>113.221</v>
      </c>
      <c r="AF10" t="n">
        <v>1.080821157758461</v>
      </c>
      <c r="AG10" t="n">
        <v>122.3716523025708</v>
      </c>
      <c r="AH10" t="n">
        <v>779.3099999999999</v>
      </c>
      <c r="AI10" t="n">
        <v>0.879</v>
      </c>
      <c r="AJ10" t="n">
        <v>83.82623262085055</v>
      </c>
      <c r="AK10" t="n">
        <v>0.9133</v>
      </c>
      <c r="AL10" t="n">
        <v>76.55800000000001</v>
      </c>
      <c r="AM10" t="n">
        <v>8.9176</v>
      </c>
      <c r="AN10" t="n">
        <v>9.638330756426855</v>
      </c>
      <c r="AO10" t="n">
        <v>0.804</v>
      </c>
      <c r="AP10" t="n">
        <v>6039.043023599974</v>
      </c>
      <c r="AQ10" t="n">
        <v>0.9584006897294968</v>
      </c>
      <c r="AR10" t="n">
        <v>5787.823</v>
      </c>
      <c r="AT10" t="inlineStr">
        <is>
          <t>PNP_19T_30-12-2020</t>
        </is>
      </c>
      <c r="AU10" t="inlineStr">
        <is>
          <t>PNCP_12T_10-08-2020</t>
        </is>
      </c>
      <c r="AV10" t="inlineStr">
        <is>
          <t>PNCP_4T_30-04-2013</t>
        </is>
      </c>
      <c r="AW10" t="inlineStr">
        <is>
          <t>DIEGO DE ALMAGRO 220</t>
        </is>
      </c>
      <c r="AX10" t="n">
        <v>113.221</v>
      </c>
      <c r="AY10" t="n">
        <v>1.083385174100913</v>
      </c>
      <c r="AZ10" t="n">
        <v>122.6619527968795</v>
      </c>
      <c r="BA10" t="n">
        <v>801.49</v>
      </c>
      <c r="BB10" t="n">
        <v>0.905</v>
      </c>
      <c r="BC10" t="n">
        <v>88.97265733518969</v>
      </c>
      <c r="BD10" t="n">
        <v>0.9134</v>
      </c>
      <c r="BE10" t="n">
        <v>81.268</v>
      </c>
      <c r="BF10" t="n">
        <v>8.9176</v>
      </c>
      <c r="BG10" t="n">
        <v>0.77</v>
      </c>
      <c r="BH10" t="n">
        <v>5962.380796939026</v>
      </c>
      <c r="BI10" t="n">
        <v>1.088263821532493</v>
      </c>
      <c r="BJ10" t="n">
        <v>6488.6433</v>
      </c>
    </row>
    <row r="11">
      <c r="A11" t="n">
        <v>604</v>
      </c>
      <c r="B11" t="inlineStr">
        <is>
          <t>01-10-2020</t>
        </is>
      </c>
      <c r="C11" t="n">
        <v>2020</v>
      </c>
      <c r="D11" t="n">
        <v>1</v>
      </c>
      <c r="E11" t="inlineStr">
        <is>
          <t>NORVIND</t>
        </is>
      </c>
      <c r="F11" t="inlineStr">
        <is>
          <t>SUM_ELECDA_A</t>
        </is>
      </c>
      <c r="G11" t="inlineStr">
        <is>
          <t>A</t>
        </is>
      </c>
      <c r="H11" t="inlineStr">
        <is>
          <t>ELECDA</t>
        </is>
      </c>
      <c r="I11" t="inlineStr">
        <is>
          <t>EDALTALTA</t>
        </is>
      </c>
      <c r="J11" t="inlineStr">
        <is>
          <t>TALTAL</t>
        </is>
      </c>
      <c r="K11" t="n">
        <v>-781.07668645</v>
      </c>
      <c r="L11" t="inlineStr">
        <is>
          <t>TALTAL</t>
        </is>
      </c>
      <c r="M11" t="inlineStr">
        <is>
          <t>DIEGO DE ALMAGRO</t>
        </is>
      </c>
      <c r="N11" t="n">
        <v>1.0258299763344</v>
      </c>
      <c r="O11" t="n">
        <v>801.251879</v>
      </c>
      <c r="P11" t="inlineStr">
        <is>
          <t>BS4</t>
        </is>
      </c>
      <c r="Q11" t="n">
        <v>1</v>
      </c>
      <c r="V11" t="n">
        <v>64924.929</v>
      </c>
      <c r="W11" t="n">
        <v>1</v>
      </c>
      <c r="X11" t="n">
        <v>1.5402404e-05</v>
      </c>
      <c r="Y11" t="n">
        <v>1</v>
      </c>
      <c r="Z11" t="n">
        <v>801.251879</v>
      </c>
      <c r="AA11" t="inlineStr">
        <is>
          <t>PNP_6T_08-05-2020</t>
        </is>
      </c>
      <c r="AB11" t="inlineStr">
        <is>
          <t>PNCP_9T_12-08-2019</t>
        </is>
      </c>
      <c r="AC11" t="inlineStr">
        <is>
          <t>PNCP_4T_30-04-2013</t>
        </is>
      </c>
      <c r="AD11" t="inlineStr">
        <is>
          <t>DIEGO DE ALMAGRO 220</t>
        </is>
      </c>
      <c r="AE11" t="n">
        <v>113.221</v>
      </c>
      <c r="AF11" t="n">
        <v>1.072776031070834</v>
      </c>
      <c r="AG11" t="n">
        <v>121.4607750138709</v>
      </c>
      <c r="AH11" t="n">
        <v>694.38</v>
      </c>
      <c r="AI11" t="n">
        <v>0.875</v>
      </c>
      <c r="AJ11" t="n">
        <v>73.79744133486523</v>
      </c>
      <c r="AK11" t="n">
        <v>0.981</v>
      </c>
      <c r="AL11" t="n">
        <v>72.395</v>
      </c>
      <c r="AM11" t="n">
        <v>8.9176</v>
      </c>
      <c r="AN11" t="n">
        <v>9.566587534677272</v>
      </c>
      <c r="AO11" t="n">
        <v>0.913</v>
      </c>
      <c r="AP11" t="n">
        <v>6064.919358776563</v>
      </c>
      <c r="AQ11" t="n">
        <v>1.00689729496713</v>
      </c>
      <c r="AR11" t="n">
        <v>6106.7509</v>
      </c>
      <c r="AS11" t="n">
        <v>58006.629780205</v>
      </c>
      <c r="AT11" t="inlineStr">
        <is>
          <t>PNP_16T_02-11-2020</t>
        </is>
      </c>
      <c r="AU11" t="inlineStr">
        <is>
          <t>PNCP_2T_10-02-2020</t>
        </is>
      </c>
      <c r="AV11" t="inlineStr">
        <is>
          <t>PNCP_4T_30-04-2013</t>
        </is>
      </c>
      <c r="AW11" t="inlineStr">
        <is>
          <t>DIEGO DE ALMAGRO 220</t>
        </is>
      </c>
      <c r="AX11" t="n">
        <v>113.221</v>
      </c>
      <c r="AY11" t="n">
        <v>1.080821157758461</v>
      </c>
      <c r="AZ11" t="n">
        <v>122.3716523025708</v>
      </c>
      <c r="BA11" t="n">
        <v>779.3099999999999</v>
      </c>
      <c r="BB11" t="n">
        <v>0.879</v>
      </c>
      <c r="BC11" t="n">
        <v>83.82623262085055</v>
      </c>
      <c r="BD11" t="n">
        <v>0.9133</v>
      </c>
      <c r="BE11" t="n">
        <v>76.55800000000001</v>
      </c>
      <c r="BF11" t="n">
        <v>8.9176</v>
      </c>
      <c r="BG11" t="n">
        <v>0.804</v>
      </c>
      <c r="BH11" t="n">
        <v>6039.043023599974</v>
      </c>
      <c r="BI11" t="n">
        <v>0.9584006897294968</v>
      </c>
      <c r="BJ11" t="n">
        <v>5787.823</v>
      </c>
      <c r="BK11" t="n">
        <v>61342.24135248201</v>
      </c>
    </row>
    <row r="12">
      <c r="A12" t="n">
        <v>605</v>
      </c>
      <c r="B12" t="inlineStr">
        <is>
          <t>01-10-2020</t>
        </is>
      </c>
      <c r="C12" t="n">
        <v>2020</v>
      </c>
      <c r="D12" t="n">
        <v>1</v>
      </c>
      <c r="E12" t="inlineStr">
        <is>
          <t>NORVIND</t>
        </is>
      </c>
      <c r="F12" t="inlineStr">
        <is>
          <t>SUM_ELECDA_B</t>
        </is>
      </c>
      <c r="G12" t="inlineStr">
        <is>
          <t>B</t>
        </is>
      </c>
      <c r="H12" t="inlineStr">
        <is>
          <t>ELECDA</t>
        </is>
      </c>
      <c r="I12" t="inlineStr">
        <is>
          <t>EDALTALTB</t>
        </is>
      </c>
      <c r="J12" t="inlineStr">
        <is>
          <t>TALTAL</t>
        </is>
      </c>
      <c r="K12" t="n">
        <v>-884.41973305</v>
      </c>
      <c r="L12" t="inlineStr">
        <is>
          <t>TALTAL</t>
        </is>
      </c>
      <c r="M12" t="inlineStr">
        <is>
          <t>DIEGO DE ALMAGRO</t>
        </is>
      </c>
      <c r="N12" t="n">
        <v>1.0258299763344</v>
      </c>
      <c r="O12" t="n">
        <v>907.264274</v>
      </c>
      <c r="P12" t="inlineStr">
        <is>
          <t>BS4</t>
        </is>
      </c>
      <c r="Q12" t="n">
        <v>1</v>
      </c>
      <c r="V12" t="n">
        <v>64924.929</v>
      </c>
      <c r="W12" t="n">
        <v>1</v>
      </c>
      <c r="X12" t="n">
        <v>1.5402404e-05</v>
      </c>
      <c r="Y12" t="n">
        <v>1</v>
      </c>
      <c r="Z12" t="n">
        <v>907.264274</v>
      </c>
      <c r="AA12" t="inlineStr">
        <is>
          <t>PNP_6T_08-05-2020</t>
        </is>
      </c>
      <c r="AB12" t="inlineStr">
        <is>
          <t>PNCP_9T_12-08-2019</t>
        </is>
      </c>
      <c r="AC12" t="inlineStr">
        <is>
          <t>PNCP_4T_30-04-2013</t>
        </is>
      </c>
      <c r="AD12" t="inlineStr">
        <is>
          <t>DIEGO DE ALMAGRO 220</t>
        </is>
      </c>
      <c r="AE12" t="n">
        <v>113.221</v>
      </c>
      <c r="AF12" t="n">
        <v>1.072776031070834</v>
      </c>
      <c r="AG12" t="n">
        <v>121.4607750138709</v>
      </c>
      <c r="AH12" t="n">
        <v>694.38</v>
      </c>
      <c r="AI12" t="n">
        <v>0.875</v>
      </c>
      <c r="AJ12" t="n">
        <v>73.79744133486523</v>
      </c>
      <c r="AK12" t="n">
        <v>0.981</v>
      </c>
      <c r="AL12" t="n">
        <v>72.395</v>
      </c>
      <c r="AM12" t="n">
        <v>8.9176</v>
      </c>
      <c r="AN12" t="n">
        <v>9.566587534677272</v>
      </c>
      <c r="AO12" t="n">
        <v>0.913</v>
      </c>
      <c r="AP12" t="n">
        <v>6064.919358776563</v>
      </c>
      <c r="AQ12" t="n">
        <v>1.00689729496713</v>
      </c>
      <c r="AR12" t="n">
        <v>6106.7509</v>
      </c>
      <c r="AS12" t="n">
        <v>65681.39711623</v>
      </c>
      <c r="AT12" t="inlineStr">
        <is>
          <t>PNP_16T_02-11-2020</t>
        </is>
      </c>
      <c r="AU12" t="inlineStr">
        <is>
          <t>PNCP_2T_10-02-2020</t>
        </is>
      </c>
      <c r="AV12" t="inlineStr">
        <is>
          <t>PNCP_4T_30-04-2013</t>
        </is>
      </c>
      <c r="AW12" t="inlineStr">
        <is>
          <t>DIEGO DE ALMAGRO 220</t>
        </is>
      </c>
      <c r="AX12" t="n">
        <v>113.221</v>
      </c>
      <c r="AY12" t="n">
        <v>1.080821157758461</v>
      </c>
      <c r="AZ12" t="n">
        <v>122.3716523025708</v>
      </c>
      <c r="BA12" t="n">
        <v>779.3099999999999</v>
      </c>
      <c r="BB12" t="n">
        <v>0.879</v>
      </c>
      <c r="BC12" t="n">
        <v>83.82623262085055</v>
      </c>
      <c r="BD12" t="n">
        <v>0.9133</v>
      </c>
      <c r="BE12" t="n">
        <v>76.55800000000001</v>
      </c>
      <c r="BF12" t="n">
        <v>8.9176</v>
      </c>
      <c r="BG12" t="n">
        <v>0.804</v>
      </c>
      <c r="BH12" t="n">
        <v>6039.043023599974</v>
      </c>
      <c r="BI12" t="n">
        <v>0.9584006897294968</v>
      </c>
      <c r="BJ12" t="n">
        <v>5787.823</v>
      </c>
      <c r="BK12" t="n">
        <v>69458.338288892</v>
      </c>
    </row>
    <row r="13">
      <c r="A13" t="n">
        <v>606</v>
      </c>
      <c r="B13" t="inlineStr">
        <is>
          <t>01-10-2020</t>
        </is>
      </c>
      <c r="C13" t="n">
        <v>2020</v>
      </c>
      <c r="D13" t="n">
        <v>1</v>
      </c>
      <c r="E13" t="inlineStr">
        <is>
          <t>NORVIND</t>
        </is>
      </c>
      <c r="F13" t="inlineStr">
        <is>
          <t>SUM_ELECDA_C</t>
        </is>
      </c>
      <c r="G13" t="inlineStr">
        <is>
          <t>C</t>
        </is>
      </c>
      <c r="H13" t="inlineStr">
        <is>
          <t>ELECDA</t>
        </is>
      </c>
      <c r="I13" t="inlineStr">
        <is>
          <t>EDALTALTC</t>
        </is>
      </c>
      <c r="J13" t="inlineStr">
        <is>
          <t>TALTAL</t>
        </is>
      </c>
      <c r="K13" t="n">
        <v>-616.70202349</v>
      </c>
      <c r="L13" t="inlineStr">
        <is>
          <t>TALTAL</t>
        </is>
      </c>
      <c r="M13" t="inlineStr">
        <is>
          <t>DIEGO DE ALMAGRO</t>
        </is>
      </c>
      <c r="N13" t="n">
        <v>1.0258299763344</v>
      </c>
      <c r="O13" t="n">
        <v>632.631422</v>
      </c>
      <c r="P13" t="inlineStr">
        <is>
          <t>BS4</t>
        </is>
      </c>
      <c r="Q13" t="n">
        <v>1</v>
      </c>
      <c r="V13" t="n">
        <v>64924.929</v>
      </c>
      <c r="W13" t="n">
        <v>1</v>
      </c>
      <c r="X13" t="n">
        <v>1.5402404e-05</v>
      </c>
      <c r="Y13" t="n">
        <v>1</v>
      </c>
      <c r="Z13" t="n">
        <v>632.631422</v>
      </c>
      <c r="AA13" t="inlineStr">
        <is>
          <t>PNP_6T_08-05-2020</t>
        </is>
      </c>
      <c r="AB13" t="inlineStr">
        <is>
          <t>PNCP_9T_12-08-2019</t>
        </is>
      </c>
      <c r="AC13" t="inlineStr">
        <is>
          <t>PNCP_4T_30-04-2013</t>
        </is>
      </c>
      <c r="AD13" t="inlineStr">
        <is>
          <t>DIEGO DE ALMAGRO 220</t>
        </is>
      </c>
      <c r="AE13" t="n">
        <v>113.221</v>
      </c>
      <c r="AF13" t="n">
        <v>1.072776031070834</v>
      </c>
      <c r="AG13" t="n">
        <v>121.4607750138709</v>
      </c>
      <c r="AH13" t="n">
        <v>694.38</v>
      </c>
      <c r="AI13" t="n">
        <v>0.875</v>
      </c>
      <c r="AJ13" t="n">
        <v>73.79744133486523</v>
      </c>
      <c r="AK13" t="n">
        <v>0.981</v>
      </c>
      <c r="AL13" t="n">
        <v>72.395</v>
      </c>
      <c r="AM13" t="n">
        <v>8.9176</v>
      </c>
      <c r="AN13" t="n">
        <v>9.566587534677272</v>
      </c>
      <c r="AO13" t="n">
        <v>0.913</v>
      </c>
      <c r="AP13" t="n">
        <v>6064.919358776563</v>
      </c>
      <c r="AQ13" t="n">
        <v>1.00689729496713</v>
      </c>
      <c r="AR13" t="n">
        <v>6106.7509</v>
      </c>
      <c r="AS13" t="n">
        <v>45799.35179569</v>
      </c>
      <c r="AT13" t="inlineStr">
        <is>
          <t>PNP_16T_02-11-2020</t>
        </is>
      </c>
      <c r="AU13" t="inlineStr">
        <is>
          <t>PNCP_2T_10-02-2020</t>
        </is>
      </c>
      <c r="AV13" t="inlineStr">
        <is>
          <t>PNCP_4T_30-04-2013</t>
        </is>
      </c>
      <c r="AW13" t="inlineStr">
        <is>
          <t>DIEGO DE ALMAGRO 220</t>
        </is>
      </c>
      <c r="AX13" t="n">
        <v>113.221</v>
      </c>
      <c r="AY13" t="n">
        <v>1.080821157758461</v>
      </c>
      <c r="AZ13" t="n">
        <v>122.3716523025708</v>
      </c>
      <c r="BA13" t="n">
        <v>779.3099999999999</v>
      </c>
      <c r="BB13" t="n">
        <v>0.879</v>
      </c>
      <c r="BC13" t="n">
        <v>83.82623262085055</v>
      </c>
      <c r="BD13" t="n">
        <v>0.9133</v>
      </c>
      <c r="BE13" t="n">
        <v>76.55800000000001</v>
      </c>
      <c r="BF13" t="n">
        <v>8.9176</v>
      </c>
      <c r="BG13" t="n">
        <v>0.804</v>
      </c>
      <c r="BH13" t="n">
        <v>6039.043023599974</v>
      </c>
      <c r="BI13" t="n">
        <v>0.9584006897294968</v>
      </c>
      <c r="BJ13" t="n">
        <v>5787.823</v>
      </c>
      <c r="BK13" t="n">
        <v>48432.99640547601</v>
      </c>
    </row>
    <row r="14">
      <c r="A14" t="n">
        <v>618</v>
      </c>
      <c r="B14" t="inlineStr">
        <is>
          <t>01-11-2020</t>
        </is>
      </c>
      <c r="C14" t="n">
        <v>2020</v>
      </c>
      <c r="D14" t="n">
        <v>1</v>
      </c>
      <c r="E14" t="inlineStr">
        <is>
          <t>NORVIND</t>
        </is>
      </c>
      <c r="F14" t="inlineStr">
        <is>
          <t>SUM_ELECDA_A</t>
        </is>
      </c>
      <c r="G14" t="inlineStr">
        <is>
          <t>A</t>
        </is>
      </c>
      <c r="H14" t="inlineStr">
        <is>
          <t>ELECDA</t>
        </is>
      </c>
      <c r="I14" t="inlineStr">
        <is>
          <t>EDALTALTA</t>
        </is>
      </c>
      <c r="J14" t="inlineStr">
        <is>
          <t>TALTAL</t>
        </is>
      </c>
      <c r="K14" t="n">
        <v>-769.44318733</v>
      </c>
      <c r="L14" t="inlineStr">
        <is>
          <t>TALTAL</t>
        </is>
      </c>
      <c r="M14" t="inlineStr">
        <is>
          <t>DIEGO DE ALMAGRO</t>
        </is>
      </c>
      <c r="N14" t="n">
        <v>1.0258299763344</v>
      </c>
      <c r="O14" t="n">
        <v>789.317887</v>
      </c>
      <c r="P14" t="inlineStr">
        <is>
          <t>BS4</t>
        </is>
      </c>
      <c r="Q14" t="n">
        <v>1</v>
      </c>
      <c r="V14" t="n">
        <v>64924.929</v>
      </c>
      <c r="W14" t="n">
        <v>1</v>
      </c>
      <c r="X14" t="n">
        <v>1.5402404e-05</v>
      </c>
      <c r="Y14" t="n">
        <v>1</v>
      </c>
      <c r="Z14" t="n">
        <v>789.317887</v>
      </c>
      <c r="AA14" t="inlineStr">
        <is>
          <t>PNP_6T_08-05-2020</t>
        </is>
      </c>
      <c r="AB14" t="inlineStr">
        <is>
          <t>PNCP_9T_12-08-2019</t>
        </is>
      </c>
      <c r="AC14" t="inlineStr">
        <is>
          <t>PNCP_4T_30-04-2013</t>
        </is>
      </c>
      <c r="AD14" t="inlineStr">
        <is>
          <t>DIEGO DE ALMAGRO 220</t>
        </is>
      </c>
      <c r="AE14" t="n">
        <v>113.221</v>
      </c>
      <c r="AF14" t="n">
        <v>1.072776031070834</v>
      </c>
      <c r="AG14" t="n">
        <v>121.4607750138709</v>
      </c>
      <c r="AH14" t="n">
        <v>694.38</v>
      </c>
      <c r="AI14" t="n">
        <v>0.875</v>
      </c>
      <c r="AJ14" t="n">
        <v>73.79744133486523</v>
      </c>
      <c r="AK14" t="n">
        <v>0.981</v>
      </c>
      <c r="AL14" t="n">
        <v>72.395</v>
      </c>
      <c r="AM14" t="n">
        <v>8.9176</v>
      </c>
      <c r="AN14" t="n">
        <v>9.566587534677272</v>
      </c>
      <c r="AO14" t="n">
        <v>0.913</v>
      </c>
      <c r="AP14" t="n">
        <v>6064.919358776563</v>
      </c>
      <c r="AQ14" t="n">
        <v>1.00689729496713</v>
      </c>
      <c r="AR14" t="n">
        <v>6106.7509</v>
      </c>
      <c r="AS14" t="n">
        <v>57142.668429365</v>
      </c>
      <c r="AT14" t="inlineStr">
        <is>
          <t>PNP_16T_02-11-2020</t>
        </is>
      </c>
      <c r="AU14" t="inlineStr">
        <is>
          <t>PNCP_2T_10-02-2020</t>
        </is>
      </c>
      <c r="AV14" t="inlineStr">
        <is>
          <t>PNCP_4T_30-04-2013</t>
        </is>
      </c>
      <c r="AW14" t="inlineStr">
        <is>
          <t>DIEGO DE ALMAGRO 220</t>
        </is>
      </c>
      <c r="AX14" t="n">
        <v>113.221</v>
      </c>
      <c r="AY14" t="n">
        <v>1.080821157758461</v>
      </c>
      <c r="AZ14" t="n">
        <v>122.3716523025708</v>
      </c>
      <c r="BA14" t="n">
        <v>779.3099999999999</v>
      </c>
      <c r="BB14" t="n">
        <v>0.879</v>
      </c>
      <c r="BC14" t="n">
        <v>83.82623262085055</v>
      </c>
      <c r="BD14" t="n">
        <v>0.9133</v>
      </c>
      <c r="BE14" t="n">
        <v>76.55800000000001</v>
      </c>
      <c r="BF14" t="n">
        <v>8.9176</v>
      </c>
      <c r="BG14" t="n">
        <v>0.804</v>
      </c>
      <c r="BH14" t="n">
        <v>6039.043023599974</v>
      </c>
      <c r="BI14" t="n">
        <v>0.9584006897294968</v>
      </c>
      <c r="BJ14" t="n">
        <v>5787.823</v>
      </c>
      <c r="BK14" t="n">
        <v>60428.59879294601</v>
      </c>
    </row>
    <row r="15">
      <c r="A15" t="n">
        <v>619</v>
      </c>
      <c r="B15" t="inlineStr">
        <is>
          <t>01-11-2020</t>
        </is>
      </c>
      <c r="C15" t="n">
        <v>2020</v>
      </c>
      <c r="D15" t="n">
        <v>1</v>
      </c>
      <c r="E15" t="inlineStr">
        <is>
          <t>NORVIND</t>
        </is>
      </c>
      <c r="F15" t="inlineStr">
        <is>
          <t>SUM_ELECDA_B</t>
        </is>
      </c>
      <c r="G15" t="inlineStr">
        <is>
          <t>B</t>
        </is>
      </c>
      <c r="H15" t="inlineStr">
        <is>
          <t>ELECDA</t>
        </is>
      </c>
      <c r="I15" t="inlineStr">
        <is>
          <t>EDALTALTB</t>
        </is>
      </c>
      <c r="J15" t="inlineStr">
        <is>
          <t>TALTAL</t>
        </is>
      </c>
      <c r="K15" t="n">
        <v>-865.20005292</v>
      </c>
      <c r="L15" t="inlineStr">
        <is>
          <t>TALTAL</t>
        </is>
      </c>
      <c r="M15" t="inlineStr">
        <is>
          <t>DIEGO DE ALMAGRO</t>
        </is>
      </c>
      <c r="N15" t="n">
        <v>1.0258299763344</v>
      </c>
      <c r="O15" t="n">
        <v>887.54815</v>
      </c>
      <c r="P15" t="inlineStr">
        <is>
          <t>BS4</t>
        </is>
      </c>
      <c r="Q15" t="n">
        <v>1</v>
      </c>
      <c r="V15" t="n">
        <v>64924.929</v>
      </c>
      <c r="W15" t="n">
        <v>1</v>
      </c>
      <c r="X15" t="n">
        <v>1.5402404e-05</v>
      </c>
      <c r="Y15" t="n">
        <v>1</v>
      </c>
      <c r="Z15" t="n">
        <v>887.54815</v>
      </c>
      <c r="AA15" t="inlineStr">
        <is>
          <t>PNP_6T_08-05-2020</t>
        </is>
      </c>
      <c r="AB15" t="inlineStr">
        <is>
          <t>PNCP_9T_12-08-2019</t>
        </is>
      </c>
      <c r="AC15" t="inlineStr">
        <is>
          <t>PNCP_4T_30-04-2013</t>
        </is>
      </c>
      <c r="AD15" t="inlineStr">
        <is>
          <t>DIEGO DE ALMAGRO 220</t>
        </is>
      </c>
      <c r="AE15" t="n">
        <v>113.221</v>
      </c>
      <c r="AF15" t="n">
        <v>1.072776031070834</v>
      </c>
      <c r="AG15" t="n">
        <v>121.4607750138709</v>
      </c>
      <c r="AH15" t="n">
        <v>694.38</v>
      </c>
      <c r="AI15" t="n">
        <v>0.875</v>
      </c>
      <c r="AJ15" t="n">
        <v>73.79744133486523</v>
      </c>
      <c r="AK15" t="n">
        <v>0.981</v>
      </c>
      <c r="AL15" t="n">
        <v>72.395</v>
      </c>
      <c r="AM15" t="n">
        <v>8.9176</v>
      </c>
      <c r="AN15" t="n">
        <v>9.566587534677272</v>
      </c>
      <c r="AO15" t="n">
        <v>0.913</v>
      </c>
      <c r="AP15" t="n">
        <v>6064.919358776563</v>
      </c>
      <c r="AQ15" t="n">
        <v>1.00689729496713</v>
      </c>
      <c r="AR15" t="n">
        <v>6106.7509</v>
      </c>
      <c r="AS15" t="n">
        <v>64254.04831925</v>
      </c>
      <c r="AT15" t="inlineStr">
        <is>
          <t>PNP_16T_02-11-2020</t>
        </is>
      </c>
      <c r="AU15" t="inlineStr">
        <is>
          <t>PNCP_2T_10-02-2020</t>
        </is>
      </c>
      <c r="AV15" t="inlineStr">
        <is>
          <t>PNCP_4T_30-04-2013</t>
        </is>
      </c>
      <c r="AW15" t="inlineStr">
        <is>
          <t>DIEGO DE ALMAGRO 220</t>
        </is>
      </c>
      <c r="AX15" t="n">
        <v>113.221</v>
      </c>
      <c r="AY15" t="n">
        <v>1.080821157758461</v>
      </c>
      <c r="AZ15" t="n">
        <v>122.3716523025708</v>
      </c>
      <c r="BA15" t="n">
        <v>779.3099999999999</v>
      </c>
      <c r="BB15" t="n">
        <v>0.879</v>
      </c>
      <c r="BC15" t="n">
        <v>83.82623262085055</v>
      </c>
      <c r="BD15" t="n">
        <v>0.9133</v>
      </c>
      <c r="BE15" t="n">
        <v>76.55800000000001</v>
      </c>
      <c r="BF15" t="n">
        <v>8.9176</v>
      </c>
      <c r="BG15" t="n">
        <v>0.804</v>
      </c>
      <c r="BH15" t="n">
        <v>6039.043023599974</v>
      </c>
      <c r="BI15" t="n">
        <v>0.9584006897294968</v>
      </c>
      <c r="BJ15" t="n">
        <v>5787.823</v>
      </c>
      <c r="BK15" t="n">
        <v>67948.91126770001</v>
      </c>
    </row>
    <row r="16">
      <c r="A16" t="n">
        <v>620</v>
      </c>
      <c r="B16" t="inlineStr">
        <is>
          <t>01-11-2020</t>
        </is>
      </c>
      <c r="C16" t="n">
        <v>2020</v>
      </c>
      <c r="D16" t="n">
        <v>1</v>
      </c>
      <c r="E16" t="inlineStr">
        <is>
          <t>NORVIND</t>
        </is>
      </c>
      <c r="F16" t="inlineStr">
        <is>
          <t>SUM_ELECDA_C</t>
        </is>
      </c>
      <c r="G16" t="inlineStr">
        <is>
          <t>C</t>
        </is>
      </c>
      <c r="H16" t="inlineStr">
        <is>
          <t>ELECDA</t>
        </is>
      </c>
      <c r="I16" t="inlineStr">
        <is>
          <t>EDALTALTC</t>
        </is>
      </c>
      <c r="J16" t="inlineStr">
        <is>
          <t>TALTAL</t>
        </is>
      </c>
      <c r="K16" t="n">
        <v>-591.11830277</v>
      </c>
      <c r="L16" t="inlineStr">
        <is>
          <t>TALTAL</t>
        </is>
      </c>
      <c r="M16" t="inlineStr">
        <is>
          <t>DIEGO DE ALMAGRO</t>
        </is>
      </c>
      <c r="N16" t="n">
        <v>1.0258299763344</v>
      </c>
      <c r="O16" t="n">
        <v>606.386875</v>
      </c>
      <c r="P16" t="inlineStr">
        <is>
          <t>BS4</t>
        </is>
      </c>
      <c r="Q16" t="n">
        <v>1</v>
      </c>
      <c r="V16" t="n">
        <v>64924.929</v>
      </c>
      <c r="W16" t="n">
        <v>1</v>
      </c>
      <c r="X16" t="n">
        <v>1.5402404e-05</v>
      </c>
      <c r="Y16" t="n">
        <v>1</v>
      </c>
      <c r="Z16" t="n">
        <v>606.386875</v>
      </c>
      <c r="AA16" t="inlineStr">
        <is>
          <t>PNP_6T_08-05-2020</t>
        </is>
      </c>
      <c r="AB16" t="inlineStr">
        <is>
          <t>PNCP_9T_12-08-2019</t>
        </is>
      </c>
      <c r="AC16" t="inlineStr">
        <is>
          <t>PNCP_4T_30-04-2013</t>
        </is>
      </c>
      <c r="AD16" t="inlineStr">
        <is>
          <t>DIEGO DE ALMAGRO 220</t>
        </is>
      </c>
      <c r="AE16" t="n">
        <v>113.221</v>
      </c>
      <c r="AF16" t="n">
        <v>1.072776031070834</v>
      </c>
      <c r="AG16" t="n">
        <v>121.4607750138709</v>
      </c>
      <c r="AH16" t="n">
        <v>694.38</v>
      </c>
      <c r="AI16" t="n">
        <v>0.875</v>
      </c>
      <c r="AJ16" t="n">
        <v>73.79744133486523</v>
      </c>
      <c r="AK16" t="n">
        <v>0.981</v>
      </c>
      <c r="AL16" t="n">
        <v>72.395</v>
      </c>
      <c r="AM16" t="n">
        <v>8.9176</v>
      </c>
      <c r="AN16" t="n">
        <v>9.566587534677272</v>
      </c>
      <c r="AO16" t="n">
        <v>0.913</v>
      </c>
      <c r="AP16" t="n">
        <v>6064.919358776563</v>
      </c>
      <c r="AQ16" t="n">
        <v>1.00689729496713</v>
      </c>
      <c r="AR16" t="n">
        <v>6106.7509</v>
      </c>
      <c r="AS16" t="n">
        <v>43899.377815625</v>
      </c>
      <c r="AT16" t="inlineStr">
        <is>
          <t>PNP_16T_02-11-2020</t>
        </is>
      </c>
      <c r="AU16" t="inlineStr">
        <is>
          <t>PNCP_2T_10-02-2020</t>
        </is>
      </c>
      <c r="AV16" t="inlineStr">
        <is>
          <t>PNCP_4T_30-04-2013</t>
        </is>
      </c>
      <c r="AW16" t="inlineStr">
        <is>
          <t>DIEGO DE ALMAGRO 220</t>
        </is>
      </c>
      <c r="AX16" t="n">
        <v>113.221</v>
      </c>
      <c r="AY16" t="n">
        <v>1.080821157758461</v>
      </c>
      <c r="AZ16" t="n">
        <v>122.3716523025708</v>
      </c>
      <c r="BA16" t="n">
        <v>779.3099999999999</v>
      </c>
      <c r="BB16" t="n">
        <v>0.879</v>
      </c>
      <c r="BC16" t="n">
        <v>83.82623262085055</v>
      </c>
      <c r="BD16" t="n">
        <v>0.9133</v>
      </c>
      <c r="BE16" t="n">
        <v>76.55800000000001</v>
      </c>
      <c r="BF16" t="n">
        <v>8.9176</v>
      </c>
      <c r="BG16" t="n">
        <v>0.804</v>
      </c>
      <c r="BH16" t="n">
        <v>6039.043023599974</v>
      </c>
      <c r="BI16" t="n">
        <v>0.9584006897294968</v>
      </c>
      <c r="BJ16" t="n">
        <v>5787.823</v>
      </c>
      <c r="BK16" t="n">
        <v>46423.76637625001</v>
      </c>
    </row>
    <row r="17">
      <c r="A17" t="n">
        <v>632</v>
      </c>
      <c r="B17" t="inlineStr">
        <is>
          <t>01-12-2020</t>
        </is>
      </c>
      <c r="C17" t="n">
        <v>2020</v>
      </c>
      <c r="D17" t="n">
        <v>1</v>
      </c>
      <c r="E17" t="inlineStr">
        <is>
          <t>NORVIND</t>
        </is>
      </c>
      <c r="F17" t="inlineStr">
        <is>
          <t>SUM_ELECDA_A</t>
        </is>
      </c>
      <c r="G17" t="inlineStr">
        <is>
          <t>A</t>
        </is>
      </c>
      <c r="H17" t="inlineStr">
        <is>
          <t>ELECDA</t>
        </is>
      </c>
      <c r="I17" t="inlineStr">
        <is>
          <t>EDALTALTA</t>
        </is>
      </c>
      <c r="J17" t="inlineStr">
        <is>
          <t>TALTAL</t>
        </is>
      </c>
      <c r="K17" t="n">
        <v>-790.60507922</v>
      </c>
      <c r="L17" t="inlineStr">
        <is>
          <t>TALTAL</t>
        </is>
      </c>
      <c r="M17" t="inlineStr">
        <is>
          <t>DIEGO DE ALMAGRO</t>
        </is>
      </c>
      <c r="N17" t="n">
        <v>1.0258299763344</v>
      </c>
      <c r="O17" t="n">
        <v>811.02639</v>
      </c>
      <c r="P17" t="inlineStr">
        <is>
          <t>BS4</t>
        </is>
      </c>
      <c r="Q17" t="n">
        <v>1</v>
      </c>
      <c r="V17" t="n">
        <v>64924.929</v>
      </c>
      <c r="W17" t="n">
        <v>1</v>
      </c>
      <c r="X17" t="n">
        <v>1.5402404e-05</v>
      </c>
      <c r="Y17" t="n">
        <v>1</v>
      </c>
      <c r="Z17" t="n">
        <v>811.02639</v>
      </c>
      <c r="AA17" t="inlineStr">
        <is>
          <t>PNP_6T_08-05-2020</t>
        </is>
      </c>
      <c r="AB17" t="inlineStr">
        <is>
          <t>PNCP_9T_12-08-2019</t>
        </is>
      </c>
      <c r="AC17" t="inlineStr">
        <is>
          <t>PNCP_4T_30-04-2013</t>
        </is>
      </c>
      <c r="AD17" t="inlineStr">
        <is>
          <t>DIEGO DE ALMAGRO 220</t>
        </is>
      </c>
      <c r="AE17" t="n">
        <v>113.221</v>
      </c>
      <c r="AF17" t="n">
        <v>1.072776031070834</v>
      </c>
      <c r="AG17" t="n">
        <v>121.4607750138709</v>
      </c>
      <c r="AH17" t="n">
        <v>694.38</v>
      </c>
      <c r="AI17" t="n">
        <v>0.875</v>
      </c>
      <c r="AJ17" t="n">
        <v>73.79744133486523</v>
      </c>
      <c r="AK17" t="n">
        <v>0.981</v>
      </c>
      <c r="AL17" t="n">
        <v>72.395</v>
      </c>
      <c r="AM17" t="n">
        <v>8.9176</v>
      </c>
      <c r="AN17" t="n">
        <v>9.566587534677272</v>
      </c>
      <c r="AO17" t="n">
        <v>0.913</v>
      </c>
      <c r="AP17" t="n">
        <v>6064.919358776563</v>
      </c>
      <c r="AQ17" t="n">
        <v>1.00689729496713</v>
      </c>
      <c r="AR17" t="n">
        <v>6106.7509</v>
      </c>
      <c r="AS17" t="n">
        <v>58714.25550404999</v>
      </c>
      <c r="AT17" t="inlineStr">
        <is>
          <t>PNP_16T_02-11-2020</t>
        </is>
      </c>
      <c r="AU17" t="inlineStr">
        <is>
          <t>PNCP_2T_10-02-2020</t>
        </is>
      </c>
      <c r="AV17" t="inlineStr">
        <is>
          <t>PNCP_4T_30-04-2013</t>
        </is>
      </c>
      <c r="AW17" t="inlineStr">
        <is>
          <t>DIEGO DE ALMAGRO 220</t>
        </is>
      </c>
      <c r="AX17" t="n">
        <v>113.221</v>
      </c>
      <c r="AY17" t="n">
        <v>1.080821157758461</v>
      </c>
      <c r="AZ17" t="n">
        <v>122.3716523025708</v>
      </c>
      <c r="BA17" t="n">
        <v>779.3099999999999</v>
      </c>
      <c r="BB17" t="n">
        <v>0.879</v>
      </c>
      <c r="BC17" t="n">
        <v>83.82623262085055</v>
      </c>
      <c r="BD17" t="n">
        <v>0.9133</v>
      </c>
      <c r="BE17" t="n">
        <v>76.55800000000001</v>
      </c>
      <c r="BF17" t="n">
        <v>8.9176</v>
      </c>
      <c r="BG17" t="n">
        <v>0.804</v>
      </c>
      <c r="BH17" t="n">
        <v>6039.043023599974</v>
      </c>
      <c r="BI17" t="n">
        <v>0.9584006897294968</v>
      </c>
      <c r="BJ17" t="n">
        <v>5787.823</v>
      </c>
      <c r="BK17" t="n">
        <v>62090.55836562</v>
      </c>
    </row>
    <row r="18">
      <c r="A18" t="n">
        <v>633</v>
      </c>
      <c r="B18" t="inlineStr">
        <is>
          <t>01-12-2020</t>
        </is>
      </c>
      <c r="C18" t="n">
        <v>2020</v>
      </c>
      <c r="D18" t="n">
        <v>1</v>
      </c>
      <c r="E18" t="inlineStr">
        <is>
          <t>NORVIND</t>
        </is>
      </c>
      <c r="F18" t="inlineStr">
        <is>
          <t>SUM_ELECDA_B</t>
        </is>
      </c>
      <c r="G18" t="inlineStr">
        <is>
          <t>B</t>
        </is>
      </c>
      <c r="H18" t="inlineStr">
        <is>
          <t>ELECDA</t>
        </is>
      </c>
      <c r="I18" t="inlineStr">
        <is>
          <t>EDALTALTB</t>
        </is>
      </c>
      <c r="J18" t="inlineStr">
        <is>
          <t>TALTAL</t>
        </is>
      </c>
      <c r="K18" t="n">
        <v>-884.70613379</v>
      </c>
      <c r="L18" t="inlineStr">
        <is>
          <t>TALTAL</t>
        </is>
      </c>
      <c r="M18" t="inlineStr">
        <is>
          <t>DIEGO DE ALMAGRO</t>
        </is>
      </c>
      <c r="N18" t="n">
        <v>1.0258299763344</v>
      </c>
      <c r="O18" t="n">
        <v>907.558072</v>
      </c>
      <c r="P18" t="inlineStr">
        <is>
          <t>BS4</t>
        </is>
      </c>
      <c r="Q18" t="n">
        <v>1</v>
      </c>
      <c r="V18" t="n">
        <v>64924.929</v>
      </c>
      <c r="W18" t="n">
        <v>1</v>
      </c>
      <c r="X18" t="n">
        <v>1.5402404e-05</v>
      </c>
      <c r="Y18" t="n">
        <v>1</v>
      </c>
      <c r="Z18" t="n">
        <v>907.558072</v>
      </c>
      <c r="AA18" t="inlineStr">
        <is>
          <t>PNP_6T_08-05-2020</t>
        </is>
      </c>
      <c r="AB18" t="inlineStr">
        <is>
          <t>PNCP_9T_12-08-2019</t>
        </is>
      </c>
      <c r="AC18" t="inlineStr">
        <is>
          <t>PNCP_4T_30-04-2013</t>
        </is>
      </c>
      <c r="AD18" t="inlineStr">
        <is>
          <t>DIEGO DE ALMAGRO 220</t>
        </is>
      </c>
      <c r="AE18" t="n">
        <v>113.221</v>
      </c>
      <c r="AF18" t="n">
        <v>1.072776031070834</v>
      </c>
      <c r="AG18" t="n">
        <v>121.4607750138709</v>
      </c>
      <c r="AH18" t="n">
        <v>694.38</v>
      </c>
      <c r="AI18" t="n">
        <v>0.875</v>
      </c>
      <c r="AJ18" t="n">
        <v>73.79744133486523</v>
      </c>
      <c r="AK18" t="n">
        <v>0.981</v>
      </c>
      <c r="AL18" t="n">
        <v>72.395</v>
      </c>
      <c r="AM18" t="n">
        <v>8.9176</v>
      </c>
      <c r="AN18" t="n">
        <v>9.566587534677272</v>
      </c>
      <c r="AO18" t="n">
        <v>0.913</v>
      </c>
      <c r="AP18" t="n">
        <v>6064.919358776563</v>
      </c>
      <c r="AQ18" t="n">
        <v>1.00689729496713</v>
      </c>
      <c r="AR18" t="n">
        <v>6106.7509</v>
      </c>
      <c r="AS18" t="n">
        <v>65702.66662244</v>
      </c>
      <c r="AT18" t="inlineStr">
        <is>
          <t>PNP_16T_02-11-2020</t>
        </is>
      </c>
      <c r="AU18" t="inlineStr">
        <is>
          <t>PNCP_2T_10-02-2020</t>
        </is>
      </c>
      <c r="AV18" t="inlineStr">
        <is>
          <t>PNCP_4T_30-04-2013</t>
        </is>
      </c>
      <c r="AW18" t="inlineStr">
        <is>
          <t>DIEGO DE ALMAGRO 220</t>
        </is>
      </c>
      <c r="AX18" t="n">
        <v>113.221</v>
      </c>
      <c r="AY18" t="n">
        <v>1.080821157758461</v>
      </c>
      <c r="AZ18" t="n">
        <v>122.3716523025708</v>
      </c>
      <c r="BA18" t="n">
        <v>779.3099999999999</v>
      </c>
      <c r="BB18" t="n">
        <v>0.879</v>
      </c>
      <c r="BC18" t="n">
        <v>83.82623262085055</v>
      </c>
      <c r="BD18" t="n">
        <v>0.9133</v>
      </c>
      <c r="BE18" t="n">
        <v>76.55800000000001</v>
      </c>
      <c r="BF18" t="n">
        <v>8.9176</v>
      </c>
      <c r="BG18" t="n">
        <v>0.804</v>
      </c>
      <c r="BH18" t="n">
        <v>6039.043023599974</v>
      </c>
      <c r="BI18" t="n">
        <v>0.9584006897294968</v>
      </c>
      <c r="BJ18" t="n">
        <v>5787.823</v>
      </c>
      <c r="BK18" t="n">
        <v>69480.83087617601</v>
      </c>
    </row>
    <row r="19">
      <c r="A19" t="n">
        <v>634</v>
      </c>
      <c r="B19" t="inlineStr">
        <is>
          <t>01-12-2020</t>
        </is>
      </c>
      <c r="C19" t="n">
        <v>2020</v>
      </c>
      <c r="D19" t="n">
        <v>1</v>
      </c>
      <c r="E19" t="inlineStr">
        <is>
          <t>NORVIND</t>
        </is>
      </c>
      <c r="F19" t="inlineStr">
        <is>
          <t>SUM_ELECDA_C</t>
        </is>
      </c>
      <c r="G19" t="inlineStr">
        <is>
          <t>C</t>
        </is>
      </c>
      <c r="H19" t="inlineStr">
        <is>
          <t>ELECDA</t>
        </is>
      </c>
      <c r="I19" t="inlineStr">
        <is>
          <t>EDALTALTC</t>
        </is>
      </c>
      <c r="J19" t="inlineStr">
        <is>
          <t>TALTAL</t>
        </is>
      </c>
      <c r="K19" t="n">
        <v>-595.37595719</v>
      </c>
      <c r="L19" t="inlineStr">
        <is>
          <t>TALTAL</t>
        </is>
      </c>
      <c r="M19" t="inlineStr">
        <is>
          <t>DIEGO DE ALMAGRO</t>
        </is>
      </c>
      <c r="N19" t="n">
        <v>1.0258299763344</v>
      </c>
      <c r="O19" t="n">
        <v>610.754504</v>
      </c>
      <c r="P19" t="inlineStr">
        <is>
          <t>BS4</t>
        </is>
      </c>
      <c r="Q19" t="n">
        <v>1</v>
      </c>
      <c r="V19" t="n">
        <v>64924.929</v>
      </c>
      <c r="W19" t="n">
        <v>1</v>
      </c>
      <c r="X19" t="n">
        <v>1.5402404e-05</v>
      </c>
      <c r="Y19" t="n">
        <v>1</v>
      </c>
      <c r="Z19" t="n">
        <v>610.754504</v>
      </c>
      <c r="AA19" t="inlineStr">
        <is>
          <t>PNP_6T_08-05-2020</t>
        </is>
      </c>
      <c r="AB19" t="inlineStr">
        <is>
          <t>PNCP_9T_12-08-2019</t>
        </is>
      </c>
      <c r="AC19" t="inlineStr">
        <is>
          <t>PNCP_4T_30-04-2013</t>
        </is>
      </c>
      <c r="AD19" t="inlineStr">
        <is>
          <t>DIEGO DE ALMAGRO 220</t>
        </is>
      </c>
      <c r="AE19" t="n">
        <v>113.221</v>
      </c>
      <c r="AF19" t="n">
        <v>1.072776031070834</v>
      </c>
      <c r="AG19" t="n">
        <v>121.4607750138709</v>
      </c>
      <c r="AH19" t="n">
        <v>694.38</v>
      </c>
      <c r="AI19" t="n">
        <v>0.875</v>
      </c>
      <c r="AJ19" t="n">
        <v>73.79744133486523</v>
      </c>
      <c r="AK19" t="n">
        <v>0.981</v>
      </c>
      <c r="AL19" t="n">
        <v>72.395</v>
      </c>
      <c r="AM19" t="n">
        <v>8.9176</v>
      </c>
      <c r="AN19" t="n">
        <v>9.566587534677272</v>
      </c>
      <c r="AO19" t="n">
        <v>0.913</v>
      </c>
      <c r="AP19" t="n">
        <v>6064.919358776563</v>
      </c>
      <c r="AQ19" t="n">
        <v>1.00689729496713</v>
      </c>
      <c r="AR19" t="n">
        <v>6106.7509</v>
      </c>
      <c r="AS19" t="n">
        <v>44215.57231708</v>
      </c>
      <c r="AT19" t="inlineStr">
        <is>
          <t>PNP_16T_02-11-2020</t>
        </is>
      </c>
      <c r="AU19" t="inlineStr">
        <is>
          <t>PNCP_2T_10-02-2020</t>
        </is>
      </c>
      <c r="AV19" t="inlineStr">
        <is>
          <t>PNCP_4T_30-04-2013</t>
        </is>
      </c>
      <c r="AW19" t="inlineStr">
        <is>
          <t>DIEGO DE ALMAGRO 220</t>
        </is>
      </c>
      <c r="AX19" t="n">
        <v>113.221</v>
      </c>
      <c r="AY19" t="n">
        <v>1.080821157758461</v>
      </c>
      <c r="AZ19" t="n">
        <v>122.3716523025708</v>
      </c>
      <c r="BA19" t="n">
        <v>779.3099999999999</v>
      </c>
      <c r="BB19" t="n">
        <v>0.879</v>
      </c>
      <c r="BC19" t="n">
        <v>83.82623262085055</v>
      </c>
      <c r="BD19" t="n">
        <v>0.9133</v>
      </c>
      <c r="BE19" t="n">
        <v>76.55800000000001</v>
      </c>
      <c r="BF19" t="n">
        <v>8.9176</v>
      </c>
      <c r="BG19" t="n">
        <v>0.804</v>
      </c>
      <c r="BH19" t="n">
        <v>6039.043023599974</v>
      </c>
      <c r="BI19" t="n">
        <v>0.9584006897294968</v>
      </c>
      <c r="BJ19" t="n">
        <v>5787.823</v>
      </c>
      <c r="BK19" t="n">
        <v>46758.143317232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Num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Empresa</t>
        </is>
      </c>
      <c r="F1" s="1" t="inlineStr">
        <is>
          <t>Cliente</t>
        </is>
      </c>
      <c r="G1" s="1" t="inlineStr">
        <is>
          <t>Distribuidora</t>
        </is>
      </c>
      <c r="H1" s="1" t="inlineStr">
        <is>
          <t>BarraBT</t>
        </is>
      </c>
      <c r="I1" s="1" t="inlineStr">
        <is>
          <t>Turno</t>
        </is>
      </c>
      <c r="J1" s="1" t="inlineStr">
        <is>
          <t>PotenciaConsumo_kW</t>
        </is>
      </c>
      <c r="K1" s="1" t="inlineStr">
        <is>
          <t>BloqueCompleto</t>
        </is>
      </c>
      <c r="L1" s="1" t="inlineStr">
        <is>
          <t>BarraEnAT</t>
        </is>
      </c>
      <c r="M1" s="1" t="inlineStr">
        <is>
          <t>FactorRefPotencia_BT_AT</t>
        </is>
      </c>
      <c r="N1" s="1" t="inlineStr">
        <is>
          <t>Potencia_kW_AT</t>
        </is>
      </c>
      <c r="O1" s="1" t="inlineStr">
        <is>
          <t>MaxPPA</t>
        </is>
      </c>
      <c r="P1" s="1" t="inlineStr">
        <is>
          <t>Denominador</t>
        </is>
      </c>
      <c r="Q1" s="1" t="inlineStr">
        <is>
          <t>Prorrata</t>
        </is>
      </c>
      <c r="R1" s="1" t="inlineStr">
        <is>
          <t>PotenciaBloqueTurnoAnhoMesBarra_kW</t>
        </is>
      </c>
      <c r="S1" s="1" t="inlineStr">
        <is>
          <t>V_DecretoPNPVigente</t>
        </is>
      </c>
      <c r="T1" s="1" t="inlineStr">
        <is>
          <t>V_DecretoPNCPAsociado</t>
        </is>
      </c>
      <c r="U1" s="1" t="inlineStr">
        <is>
          <t>V_DecretoPNCPLicitacion</t>
        </is>
      </c>
      <c r="V1" s="1" t="inlineStr">
        <is>
          <t>V_Barra</t>
        </is>
      </c>
      <c r="W1" s="1" t="inlineStr">
        <is>
          <t>V_PrecioOferta_EnergiaPolpaico220</t>
        </is>
      </c>
      <c r="X1" s="1" t="inlineStr">
        <is>
          <t>V_Indexacion</t>
        </is>
      </c>
      <c r="Y1" s="1" t="inlineStr">
        <is>
          <t>V_PrecioEnergiaIndexado_USDMWh</t>
        </is>
      </c>
      <c r="Z1" s="1" t="inlineStr">
        <is>
          <t>V_DolarPNPVigente</t>
        </is>
      </c>
      <c r="AA1" s="1" t="inlineStr">
        <is>
          <t>V_FactorAjusteEnergia</t>
        </is>
      </c>
      <c r="AB1" s="1" t="inlineStr">
        <is>
          <t>V_PrecioEnergiaAjustado_CLP_kWh_Polpaico220</t>
        </is>
      </c>
      <c r="AC1" s="1" t="inlineStr">
        <is>
          <t>V_FPEnergia</t>
        </is>
      </c>
      <c r="AD1" s="1" t="inlineStr">
        <is>
          <t>V_PrecioEnergiaAjustado_CLP_kWh</t>
        </is>
      </c>
      <c r="AE1" s="1" t="inlineStr">
        <is>
          <t>V_PrecioPotenciaUSD_kW_Mes</t>
        </is>
      </c>
      <c r="AF1" s="1" t="inlineStr">
        <is>
          <t>V_PrecioPotenciaIndexadoUSD_kW_Mes</t>
        </is>
      </c>
      <c r="AG1" s="1" t="inlineStr">
        <is>
          <t>V_FactorAjustePotencia</t>
        </is>
      </c>
      <c r="AH1" s="1" t="inlineStr">
        <is>
          <t>V_PrecioPotenciaAjustado_CLP_kW_Mes_Polpaico220</t>
        </is>
      </c>
      <c r="AI1" s="1" t="inlineStr">
        <is>
          <t>V_FPPotencia</t>
        </is>
      </c>
      <c r="AJ1" s="1" t="inlineStr">
        <is>
          <t>V_PrecioPotenciaAjustado_CLP_kW_Mes</t>
        </is>
      </c>
      <c r="AK1" s="1" t="inlineStr">
        <is>
          <t>V_TotalPotenciaMesBarraGxDxBloque_CLP_kW_Mes</t>
        </is>
      </c>
      <c r="AL1" s="1" t="inlineStr">
        <is>
          <t>R_DecretoPNPReliquidacion</t>
        </is>
      </c>
      <c r="AM1" s="1" t="inlineStr">
        <is>
          <t>R_DecretoPNCPAsociado</t>
        </is>
      </c>
      <c r="AN1" s="1" t="inlineStr">
        <is>
          <t>R_DecretoPNCPLicitacion</t>
        </is>
      </c>
      <c r="AO1" s="1" t="inlineStr">
        <is>
          <t>R_Barra</t>
        </is>
      </c>
      <c r="AP1" s="1" t="inlineStr">
        <is>
          <t>R_PrecioOfertaEnergiaPolpaico220</t>
        </is>
      </c>
      <c r="AQ1" s="1" t="inlineStr">
        <is>
          <t>R_Indexacion</t>
        </is>
      </c>
      <c r="AR1" s="1" t="inlineStr">
        <is>
          <t>R_PrecioEnergiaIndexado_USDMWh</t>
        </is>
      </c>
      <c r="AS1" s="1" t="inlineStr">
        <is>
          <t>R_DolarPNPReliquidacion</t>
        </is>
      </c>
      <c r="AT1" s="1" t="inlineStr">
        <is>
          <t>R_FactorAjusteEnergia</t>
        </is>
      </c>
      <c r="AU1" s="1" t="inlineStr">
        <is>
          <t>R_PrecioEnergiaAjustado_CLP_kWh_Polpaico220</t>
        </is>
      </c>
      <c r="AV1" s="1" t="inlineStr">
        <is>
          <t>R_FPEnergia</t>
        </is>
      </c>
      <c r="AW1" s="1" t="inlineStr">
        <is>
          <t>R_PrecioEnergiaAjustado_CLP_kWh</t>
        </is>
      </c>
      <c r="AX1" s="1" t="inlineStr">
        <is>
          <t>R_PrecioPotenciaUSD_kW_Mes</t>
        </is>
      </c>
      <c r="AY1" s="1" t="inlineStr">
        <is>
          <t>R_FactorAjustePotencia</t>
        </is>
      </c>
      <c r="AZ1" s="1" t="inlineStr">
        <is>
          <t>R_PrecioPotenciaAjustado_CLP_kW_Mes_Polpaico220</t>
        </is>
      </c>
      <c r="BA1" s="1" t="inlineStr">
        <is>
          <t>R_FPPotencia</t>
        </is>
      </c>
      <c r="BB1" s="1" t="inlineStr">
        <is>
          <t>R_PrecioPotenciaAjustado_CLP_kW_Mes</t>
        </is>
      </c>
      <c r="BC1" s="1" t="inlineStr">
        <is>
          <t>R_TotalPotenciaMesBarraGxDxBloque_CLP_kW_Mes</t>
        </is>
      </c>
    </row>
    <row r="2">
      <c r="A2" t="n">
        <v>263597</v>
      </c>
      <c r="B2" t="inlineStr">
        <is>
          <t>01-10-2020</t>
        </is>
      </c>
      <c r="C2" t="n">
        <v>2020</v>
      </c>
      <c r="D2" t="n">
        <v>10</v>
      </c>
      <c r="E2" t="inlineStr">
        <is>
          <t>NORVIND</t>
        </is>
      </c>
      <c r="F2" t="inlineStr">
        <is>
          <t>SUM_ELECDA_C</t>
        </is>
      </c>
      <c r="G2" t="inlineStr">
        <is>
          <t>ELECDA</t>
        </is>
      </c>
      <c r="H2" t="inlineStr">
        <is>
          <t>TALTAL</t>
        </is>
      </c>
      <c r="I2" t="inlineStr">
        <is>
          <t>C</t>
        </is>
      </c>
      <c r="J2" t="n">
        <v>-5.52424819</v>
      </c>
      <c r="K2" t="inlineStr">
        <is>
          <t>BS4</t>
        </is>
      </c>
      <c r="L2" t="inlineStr">
        <is>
          <t>DIEGO DE ALMAGRO</t>
        </is>
      </c>
      <c r="M2" t="n">
        <v>0.4902172256254</v>
      </c>
      <c r="N2" t="n">
        <v>2.708081622276715</v>
      </c>
      <c r="O2" t="n">
        <v>64924.929</v>
      </c>
      <c r="P2" t="n">
        <v>1.5402404e-05</v>
      </c>
      <c r="Q2" t="n">
        <v>1</v>
      </c>
      <c r="R2" t="n">
        <v>2.708081622276715</v>
      </c>
      <c r="S2" t="inlineStr">
        <is>
          <t>PNP_6T_08-05-2020</t>
        </is>
      </c>
      <c r="T2" t="inlineStr">
        <is>
          <t>PNCP_9T_12-08-2019</t>
        </is>
      </c>
      <c r="U2" t="inlineStr">
        <is>
          <t>PNCP_4T_30-04-2013</t>
        </is>
      </c>
      <c r="V2" t="inlineStr">
        <is>
          <t>DIEGO DE ALMAGRO 220</t>
        </is>
      </c>
      <c r="W2" t="n">
        <v>113.221</v>
      </c>
      <c r="X2" t="n">
        <v>1.072776031070834</v>
      </c>
      <c r="Y2" t="n">
        <v>121.4607750138709</v>
      </c>
      <c r="Z2" t="n">
        <v>694.38</v>
      </c>
      <c r="AA2" t="n">
        <v>0.875</v>
      </c>
      <c r="AB2" t="n">
        <v>73.79744133486523</v>
      </c>
      <c r="AC2" t="n">
        <v>0.981</v>
      </c>
      <c r="AD2" t="n">
        <v>72.395</v>
      </c>
      <c r="AE2" t="n">
        <v>8.9176</v>
      </c>
      <c r="AF2" t="n">
        <v>9.566587534677272</v>
      </c>
      <c r="AG2" t="n">
        <v>0.913</v>
      </c>
      <c r="AH2" t="n">
        <v>6064.919358776563</v>
      </c>
      <c r="AI2" t="n">
        <v>1.00689729496713</v>
      </c>
      <c r="AJ2" t="n">
        <v>6106.7509</v>
      </c>
      <c r="AK2" t="n">
        <v>16537.57988411179</v>
      </c>
      <c r="AL2" t="inlineStr">
        <is>
          <t>PNP_16T_02-11-2020</t>
        </is>
      </c>
      <c r="AM2" t="inlineStr">
        <is>
          <t>PNCP_2T_10-02-2020</t>
        </is>
      </c>
      <c r="AN2" t="inlineStr">
        <is>
          <t>PNCP_4T_30-04-2013</t>
        </is>
      </c>
      <c r="AO2" t="inlineStr">
        <is>
          <t>DIEGO DE ALMAGRO 220</t>
        </is>
      </c>
      <c r="AP2" t="n">
        <v>113.221</v>
      </c>
      <c r="AQ2" t="n">
        <v>1.080821157758461</v>
      </c>
      <c r="AR2" t="n">
        <v>122.3716523025708</v>
      </c>
      <c r="AS2" t="n">
        <v>779.3099999999999</v>
      </c>
      <c r="AT2" t="n">
        <v>0.879</v>
      </c>
      <c r="AU2" t="n">
        <v>83.82623262085055</v>
      </c>
      <c r="AV2" t="n">
        <v>0.9133</v>
      </c>
      <c r="AW2" t="n">
        <v>76.55800000000001</v>
      </c>
      <c r="AX2" t="n">
        <v>8.9176</v>
      </c>
      <c r="AY2" t="n">
        <v>0.804</v>
      </c>
      <c r="AZ2" t="n">
        <v>6039.043023599974</v>
      </c>
      <c r="BA2" t="n">
        <v>0.9584006897294968</v>
      </c>
      <c r="BB2" t="n">
        <v>5787.823</v>
      </c>
      <c r="BC2" t="n">
        <v>15673.89709929049</v>
      </c>
    </row>
    <row r="3">
      <c r="A3" t="n">
        <v>270842</v>
      </c>
      <c r="B3" t="inlineStr">
        <is>
          <t>01-11-2020</t>
        </is>
      </c>
      <c r="C3" t="n">
        <v>2020</v>
      </c>
      <c r="D3" t="n">
        <v>11</v>
      </c>
      <c r="E3" t="inlineStr">
        <is>
          <t>NORVIND</t>
        </is>
      </c>
      <c r="F3" t="inlineStr">
        <is>
          <t>SUM_ELECDA_C</t>
        </is>
      </c>
      <c r="G3" t="inlineStr">
        <is>
          <t>ELECDA</t>
        </is>
      </c>
      <c r="H3" t="inlineStr">
        <is>
          <t>TALTAL</t>
        </is>
      </c>
      <c r="I3" t="inlineStr">
        <is>
          <t>C</t>
        </is>
      </c>
      <c r="J3" t="n">
        <v>-5.52424819</v>
      </c>
      <c r="K3" t="inlineStr">
        <is>
          <t>BS4</t>
        </is>
      </c>
      <c r="L3" t="inlineStr">
        <is>
          <t>DIEGO DE ALMAGRO</t>
        </is>
      </c>
      <c r="M3" t="n">
        <v>0.4902172256254</v>
      </c>
      <c r="N3" t="n">
        <v>2.708081622276715</v>
      </c>
      <c r="O3" t="n">
        <v>64924.929</v>
      </c>
      <c r="P3" t="n">
        <v>1.5402404e-05</v>
      </c>
      <c r="Q3" t="n">
        <v>1</v>
      </c>
      <c r="R3" t="n">
        <v>2.708081622276715</v>
      </c>
      <c r="S3" t="inlineStr">
        <is>
          <t>PNP_6T_08-05-2020</t>
        </is>
      </c>
      <c r="T3" t="inlineStr">
        <is>
          <t>PNCP_9T_12-08-2019</t>
        </is>
      </c>
      <c r="U3" t="inlineStr">
        <is>
          <t>PNCP_4T_30-04-2013</t>
        </is>
      </c>
      <c r="V3" t="inlineStr">
        <is>
          <t>DIEGO DE ALMAGRO 220</t>
        </is>
      </c>
      <c r="W3" t="n">
        <v>113.221</v>
      </c>
      <c r="X3" t="n">
        <v>1.072776031070834</v>
      </c>
      <c r="Y3" t="n">
        <v>121.4607750138709</v>
      </c>
      <c r="Z3" t="n">
        <v>694.38</v>
      </c>
      <c r="AA3" t="n">
        <v>0.875</v>
      </c>
      <c r="AB3" t="n">
        <v>73.79744133486523</v>
      </c>
      <c r="AC3" t="n">
        <v>0.981</v>
      </c>
      <c r="AD3" t="n">
        <v>72.395</v>
      </c>
      <c r="AE3" t="n">
        <v>8.9176</v>
      </c>
      <c r="AF3" t="n">
        <v>9.566587534677272</v>
      </c>
      <c r="AG3" t="n">
        <v>0.913</v>
      </c>
      <c r="AH3" t="n">
        <v>6064.919358776563</v>
      </c>
      <c r="AI3" t="n">
        <v>1.00689729496713</v>
      </c>
      <c r="AJ3" t="n">
        <v>6106.7509</v>
      </c>
      <c r="AK3" t="n">
        <v>16537.57988411179</v>
      </c>
      <c r="AL3" t="inlineStr">
        <is>
          <t>PNP_16T_02-11-2020</t>
        </is>
      </c>
      <c r="AM3" t="inlineStr">
        <is>
          <t>PNCP_2T_10-02-2020</t>
        </is>
      </c>
      <c r="AN3" t="inlineStr">
        <is>
          <t>PNCP_4T_30-04-2013</t>
        </is>
      </c>
      <c r="AO3" t="inlineStr">
        <is>
          <t>DIEGO DE ALMAGRO 220</t>
        </is>
      </c>
      <c r="AP3" t="n">
        <v>113.221</v>
      </c>
      <c r="AQ3" t="n">
        <v>1.080821157758461</v>
      </c>
      <c r="AR3" t="n">
        <v>122.3716523025708</v>
      </c>
      <c r="AS3" t="n">
        <v>779.3099999999999</v>
      </c>
      <c r="AT3" t="n">
        <v>0.879</v>
      </c>
      <c r="AU3" t="n">
        <v>83.82623262085055</v>
      </c>
      <c r="AV3" t="n">
        <v>0.9133</v>
      </c>
      <c r="AW3" t="n">
        <v>76.55800000000001</v>
      </c>
      <c r="AX3" t="n">
        <v>8.9176</v>
      </c>
      <c r="AY3" t="n">
        <v>0.804</v>
      </c>
      <c r="AZ3" t="n">
        <v>6039.043023599974</v>
      </c>
      <c r="BA3" t="n">
        <v>0.9584006897294968</v>
      </c>
      <c r="BB3" t="n">
        <v>5787.823</v>
      </c>
      <c r="BC3" t="n">
        <v>15673.89709929049</v>
      </c>
    </row>
    <row r="4">
      <c r="A4" t="n">
        <v>278087</v>
      </c>
      <c r="B4" t="inlineStr">
        <is>
          <t>01-12-2020</t>
        </is>
      </c>
      <c r="C4" t="n">
        <v>2020</v>
      </c>
      <c r="D4" t="n">
        <v>12</v>
      </c>
      <c r="E4" t="inlineStr">
        <is>
          <t>NORVIND</t>
        </is>
      </c>
      <c r="F4" t="inlineStr">
        <is>
          <t>SUM_ELECDA_C</t>
        </is>
      </c>
      <c r="G4" t="inlineStr">
        <is>
          <t>ELECDA</t>
        </is>
      </c>
      <c r="H4" t="inlineStr">
        <is>
          <t>TALTAL</t>
        </is>
      </c>
      <c r="I4" t="inlineStr">
        <is>
          <t>C</t>
        </is>
      </c>
      <c r="J4" t="n">
        <v>-5.52424819</v>
      </c>
      <c r="K4" t="inlineStr">
        <is>
          <t>BS4</t>
        </is>
      </c>
      <c r="L4" t="inlineStr">
        <is>
          <t>DIEGO DE ALMAGRO</t>
        </is>
      </c>
      <c r="M4" t="n">
        <v>0.4902172256254</v>
      </c>
      <c r="N4" t="n">
        <v>2.708081622276715</v>
      </c>
      <c r="O4" t="n">
        <v>64924.929</v>
      </c>
      <c r="P4" t="n">
        <v>1.5402404e-05</v>
      </c>
      <c r="Q4" t="n">
        <v>1</v>
      </c>
      <c r="R4" t="n">
        <v>2.708081622276715</v>
      </c>
      <c r="S4" t="inlineStr">
        <is>
          <t>PNP_6T_08-05-2020</t>
        </is>
      </c>
      <c r="T4" t="inlineStr">
        <is>
          <t>PNCP_9T_12-08-2019</t>
        </is>
      </c>
      <c r="U4" t="inlineStr">
        <is>
          <t>PNCP_4T_30-04-2013</t>
        </is>
      </c>
      <c r="V4" t="inlineStr">
        <is>
          <t>DIEGO DE ALMAGRO 220</t>
        </is>
      </c>
      <c r="W4" t="n">
        <v>113.221</v>
      </c>
      <c r="X4" t="n">
        <v>1.072776031070834</v>
      </c>
      <c r="Y4" t="n">
        <v>121.4607750138709</v>
      </c>
      <c r="Z4" t="n">
        <v>694.38</v>
      </c>
      <c r="AA4" t="n">
        <v>0.875</v>
      </c>
      <c r="AB4" t="n">
        <v>73.79744133486523</v>
      </c>
      <c r="AC4" t="n">
        <v>0.981</v>
      </c>
      <c r="AD4" t="n">
        <v>72.395</v>
      </c>
      <c r="AE4" t="n">
        <v>8.9176</v>
      </c>
      <c r="AF4" t="n">
        <v>9.566587534677272</v>
      </c>
      <c r="AG4" t="n">
        <v>0.913</v>
      </c>
      <c r="AH4" t="n">
        <v>6064.919358776563</v>
      </c>
      <c r="AI4" t="n">
        <v>1.00689729496713</v>
      </c>
      <c r="AJ4" t="n">
        <v>6106.7509</v>
      </c>
      <c r="AK4" t="n">
        <v>16537.57988411179</v>
      </c>
      <c r="AL4" t="inlineStr">
        <is>
          <t>PNP_16T_02-11-2020</t>
        </is>
      </c>
      <c r="AM4" t="inlineStr">
        <is>
          <t>PNCP_2T_10-02-2020</t>
        </is>
      </c>
      <c r="AN4" t="inlineStr">
        <is>
          <t>PNCP_4T_30-04-2013</t>
        </is>
      </c>
      <c r="AO4" t="inlineStr">
        <is>
          <t>DIEGO DE ALMAGRO 220</t>
        </is>
      </c>
      <c r="AP4" t="n">
        <v>113.221</v>
      </c>
      <c r="AQ4" t="n">
        <v>1.080821157758461</v>
      </c>
      <c r="AR4" t="n">
        <v>122.3716523025708</v>
      </c>
      <c r="AS4" t="n">
        <v>779.3099999999999</v>
      </c>
      <c r="AT4" t="n">
        <v>0.879</v>
      </c>
      <c r="AU4" t="n">
        <v>83.82623262085055</v>
      </c>
      <c r="AV4" t="n">
        <v>0.9133</v>
      </c>
      <c r="AW4" t="n">
        <v>76.55800000000001</v>
      </c>
      <c r="AX4" t="n">
        <v>8.9176</v>
      </c>
      <c r="AY4" t="n">
        <v>0.804</v>
      </c>
      <c r="AZ4" t="n">
        <v>6039.043023599974</v>
      </c>
      <c r="BA4" t="n">
        <v>0.9584006897294968</v>
      </c>
      <c r="BB4" t="n">
        <v>5787.823</v>
      </c>
      <c r="BC4" t="n">
        <v>15673.89709929049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P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Tipo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Empresa</t>
        </is>
      </c>
      <c r="F1" s="1" t="inlineStr">
        <is>
          <t>Propietario</t>
        </is>
      </c>
      <c r="G1" s="1" t="inlineStr">
        <is>
          <t>Turno</t>
        </is>
      </c>
      <c r="H1" s="1" t="inlineStr">
        <is>
          <t>Distribuidora</t>
        </is>
      </c>
      <c r="I1" s="1" t="inlineStr">
        <is>
          <t>Clave</t>
        </is>
      </c>
      <c r="J1" s="1" t="inlineStr">
        <is>
          <t>PuntoRetiro</t>
        </is>
      </c>
      <c r="K1" s="1" t="inlineStr">
        <is>
          <t>ConsumoEnergiaBT</t>
        </is>
      </c>
      <c r="L1" s="1" t="inlineStr">
        <is>
          <t>Prorrata</t>
        </is>
      </c>
      <c r="M1" s="1" t="inlineStr">
        <is>
          <t>Medida_kWh</t>
        </is>
      </c>
      <c r="N1" s="1" t="inlineStr">
        <is>
          <t>PuntoRetiroBT</t>
        </is>
      </c>
      <c r="O1" s="1" t="inlineStr">
        <is>
          <t>Bloque</t>
        </is>
      </c>
      <c r="P1" s="1" t="inlineStr">
        <is>
          <t>Incremento</t>
        </is>
      </c>
    </row>
    <row r="2">
      <c r="A2" t="inlineStr">
        <is>
          <t>R_G</t>
        </is>
      </c>
      <c r="B2" t="inlineStr">
        <is>
          <t>01-01-2021</t>
        </is>
      </c>
      <c r="C2" t="n">
        <v>2021</v>
      </c>
      <c r="D2" t="n">
        <v>1</v>
      </c>
      <c r="E2" t="inlineStr">
        <is>
          <t>NORVIND</t>
        </is>
      </c>
      <c r="F2" t="inlineStr">
        <is>
          <t>SUM_ELECDA_A</t>
        </is>
      </c>
      <c r="G2" t="inlineStr">
        <is>
          <t>A</t>
        </is>
      </c>
      <c r="H2" t="inlineStr">
        <is>
          <t>ELECDA</t>
        </is>
      </c>
      <c r="I2" t="inlineStr">
        <is>
          <t>EDALTALTA</t>
        </is>
      </c>
      <c r="J2" t="inlineStr">
        <is>
          <t>TALTAL</t>
        </is>
      </c>
      <c r="M2" t="n">
        <v>724.2098975599999</v>
      </c>
      <c r="N2" t="inlineStr">
        <is>
          <t>TALTAL</t>
        </is>
      </c>
      <c r="O2" t="inlineStr">
        <is>
          <t>BS4</t>
        </is>
      </c>
      <c r="P2" t="n">
        <v>1</v>
      </c>
    </row>
    <row r="3">
      <c r="A3" t="inlineStr">
        <is>
          <t>R_G</t>
        </is>
      </c>
      <c r="B3" t="inlineStr">
        <is>
          <t>01-01-2021</t>
        </is>
      </c>
      <c r="C3" t="n">
        <v>2021</v>
      </c>
      <c r="D3" t="n">
        <v>1</v>
      </c>
      <c r="E3" t="inlineStr">
        <is>
          <t>NORVIND</t>
        </is>
      </c>
      <c r="F3" t="inlineStr">
        <is>
          <t>SUM_ELECDA_B</t>
        </is>
      </c>
      <c r="G3" t="inlineStr">
        <is>
          <t>B</t>
        </is>
      </c>
      <c r="H3" t="inlineStr">
        <is>
          <t>ELECDA</t>
        </is>
      </c>
      <c r="I3" t="inlineStr">
        <is>
          <t>EDALTALTB</t>
        </is>
      </c>
      <c r="J3" t="inlineStr">
        <is>
          <t>TALTAL</t>
        </is>
      </c>
      <c r="M3" t="n">
        <v>833.06095893</v>
      </c>
      <c r="N3" t="inlineStr">
        <is>
          <t>TALTAL</t>
        </is>
      </c>
      <c r="O3" t="inlineStr">
        <is>
          <t>BS4</t>
        </is>
      </c>
      <c r="P3" t="n">
        <v>1</v>
      </c>
    </row>
    <row r="4">
      <c r="A4" t="inlineStr">
        <is>
          <t>R_G</t>
        </is>
      </c>
      <c r="B4" t="inlineStr">
        <is>
          <t>01-01-2021</t>
        </is>
      </c>
      <c r="C4" t="n">
        <v>2021</v>
      </c>
      <c r="D4" t="n">
        <v>1</v>
      </c>
      <c r="E4" t="inlineStr">
        <is>
          <t>NORVIND</t>
        </is>
      </c>
      <c r="F4" t="inlineStr">
        <is>
          <t>SUM_ELECDA_C</t>
        </is>
      </c>
      <c r="G4" t="inlineStr">
        <is>
          <t>C</t>
        </is>
      </c>
      <c r="H4" t="inlineStr">
        <is>
          <t>ELECDA</t>
        </is>
      </c>
      <c r="I4" t="inlineStr">
        <is>
          <t>EDALTALTC</t>
        </is>
      </c>
      <c r="J4" t="inlineStr">
        <is>
          <t>TALTAL</t>
        </is>
      </c>
      <c r="M4" t="n">
        <v>530.19072891</v>
      </c>
      <c r="N4" t="inlineStr">
        <is>
          <t>TALTAL</t>
        </is>
      </c>
      <c r="O4" t="inlineStr">
        <is>
          <t>BS4</t>
        </is>
      </c>
      <c r="P4" t="n">
        <v>1</v>
      </c>
    </row>
    <row r="5">
      <c r="A5" t="inlineStr">
        <is>
          <t>R_G</t>
        </is>
      </c>
      <c r="B5" t="inlineStr">
        <is>
          <t>01-02-2021</t>
        </is>
      </c>
      <c r="C5" t="n">
        <v>2021</v>
      </c>
      <c r="D5" t="n">
        <v>1</v>
      </c>
      <c r="E5" t="inlineStr">
        <is>
          <t>NORVIND</t>
        </is>
      </c>
      <c r="F5" t="inlineStr">
        <is>
          <t>SUM_ELECDA_A</t>
        </is>
      </c>
      <c r="G5" t="inlineStr">
        <is>
          <t>A</t>
        </is>
      </c>
      <c r="H5" t="inlineStr">
        <is>
          <t>ELECDA</t>
        </is>
      </c>
      <c r="I5" t="inlineStr">
        <is>
          <t>EDALTALTA</t>
        </is>
      </c>
      <c r="J5" t="inlineStr">
        <is>
          <t>TALTAL</t>
        </is>
      </c>
      <c r="M5" t="n">
        <v>653.47992488</v>
      </c>
      <c r="N5" t="inlineStr">
        <is>
          <t>TALTAL</t>
        </is>
      </c>
      <c r="O5" t="inlineStr">
        <is>
          <t>BS4</t>
        </is>
      </c>
      <c r="P5" t="n">
        <v>1</v>
      </c>
    </row>
    <row r="6">
      <c r="A6" t="inlineStr">
        <is>
          <t>R_G</t>
        </is>
      </c>
      <c r="B6" t="inlineStr">
        <is>
          <t>01-02-2021</t>
        </is>
      </c>
      <c r="C6" t="n">
        <v>2021</v>
      </c>
      <c r="D6" t="n">
        <v>1</v>
      </c>
      <c r="E6" t="inlineStr">
        <is>
          <t>NORVIND</t>
        </is>
      </c>
      <c r="F6" t="inlineStr">
        <is>
          <t>SUM_ELECDA_B</t>
        </is>
      </c>
      <c r="G6" t="inlineStr">
        <is>
          <t>B</t>
        </is>
      </c>
      <c r="H6" t="inlineStr">
        <is>
          <t>ELECDA</t>
        </is>
      </c>
      <c r="I6" t="inlineStr">
        <is>
          <t>EDALTALTB</t>
        </is>
      </c>
      <c r="J6" t="inlineStr">
        <is>
          <t>TALTAL</t>
        </is>
      </c>
      <c r="M6" t="n">
        <v>760.1263532</v>
      </c>
      <c r="N6" t="inlineStr">
        <is>
          <t>TALTAL</t>
        </is>
      </c>
      <c r="O6" t="inlineStr">
        <is>
          <t>BS4</t>
        </is>
      </c>
      <c r="P6" t="n">
        <v>1</v>
      </c>
    </row>
    <row r="7">
      <c r="A7" t="inlineStr">
        <is>
          <t>R_G</t>
        </is>
      </c>
      <c r="B7" t="inlineStr">
        <is>
          <t>01-02-2021</t>
        </is>
      </c>
      <c r="C7" t="n">
        <v>2021</v>
      </c>
      <c r="D7" t="n">
        <v>1</v>
      </c>
      <c r="E7" t="inlineStr">
        <is>
          <t>NORVIND</t>
        </is>
      </c>
      <c r="F7" t="inlineStr">
        <is>
          <t>SUM_ELECDA_C</t>
        </is>
      </c>
      <c r="G7" t="inlineStr">
        <is>
          <t>C</t>
        </is>
      </c>
      <c r="H7" t="inlineStr">
        <is>
          <t>ELECDA</t>
        </is>
      </c>
      <c r="I7" t="inlineStr">
        <is>
          <t>EDALTALTC</t>
        </is>
      </c>
      <c r="J7" t="inlineStr">
        <is>
          <t>TALTAL</t>
        </is>
      </c>
      <c r="M7" t="n">
        <v>488.80369497</v>
      </c>
      <c r="N7" t="inlineStr">
        <is>
          <t>TALTAL</t>
        </is>
      </c>
      <c r="O7" t="inlineStr">
        <is>
          <t>BS4</t>
        </is>
      </c>
      <c r="P7" t="n">
        <v>1</v>
      </c>
    </row>
    <row r="8">
      <c r="A8" t="inlineStr">
        <is>
          <t>R_G</t>
        </is>
      </c>
      <c r="B8" t="inlineStr">
        <is>
          <t>01-03-2021</t>
        </is>
      </c>
      <c r="C8" t="n">
        <v>2021</v>
      </c>
      <c r="D8" t="n">
        <v>1</v>
      </c>
      <c r="E8" t="inlineStr">
        <is>
          <t>NORVIND</t>
        </is>
      </c>
      <c r="F8" t="inlineStr">
        <is>
          <t>SUM_ELECDA_A</t>
        </is>
      </c>
      <c r="G8" t="inlineStr">
        <is>
          <t>A</t>
        </is>
      </c>
      <c r="H8" t="inlineStr">
        <is>
          <t>ELECDA</t>
        </is>
      </c>
      <c r="I8" t="inlineStr">
        <is>
          <t>EDALTALTA</t>
        </is>
      </c>
      <c r="J8" t="inlineStr">
        <is>
          <t>TALTAL</t>
        </is>
      </c>
      <c r="M8" t="n">
        <v>720.96258104</v>
      </c>
      <c r="N8" t="inlineStr">
        <is>
          <t>TALTAL</t>
        </is>
      </c>
      <c r="O8" t="inlineStr">
        <is>
          <t>BS4</t>
        </is>
      </c>
      <c r="P8" t="n">
        <v>1</v>
      </c>
    </row>
    <row r="9">
      <c r="A9" t="inlineStr">
        <is>
          <t>R_G</t>
        </is>
      </c>
      <c r="B9" t="inlineStr">
        <is>
          <t>01-03-2021</t>
        </is>
      </c>
      <c r="C9" t="n">
        <v>2021</v>
      </c>
      <c r="D9" t="n">
        <v>1</v>
      </c>
      <c r="E9" t="inlineStr">
        <is>
          <t>NORVIND</t>
        </is>
      </c>
      <c r="F9" t="inlineStr">
        <is>
          <t>SUM_ELECDA_B</t>
        </is>
      </c>
      <c r="G9" t="inlineStr">
        <is>
          <t>B</t>
        </is>
      </c>
      <c r="H9" t="inlineStr">
        <is>
          <t>ELECDA</t>
        </is>
      </c>
      <c r="I9" t="inlineStr">
        <is>
          <t>EDALTALTB</t>
        </is>
      </c>
      <c r="J9" t="inlineStr">
        <is>
          <t>TALTAL</t>
        </is>
      </c>
      <c r="M9" t="n">
        <v>826.38531975</v>
      </c>
      <c r="N9" t="inlineStr">
        <is>
          <t>TALTAL</t>
        </is>
      </c>
      <c r="O9" t="inlineStr">
        <is>
          <t>BS4</t>
        </is>
      </c>
      <c r="P9" t="n">
        <v>1</v>
      </c>
    </row>
    <row r="10">
      <c r="A10" t="inlineStr">
        <is>
          <t>R_G</t>
        </is>
      </c>
      <c r="B10" t="inlineStr">
        <is>
          <t>01-03-2021</t>
        </is>
      </c>
      <c r="C10" t="n">
        <v>2021</v>
      </c>
      <c r="D10" t="n">
        <v>1</v>
      </c>
      <c r="E10" t="inlineStr">
        <is>
          <t>NORVIND</t>
        </is>
      </c>
      <c r="F10" t="inlineStr">
        <is>
          <t>SUM_ELECDA_C</t>
        </is>
      </c>
      <c r="G10" t="inlineStr">
        <is>
          <t>C</t>
        </is>
      </c>
      <c r="H10" t="inlineStr">
        <is>
          <t>ELECDA</t>
        </is>
      </c>
      <c r="I10" t="inlineStr">
        <is>
          <t>EDALTALTC</t>
        </is>
      </c>
      <c r="J10" t="inlineStr">
        <is>
          <t>TALTAL</t>
        </is>
      </c>
      <c r="M10" t="n">
        <v>552.8388688700001</v>
      </c>
      <c r="N10" t="inlineStr">
        <is>
          <t>TALTAL</t>
        </is>
      </c>
      <c r="O10" t="inlineStr">
        <is>
          <t>BS4</t>
        </is>
      </c>
      <c r="P10" t="n">
        <v>1</v>
      </c>
    </row>
    <row r="11">
      <c r="A11" t="inlineStr">
        <is>
          <t>R_G</t>
        </is>
      </c>
      <c r="B11" t="inlineStr">
        <is>
          <t>01-10-2020</t>
        </is>
      </c>
      <c r="C11" t="n">
        <v>2020</v>
      </c>
      <c r="D11" t="n">
        <v>1</v>
      </c>
      <c r="E11" t="inlineStr">
        <is>
          <t>NORVIND</t>
        </is>
      </c>
      <c r="F11" t="inlineStr">
        <is>
          <t>SUM_ELECDA_A</t>
        </is>
      </c>
      <c r="G11" t="inlineStr">
        <is>
          <t>A</t>
        </is>
      </c>
      <c r="H11" t="inlineStr">
        <is>
          <t>ELECDA</t>
        </is>
      </c>
      <c r="I11" t="inlineStr">
        <is>
          <t>EDALTALTA</t>
        </is>
      </c>
      <c r="J11" t="inlineStr">
        <is>
          <t>TALTAL</t>
        </is>
      </c>
      <c r="K11" t="n">
        <v>781.07668645</v>
      </c>
      <c r="L11" t="n">
        <v>1</v>
      </c>
      <c r="M11" t="n">
        <v>781.07668645</v>
      </c>
      <c r="N11" t="inlineStr">
        <is>
          <t>TALTAL</t>
        </is>
      </c>
      <c r="O11" t="inlineStr">
        <is>
          <t>BS4</t>
        </is>
      </c>
      <c r="P11" t="n">
        <v>1</v>
      </c>
    </row>
    <row r="12">
      <c r="A12" t="inlineStr">
        <is>
          <t>R_G</t>
        </is>
      </c>
      <c r="B12" t="inlineStr">
        <is>
          <t>01-10-2020</t>
        </is>
      </c>
      <c r="C12" t="n">
        <v>2020</v>
      </c>
      <c r="D12" t="n">
        <v>1</v>
      </c>
      <c r="E12" t="inlineStr">
        <is>
          <t>NORVIND</t>
        </is>
      </c>
      <c r="F12" t="inlineStr">
        <is>
          <t>SUM_ELECDA_B</t>
        </is>
      </c>
      <c r="G12" t="inlineStr">
        <is>
          <t>B</t>
        </is>
      </c>
      <c r="H12" t="inlineStr">
        <is>
          <t>ELECDA</t>
        </is>
      </c>
      <c r="I12" t="inlineStr">
        <is>
          <t>EDALTALTB</t>
        </is>
      </c>
      <c r="J12" t="inlineStr">
        <is>
          <t>TALTAL</t>
        </is>
      </c>
      <c r="K12" t="n">
        <v>884.41973305</v>
      </c>
      <c r="L12" t="n">
        <v>1</v>
      </c>
      <c r="M12" t="n">
        <v>884.41973305</v>
      </c>
      <c r="N12" t="inlineStr">
        <is>
          <t>TALTAL</t>
        </is>
      </c>
      <c r="O12" t="inlineStr">
        <is>
          <t>BS4</t>
        </is>
      </c>
      <c r="P12" t="n">
        <v>1</v>
      </c>
    </row>
    <row r="13">
      <c r="A13" t="inlineStr">
        <is>
          <t>R_G</t>
        </is>
      </c>
      <c r="B13" t="inlineStr">
        <is>
          <t>01-10-2020</t>
        </is>
      </c>
      <c r="C13" t="n">
        <v>2020</v>
      </c>
      <c r="D13" t="n">
        <v>1</v>
      </c>
      <c r="E13" t="inlineStr">
        <is>
          <t>NORVIND</t>
        </is>
      </c>
      <c r="F13" t="inlineStr">
        <is>
          <t>SUM_ELECDA_C</t>
        </is>
      </c>
      <c r="G13" t="inlineStr">
        <is>
          <t>C</t>
        </is>
      </c>
      <c r="H13" t="inlineStr">
        <is>
          <t>ELECDA</t>
        </is>
      </c>
      <c r="I13" t="inlineStr">
        <is>
          <t>EDALTALTC</t>
        </is>
      </c>
      <c r="J13" t="inlineStr">
        <is>
          <t>TALTAL</t>
        </is>
      </c>
      <c r="K13" t="n">
        <v>616.70202349</v>
      </c>
      <c r="L13" t="n">
        <v>1</v>
      </c>
      <c r="M13" t="n">
        <v>616.70202349</v>
      </c>
      <c r="N13" t="inlineStr">
        <is>
          <t>TALTAL</t>
        </is>
      </c>
      <c r="O13" t="inlineStr">
        <is>
          <t>BS4</t>
        </is>
      </c>
      <c r="P13" t="n">
        <v>1</v>
      </c>
    </row>
    <row r="14">
      <c r="A14" t="inlineStr">
        <is>
          <t>R_G</t>
        </is>
      </c>
      <c r="B14" t="inlineStr">
        <is>
          <t>01-11-2020</t>
        </is>
      </c>
      <c r="C14" t="n">
        <v>2020</v>
      </c>
      <c r="D14" t="n">
        <v>1</v>
      </c>
      <c r="E14" t="inlineStr">
        <is>
          <t>NORVIND</t>
        </is>
      </c>
      <c r="F14" t="inlineStr">
        <is>
          <t>SUM_ELECDA_A</t>
        </is>
      </c>
      <c r="G14" t="inlineStr">
        <is>
          <t>A</t>
        </is>
      </c>
      <c r="H14" t="inlineStr">
        <is>
          <t>ELECDA</t>
        </is>
      </c>
      <c r="I14" t="inlineStr">
        <is>
          <t>EDALTALTA</t>
        </is>
      </c>
      <c r="J14" t="inlineStr">
        <is>
          <t>TALTAL</t>
        </is>
      </c>
      <c r="K14" t="n">
        <v>769.44318733</v>
      </c>
      <c r="L14" t="n">
        <v>1</v>
      </c>
      <c r="M14" t="n">
        <v>769.44318733</v>
      </c>
      <c r="N14" t="inlineStr">
        <is>
          <t>TALTAL</t>
        </is>
      </c>
      <c r="O14" t="inlineStr">
        <is>
          <t>BS4</t>
        </is>
      </c>
      <c r="P14" t="n">
        <v>1</v>
      </c>
    </row>
    <row r="15">
      <c r="A15" t="inlineStr">
        <is>
          <t>R_G</t>
        </is>
      </c>
      <c r="B15" t="inlineStr">
        <is>
          <t>01-11-2020</t>
        </is>
      </c>
      <c r="C15" t="n">
        <v>2020</v>
      </c>
      <c r="D15" t="n">
        <v>1</v>
      </c>
      <c r="E15" t="inlineStr">
        <is>
          <t>NORVIND</t>
        </is>
      </c>
      <c r="F15" t="inlineStr">
        <is>
          <t>SUM_ELECDA_B</t>
        </is>
      </c>
      <c r="G15" t="inlineStr">
        <is>
          <t>B</t>
        </is>
      </c>
      <c r="H15" t="inlineStr">
        <is>
          <t>ELECDA</t>
        </is>
      </c>
      <c r="I15" t="inlineStr">
        <is>
          <t>EDALTALTB</t>
        </is>
      </c>
      <c r="J15" t="inlineStr">
        <is>
          <t>TALTAL</t>
        </is>
      </c>
      <c r="K15" t="n">
        <v>865.20005292</v>
      </c>
      <c r="L15" t="n">
        <v>1</v>
      </c>
      <c r="M15" t="n">
        <v>865.20005292</v>
      </c>
      <c r="N15" t="inlineStr">
        <is>
          <t>TALTAL</t>
        </is>
      </c>
      <c r="O15" t="inlineStr">
        <is>
          <t>BS4</t>
        </is>
      </c>
      <c r="P15" t="n">
        <v>1</v>
      </c>
    </row>
    <row r="16">
      <c r="A16" t="inlineStr">
        <is>
          <t>R_G</t>
        </is>
      </c>
      <c r="B16" t="inlineStr">
        <is>
          <t>01-11-2020</t>
        </is>
      </c>
      <c r="C16" t="n">
        <v>2020</v>
      </c>
      <c r="D16" t="n">
        <v>1</v>
      </c>
      <c r="E16" t="inlineStr">
        <is>
          <t>NORVIND</t>
        </is>
      </c>
      <c r="F16" t="inlineStr">
        <is>
          <t>SUM_ELECDA_C</t>
        </is>
      </c>
      <c r="G16" t="inlineStr">
        <is>
          <t>C</t>
        </is>
      </c>
      <c r="H16" t="inlineStr">
        <is>
          <t>ELECDA</t>
        </is>
      </c>
      <c r="I16" t="inlineStr">
        <is>
          <t>EDALTALTC</t>
        </is>
      </c>
      <c r="J16" t="inlineStr">
        <is>
          <t>TALTAL</t>
        </is>
      </c>
      <c r="K16" t="n">
        <v>591.11830277</v>
      </c>
      <c r="L16" t="n">
        <v>1</v>
      </c>
      <c r="M16" t="n">
        <v>591.11830277</v>
      </c>
      <c r="N16" t="inlineStr">
        <is>
          <t>TALTAL</t>
        </is>
      </c>
      <c r="O16" t="inlineStr">
        <is>
          <t>BS4</t>
        </is>
      </c>
      <c r="P16" t="n">
        <v>1</v>
      </c>
    </row>
    <row r="17">
      <c r="A17" t="inlineStr">
        <is>
          <t>R_G</t>
        </is>
      </c>
      <c r="B17" t="inlineStr">
        <is>
          <t>01-12-2020</t>
        </is>
      </c>
      <c r="C17" t="n">
        <v>2020</v>
      </c>
      <c r="D17" t="n">
        <v>1</v>
      </c>
      <c r="E17" t="inlineStr">
        <is>
          <t>NORVIND</t>
        </is>
      </c>
      <c r="F17" t="inlineStr">
        <is>
          <t>SUM_ELECDA_A</t>
        </is>
      </c>
      <c r="G17" t="inlineStr">
        <is>
          <t>A</t>
        </is>
      </c>
      <c r="H17" t="inlineStr">
        <is>
          <t>ELECDA</t>
        </is>
      </c>
      <c r="I17" t="inlineStr">
        <is>
          <t>EDALTALTA</t>
        </is>
      </c>
      <c r="J17" t="inlineStr">
        <is>
          <t>TALTAL</t>
        </is>
      </c>
      <c r="K17" t="n">
        <v>790.60507922</v>
      </c>
      <c r="L17" t="n">
        <v>1</v>
      </c>
      <c r="M17" t="n">
        <v>790.60507922</v>
      </c>
      <c r="N17" t="inlineStr">
        <is>
          <t>TALTAL</t>
        </is>
      </c>
      <c r="O17" t="inlineStr">
        <is>
          <t>BS4</t>
        </is>
      </c>
      <c r="P17" t="n">
        <v>1</v>
      </c>
    </row>
    <row r="18">
      <c r="A18" t="inlineStr">
        <is>
          <t>R_G</t>
        </is>
      </c>
      <c r="B18" t="inlineStr">
        <is>
          <t>01-12-2020</t>
        </is>
      </c>
      <c r="C18" t="n">
        <v>2020</v>
      </c>
      <c r="D18" t="n">
        <v>1</v>
      </c>
      <c r="E18" t="inlineStr">
        <is>
          <t>NORVIND</t>
        </is>
      </c>
      <c r="F18" t="inlineStr">
        <is>
          <t>SUM_ELECDA_B</t>
        </is>
      </c>
      <c r="G18" t="inlineStr">
        <is>
          <t>B</t>
        </is>
      </c>
      <c r="H18" t="inlineStr">
        <is>
          <t>ELECDA</t>
        </is>
      </c>
      <c r="I18" t="inlineStr">
        <is>
          <t>EDALTALTB</t>
        </is>
      </c>
      <c r="J18" t="inlineStr">
        <is>
          <t>TALTAL</t>
        </is>
      </c>
      <c r="K18" t="n">
        <v>884.70613379</v>
      </c>
      <c r="L18" t="n">
        <v>1</v>
      </c>
      <c r="M18" t="n">
        <v>884.70613379</v>
      </c>
      <c r="N18" t="inlineStr">
        <is>
          <t>TALTAL</t>
        </is>
      </c>
      <c r="O18" t="inlineStr">
        <is>
          <t>BS4</t>
        </is>
      </c>
      <c r="P18" t="n">
        <v>1</v>
      </c>
    </row>
    <row r="19">
      <c r="A19" t="inlineStr">
        <is>
          <t>R_G</t>
        </is>
      </c>
      <c r="B19" t="inlineStr">
        <is>
          <t>01-12-2020</t>
        </is>
      </c>
      <c r="C19" t="n">
        <v>2020</v>
      </c>
      <c r="D19" t="n">
        <v>1</v>
      </c>
      <c r="E19" t="inlineStr">
        <is>
          <t>NORVIND</t>
        </is>
      </c>
      <c r="F19" t="inlineStr">
        <is>
          <t>SUM_ELECDA_C</t>
        </is>
      </c>
      <c r="G19" t="inlineStr">
        <is>
          <t>C</t>
        </is>
      </c>
      <c r="H19" t="inlineStr">
        <is>
          <t>ELECDA</t>
        </is>
      </c>
      <c r="I19" t="inlineStr">
        <is>
          <t>EDALTALTC</t>
        </is>
      </c>
      <c r="J19" t="inlineStr">
        <is>
          <t>TALTAL</t>
        </is>
      </c>
      <c r="K19" t="n">
        <v>595.37595719</v>
      </c>
      <c r="L19" t="n">
        <v>1</v>
      </c>
      <c r="M19" t="n">
        <v>595.37595719</v>
      </c>
      <c r="N19" t="inlineStr">
        <is>
          <t>TALTAL</t>
        </is>
      </c>
      <c r="O19" t="inlineStr">
        <is>
          <t>BS4</t>
        </is>
      </c>
      <c r="P19" t="n">
        <v>1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Decreto</t>
        </is>
      </c>
      <c r="B1" s="1" t="inlineStr">
        <is>
          <t>Fecha Publicación</t>
        </is>
      </c>
      <c r="C1" s="1" t="inlineStr">
        <is>
          <t>Interés vigente</t>
        </is>
      </c>
      <c r="D1" s="1" t="inlineStr">
        <is>
          <t>Desde</t>
        </is>
      </c>
      <c r="E1" s="1" t="inlineStr">
        <is>
          <t>Hasta</t>
        </is>
      </c>
      <c r="F1" s="1" t="inlineStr">
        <is>
          <t>Interés anual</t>
        </is>
      </c>
      <c r="G1" s="1" t="inlineStr">
        <is>
          <t>Link</t>
        </is>
      </c>
    </row>
    <row r="2">
      <c r="A2" t="inlineStr">
        <is>
          <t>PNP_8T_11-07-2016</t>
        </is>
      </c>
      <c r="B2" s="2" t="n">
        <v>42588</v>
      </c>
      <c r="C2" t="inlineStr">
        <is>
          <t>Certicado N°7/2016</t>
        </is>
      </c>
      <c r="D2" s="2" t="n">
        <v>42566</v>
      </c>
      <c r="E2" s="2" t="n">
        <v>42594</v>
      </c>
      <c r="F2" t="n">
        <v>0.0546</v>
      </c>
      <c r="G2" s="3" t="inlineStr">
        <is>
          <t>https://www.bcn.cl/leychile/navegar?idNorma=1092549</t>
        </is>
      </c>
    </row>
    <row r="3">
      <c r="A3" t="inlineStr">
        <is>
          <t>PNP_9T_25-07-2016</t>
        </is>
      </c>
      <c r="B3" s="2" t="n">
        <v>42614</v>
      </c>
      <c r="C3" t="inlineStr">
        <is>
          <t>Certificado N°8/2016</t>
        </is>
      </c>
      <c r="D3" s="2" t="n">
        <v>42595</v>
      </c>
      <c r="E3" s="2" t="n">
        <v>42627</v>
      </c>
      <c r="F3" t="n">
        <v>0.0542</v>
      </c>
      <c r="G3" s="3" t="inlineStr">
        <is>
          <t>https://www.bcn.cl/leychile/navegar?idNorma=1093605</t>
        </is>
      </c>
    </row>
    <row r="4">
      <c r="A4" t="inlineStr">
        <is>
          <t>PNP_12T_20-12-2016</t>
        </is>
      </c>
      <c r="B4" s="2" t="n">
        <v>43018</v>
      </c>
      <c r="C4" t="inlineStr">
        <is>
          <t>Certificado N°9/2017</t>
        </is>
      </c>
      <c r="D4" s="2" t="n">
        <v>42993</v>
      </c>
      <c r="E4" s="2" t="n">
        <v>43021</v>
      </c>
      <c r="F4" t="n">
        <v>0.0416</v>
      </c>
      <c r="G4" s="3" t="inlineStr">
        <is>
          <t>https://www.diariooficial.interior.gob.cl/publicaciones/2017/09/15/41861/01/1272697.pdf</t>
        </is>
      </c>
    </row>
    <row r="5">
      <c r="A5" t="inlineStr">
        <is>
          <t>PNP_3T_15-05-2017</t>
        </is>
      </c>
      <c r="B5" s="2" t="n">
        <v>43018</v>
      </c>
      <c r="C5" t="inlineStr">
        <is>
          <t>Certificado N°9/2017</t>
        </is>
      </c>
      <c r="D5" s="2" t="n">
        <v>42993</v>
      </c>
      <c r="E5" s="2" t="n">
        <v>43021</v>
      </c>
      <c r="F5" t="n">
        <v>0.0416</v>
      </c>
      <c r="G5" s="3" t="inlineStr">
        <is>
          <t>https://www.diariooficial.interior.gob.cl/publicaciones/2017/09/15/41861/01/1272697.pdf</t>
        </is>
      </c>
    </row>
    <row r="6">
      <c r="A6" t="inlineStr">
        <is>
          <t>PNP_12T_28-11-2017</t>
        </is>
      </c>
      <c r="B6" s="2" t="n">
        <v>43183</v>
      </c>
      <c r="C6" t="inlineStr">
        <is>
          <t>Certificado N°3/2018</t>
        </is>
      </c>
      <c r="D6" s="2" t="n">
        <v>43174</v>
      </c>
      <c r="E6" s="2" t="n">
        <v>43203</v>
      </c>
      <c r="F6" t="n">
        <v>0.042</v>
      </c>
      <c r="G6" s="3" t="inlineStr">
        <is>
          <t>https://www.diariooficial.interior.gob.cl/publicaciones/2018/03/15/42008/01/1366088.pdf</t>
        </is>
      </c>
    </row>
    <row r="7">
      <c r="A7" t="inlineStr">
        <is>
          <t>PNP_7T_18-05-2018</t>
        </is>
      </c>
      <c r="B7" s="2" t="n">
        <v>43371</v>
      </c>
      <c r="C7" t="inlineStr">
        <is>
          <t>Certificado N°9/2018</t>
        </is>
      </c>
      <c r="D7" s="2" t="n">
        <v>43358</v>
      </c>
      <c r="E7" s="2" t="n">
        <v>43385</v>
      </c>
      <c r="F7" t="n">
        <v>0.0438</v>
      </c>
      <c r="G7" s="3" t="inlineStr">
        <is>
          <t>https://www.diariooficial.interior.gob.cl/publicaciones/2018/09/15/42159/01/1465375.pdf</t>
        </is>
      </c>
    </row>
    <row r="8">
      <c r="A8" t="inlineStr">
        <is>
          <t>PNP_20T_13-12-2018</t>
        </is>
      </c>
      <c r="B8" s="2" t="n">
        <v>43591</v>
      </c>
      <c r="C8" t="inlineStr">
        <is>
          <t>Certificado N°4/2019</t>
        </is>
      </c>
      <c r="D8" s="2" t="n">
        <v>43570</v>
      </c>
      <c r="E8" s="2" t="n">
        <v>43599</v>
      </c>
      <c r="F8" t="n">
        <v>0.0446</v>
      </c>
      <c r="G8" s="3" t="inlineStr">
        <is>
          <t>https://www.diariooficial.interior.gob.cl/publicaciones/2019/04/15/42331/01/1576341.pdf</t>
        </is>
      </c>
    </row>
    <row r="9">
      <c r="A9" t="inlineStr">
        <is>
          <t>PNP_6T_08-05-2020</t>
        </is>
      </c>
      <c r="B9" s="2" t="n">
        <v>44137</v>
      </c>
      <c r="C9" t="inlineStr">
        <is>
          <t>Certificado N° 10/2020</t>
        </is>
      </c>
      <c r="D9" s="2" t="n">
        <v>44119</v>
      </c>
      <c r="E9" s="2" t="n">
        <v>44148</v>
      </c>
      <c r="F9" t="n">
        <v>0.0361</v>
      </c>
      <c r="G9" s="3" t="inlineStr">
        <is>
          <t>https://www.diariooficial.interior.gob.cl/publicaciones/2020/10/15/42780/01/1830437.pdf</t>
        </is>
      </c>
    </row>
    <row r="10">
      <c r="A10" t="inlineStr">
        <is>
          <t>PNP_16T_02-11-2020</t>
        </is>
      </c>
      <c r="B10" s="2" t="n">
        <v>44275</v>
      </c>
      <c r="C10" t="inlineStr">
        <is>
          <t>Certificado N° 3/2021</t>
        </is>
      </c>
      <c r="D10" s="2" t="n">
        <v>44270</v>
      </c>
      <c r="E10" s="2" t="n">
        <v>44300</v>
      </c>
      <c r="F10" t="n">
        <v>0.0391</v>
      </c>
      <c r="G10" s="3" t="inlineStr">
        <is>
          <t>https://www.diariooficial.interior.gob.cl/publicaciones/2021/03/15/42905/01/1910115.pdf</t>
        </is>
      </c>
    </row>
    <row r="11">
      <c r="A11" t="inlineStr">
        <is>
          <t>PNP_19T_30-12-2020</t>
        </is>
      </c>
      <c r="B11" s="2" t="n">
        <v>44336</v>
      </c>
      <c r="C11" t="inlineStr">
        <is>
          <t>Certificado N° 05/2021</t>
        </is>
      </c>
      <c r="D11" s="2" t="n">
        <v>44330</v>
      </c>
      <c r="F11" t="n">
        <v>0.0328</v>
      </c>
      <c r="G11" s="3" t="inlineStr">
        <is>
          <t>https://www.diariooficial.interior.gob.cl/publicaciones/2021/05/14/42954/01/1943780.pdf</t>
        </is>
      </c>
    </row>
    <row r="13">
      <c r="A13" t="inlineStr">
        <is>
          <t>Interés ResEx 703 (06-nov.2018), Artículo 13</t>
        </is>
      </c>
    </row>
    <row r="14">
      <c r="A14" t="inlineStr">
        <is>
          <t>Operaciones no reajustables en moneda nacional de menos de 90 días, superiores al equivalente de 5.000 unidades de fomento</t>
        </is>
      </c>
    </row>
  </sheetData>
  <hyperlinks>
    <hyperlink xmlns:r="http://schemas.openxmlformats.org/officeDocument/2006/relationships" ref="G2" r:id="rId1"/>
    <hyperlink xmlns:r="http://schemas.openxmlformats.org/officeDocument/2006/relationships" ref="G3" r:id="rId2"/>
    <hyperlink xmlns:r="http://schemas.openxmlformats.org/officeDocument/2006/relationships" ref="G4" r:id="rId3"/>
    <hyperlink xmlns:r="http://schemas.openxmlformats.org/officeDocument/2006/relationships" ref="G5" r:id="rId4"/>
    <hyperlink xmlns:r="http://schemas.openxmlformats.org/officeDocument/2006/relationships" ref="G6" r:id="rId5"/>
    <hyperlink xmlns:r="http://schemas.openxmlformats.org/officeDocument/2006/relationships" ref="G7" r:id="rId6"/>
    <hyperlink xmlns:r="http://schemas.openxmlformats.org/officeDocument/2006/relationships" ref="G8" r:id="rId7"/>
    <hyperlink xmlns:r="http://schemas.openxmlformats.org/officeDocument/2006/relationships" ref="G9" r:id="rId8"/>
    <hyperlink xmlns:r="http://schemas.openxmlformats.org/officeDocument/2006/relationships" ref="G10" r:id="rId9"/>
    <hyperlink xmlns:r="http://schemas.openxmlformats.org/officeDocument/2006/relationships" ref="G11" r:id="rId1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2022-04-13T17:48:29Z</dcterms:created>
  <dcterms:modified xmlns:dcterms="http://purl.org/dc/terms/" xmlns:xsi="http://www.w3.org/2001/XMLSchema-instance" xsi:type="dcterms:W3CDTF">2022-04-13T17:48:29Z</dcterms:modified>
</cp:coreProperties>
</file>