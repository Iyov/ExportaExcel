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240" yWindow="15" windowWidth="16095" windowHeight="9660" tabRatio="600" firstSheet="0" activeTab="0" autoFilterDateGrouping="1"/>
  </bookViews>
  <sheets>
    <sheet xmlns:r="http://schemas.openxmlformats.org/officeDocument/2006/relationships" name="README" sheetId="1" state="visible" r:id="rId1"/>
    <sheet xmlns:r="http://schemas.openxmlformats.org/officeDocument/2006/relationships" name="ReliquidacionEFACT" sheetId="2" state="visible" r:id="rId2"/>
    <sheet xmlns:r="http://schemas.openxmlformats.org/officeDocument/2006/relationships" name="ResumenRetiros" sheetId="3" state="visible" r:id="rId3"/>
    <sheet xmlns:r="http://schemas.openxmlformats.org/officeDocument/2006/relationships" name="FactRealE" sheetId="4" state="visible" r:id="rId4"/>
    <sheet xmlns:r="http://schemas.openxmlformats.org/officeDocument/2006/relationships" name="FactRealP" sheetId="5" state="visible" r:id="rId5"/>
    <sheet xmlns:r="http://schemas.openxmlformats.org/officeDocument/2006/relationships" name="FACT_EMITIDA" sheetId="6" state="visible" r:id="rId6"/>
    <sheet xmlns:r="http://schemas.openxmlformats.org/officeDocument/2006/relationships" name="SIGGE_E" sheetId="7" state="visible" r:id="rId7"/>
    <sheet xmlns:r="http://schemas.openxmlformats.org/officeDocument/2006/relationships" name="SIGGE_P" sheetId="8" state="visible" r:id="rId8"/>
    <sheet xmlns:r="http://schemas.openxmlformats.org/officeDocument/2006/relationships" name="EFACT_CNE" sheetId="9" state="visible" r:id="rId9"/>
    <sheet xmlns:r="http://schemas.openxmlformats.org/officeDocument/2006/relationships" name="EfactCNE_BT" sheetId="10" state="visible" r:id="rId10"/>
    <sheet xmlns:r="http://schemas.openxmlformats.org/officeDocument/2006/relationships" name="CEN_Energia" sheetId="11" state="visible" r:id="rId11"/>
    <sheet xmlns:r="http://schemas.openxmlformats.org/officeDocument/2006/relationships" name="CEN_Potencia" sheetId="12" state="visible" r:id="rId12"/>
    <sheet xmlns:r="http://schemas.openxmlformats.org/officeDocument/2006/relationships" name="CEN_EnergiaBT" sheetId="13" state="visible" r:id="rId13"/>
    <sheet xmlns:r="http://schemas.openxmlformats.org/officeDocument/2006/relationships" name="EFACT_EST_CEN" sheetId="14" state="visible" r:id="rId14"/>
    <sheet xmlns:r="http://schemas.openxmlformats.org/officeDocument/2006/relationships" name="SIN_DATA" sheetId="15" state="visible" r:id="rId15"/>
    <sheet xmlns:r="http://schemas.openxmlformats.org/officeDocument/2006/relationships" name="INTERESES" sheetId="16" state="visible" r:id="rId16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H:MM:SS"/>
    <numFmt numFmtId="165" formatCode="DD-MM-YYYY"/>
  </numFmts>
  <fonts count="3">
    <font>
      <name val="Calibri"/>
      <family val="2"/>
      <color theme="1"/>
      <sz val="11"/>
      <scheme val="minor"/>
    </font>
    <font>
      <name val="Calibri"/>
      <family val="2"/>
      <b val="1"/>
      <color theme="1"/>
      <sz val="11"/>
      <scheme val="minor"/>
    </font>
    <font>
      <name val="Calibri"/>
      <family val="2"/>
      <color theme="10"/>
      <sz val="11"/>
      <u val="single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2">
    <xf numFmtId="0" fontId="0" fillId="0" borderId="0"/>
    <xf numFmtId="0" fontId="2" fillId="0" borderId="0" applyAlignment="1" applyProtection="1">
      <alignment vertical="top"/>
      <protection locked="0" hidden="0"/>
    </xf>
  </cellStyleXfs>
  <cellXfs count="5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4" fontId="0" fillId="0" borderId="0" pivotButton="0" quotePrefix="0" xfId="0"/>
    <xf numFmtId="0" fontId="2" fillId="0" borderId="0" pivotButton="0" quotePrefix="0" xfId="1"/>
    <xf numFmtId="165" fontId="0" fillId="0" borderId="0" pivotButton="0" quotePrefix="0" xfId="0"/>
  </cellXfs>
  <cellStyles count="2">
    <cellStyle name="Normal" xfId="0" builtinId="0"/>
    <cellStyle name="Hyperlink" xfId="1" builtinId="8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styles" Target="styles.xml" Id="rId17"/><Relationship Type="http://schemas.openxmlformats.org/officeDocument/2006/relationships/theme" Target="theme/theme1.xml" Id="rId18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6.xml.rels><Relationships xmlns="http://schemas.openxmlformats.org/package/2006/relationships"><Relationship Type="http://schemas.openxmlformats.org/officeDocument/2006/relationships/hyperlink" Target="https://www.bcn.cl/leychile/navegar?idNorma=1092549" TargetMode="External" Id="rId1"/><Relationship Type="http://schemas.openxmlformats.org/officeDocument/2006/relationships/hyperlink" Target="https://www.bcn.cl/leychile/navegar?idNorma=1093605" TargetMode="External" Id="rId2"/><Relationship Type="http://schemas.openxmlformats.org/officeDocument/2006/relationships/hyperlink" Target="https://www.diariooficial.interior.gob.cl/publicaciones/2017/09/15/41861/01/1272697.pdf" TargetMode="External" Id="rId3"/><Relationship Type="http://schemas.openxmlformats.org/officeDocument/2006/relationships/hyperlink" Target="https://www.diariooficial.interior.gob.cl/publicaciones/2017/09/15/41861/01/1272697.pdf" TargetMode="External" Id="rId4"/><Relationship Type="http://schemas.openxmlformats.org/officeDocument/2006/relationships/hyperlink" Target="https://www.diariooficial.interior.gob.cl/publicaciones/2018/03/15/42008/01/1366088.pdf" TargetMode="External" Id="rId5"/><Relationship Type="http://schemas.openxmlformats.org/officeDocument/2006/relationships/hyperlink" Target="https://www.diariooficial.interior.gob.cl/publicaciones/2018/09/15/42159/01/1465375.pdf" TargetMode="External" Id="rId6"/><Relationship Type="http://schemas.openxmlformats.org/officeDocument/2006/relationships/hyperlink" Target="https://www.diariooficial.interior.gob.cl/publicaciones/2019/04/15/42331/01/1576341.pdf" TargetMode="External" Id="rId7"/><Relationship Type="http://schemas.openxmlformats.org/officeDocument/2006/relationships/hyperlink" Target="https://www.diariooficial.interior.gob.cl/publicaciones/2020/10/15/42780/01/1830437.pdf" TargetMode="External" Id="rId8"/><Relationship Type="http://schemas.openxmlformats.org/officeDocument/2006/relationships/hyperlink" Target="https://www.diariooficial.interior.gob.cl/publicaciones/2021/03/15/42905/01/1910115.pdf" TargetMode="External" Id="rId9"/><Relationship Type="http://schemas.openxmlformats.org/officeDocument/2006/relationships/hyperlink" Target="https://www.diariooficial.interior.gob.cl/publicaciones/2021/05/14/42954/01/1943780.pdf" TargetMode="External" Id="rId10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7"/>
  <sheetViews>
    <sheetView tabSelected="1" workbookViewId="0">
      <selection activeCell="A1" sqref="A1"/>
    </sheetView>
  </sheetViews>
  <sheetFormatPr baseColWidth="8" defaultRowHeight="15"/>
  <sheetData>
    <row r="1">
      <c r="A1" s="1" t="inlineStr">
        <is>
          <t>Hoja</t>
        </is>
      </c>
      <c r="B1" s="1" t="inlineStr">
        <is>
          <t>Descripción</t>
        </is>
      </c>
    </row>
    <row r="2">
      <c r="A2" t="inlineStr">
        <is>
          <t>EFACT_CNE</t>
        </is>
      </c>
      <c r="B2" t="inlineStr">
        <is>
          <t>Información de facturación definitiva proveniente de los archivos EFACT publicados por la CNE en los Decretos de Precio de Nudo</t>
        </is>
      </c>
    </row>
    <row r="3">
      <c r="A3" t="inlineStr">
        <is>
          <t>FACT_EMITIDA</t>
        </is>
      </c>
      <c r="B3" t="inlineStr">
        <is>
          <t>Información de facturación real desde PDFs y sistema SIGGE (gestión facturación electrónica)</t>
        </is>
      </c>
    </row>
    <row r="4">
      <c r="A4" t="inlineStr">
        <is>
          <t>SIGGE_E</t>
        </is>
      </c>
      <c r="B4" t="inlineStr">
        <is>
          <t>Información de facturación real de Energía desde PDFs y sistema SIGGE (gestión facturación electrónica)</t>
        </is>
      </c>
    </row>
    <row r="5">
      <c r="A5" t="inlineStr">
        <is>
          <t>SIGGE_P</t>
        </is>
      </c>
      <c r="B5" t="inlineStr">
        <is>
          <t>Información de facturación real de Potencia desde PDFs y sistema SIGGE (gestión facturación electrónica)</t>
        </is>
      </c>
    </row>
    <row r="6">
      <c r="A6" t="inlineStr">
        <is>
          <t>FACT_EST_EFACT</t>
        </is>
      </c>
      <c r="B6" t="inlineStr">
        <is>
          <t>Estimación de facturación emitida en base a información de los EFACT Decretos Precios de Nudo</t>
        </is>
      </c>
    </row>
    <row r="7">
      <c r="A7" t="inlineStr">
        <is>
          <t>FACT_EST_CEN</t>
        </is>
      </c>
      <c r="B7" t="inlineStr">
        <is>
          <t>Estimación de la facturación emitida en base a los balances mensuales publicados por el Coordinador</t>
        </is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E18"/>
  <sheetViews>
    <sheetView workbookViewId="0">
      <selection activeCell="A1" sqref="A1"/>
    </sheetView>
  </sheetViews>
  <sheetFormatPr baseColWidth="8" defaultRowHeight="15"/>
  <sheetData>
    <row r="1">
      <c r="A1" s="1" t="inlineStr"/>
      <c r="B1" s="1" t="inlineStr"/>
      <c r="C1" s="1" t="inlineStr"/>
      <c r="D1" s="1" t="inlineStr"/>
      <c r="E1" s="1" t="inlineStr"/>
      <c r="F1" s="1" t="inlineStr"/>
      <c r="G1" s="1" t="inlineStr"/>
      <c r="H1" s="1" t="inlineStr"/>
      <c r="I1" s="1" t="inlineStr"/>
      <c r="J1" s="1" t="inlineStr"/>
      <c r="K1" s="1" t="inlineStr"/>
      <c r="L1" s="1" t="inlineStr"/>
      <c r="M1" s="1" t="inlineStr"/>
      <c r="N1" s="1" t="inlineStr"/>
      <c r="O1" s="1" t="inlineStr"/>
      <c r="P1" s="1" t="inlineStr"/>
      <c r="Q1" s="1" t="inlineStr"/>
      <c r="R1" s="1" t="inlineStr"/>
      <c r="S1" s="1" t="inlineStr"/>
      <c r="T1" s="1" t="inlineStr"/>
      <c r="U1" s="1" t="inlineStr"/>
      <c r="V1" s="1" t="inlineStr"/>
      <c r="W1" s="1" t="inlineStr"/>
      <c r="X1" s="1" t="inlineStr"/>
      <c r="Y1" s="1" t="inlineStr"/>
      <c r="Z1" s="1" t="inlineStr"/>
      <c r="AA1" s="1" t="inlineStr"/>
      <c r="AB1" s="1" t="inlineStr"/>
      <c r="AC1" s="1" t="inlineStr"/>
      <c r="AD1" s="1" t="inlineStr"/>
      <c r="AE1" s="1" t="inlineStr"/>
    </row>
    <row r="2">
      <c r="A2" t="inlineStr">
        <is>
          <t>Generador</t>
        </is>
      </c>
      <c r="B2" t="inlineStr">
        <is>
          <t>Caren</t>
        </is>
      </c>
    </row>
    <row r="3">
      <c r="A3" t="inlineStr">
        <is>
          <t>Distribuidor</t>
        </is>
      </c>
      <c r="B3" t="inlineStr">
        <is>
          <t>EMELCA</t>
        </is>
      </c>
    </row>
    <row r="4">
      <c r="A4" t="inlineStr">
        <is>
          <t>Licitacion</t>
        </is>
      </c>
      <c r="B4" t="inlineStr">
        <is>
          <t>2013/03-2° Llamado</t>
        </is>
      </c>
    </row>
    <row r="5">
      <c r="A5" t="inlineStr">
        <is>
          <t>Bloque</t>
        </is>
      </c>
      <c r="B5" t="inlineStr">
        <is>
          <t>BS1C</t>
        </is>
      </c>
    </row>
    <row r="7">
      <c r="C7" t="inlineStr">
        <is>
          <t>LO QUE SE FACTURÓ</t>
        </is>
      </c>
      <c r="L7" t="inlineStr">
        <is>
          <t>LO QUE SE DEBIÓ HABER FACTURADO</t>
        </is>
      </c>
      <c r="U7" t="inlineStr">
        <is>
          <t>RELQUIDACIÓN Y CÁLCULO INTERESES</t>
        </is>
      </c>
    </row>
    <row r="8">
      <c r="A8" t="inlineStr">
        <is>
          <t>ID</t>
        </is>
      </c>
      <c r="B8" t="inlineStr">
        <is>
          <t>MES</t>
        </is>
      </c>
      <c r="C8" t="inlineStr">
        <is>
          <t>ORIGEN DATA</t>
        </is>
      </c>
      <c r="D8" t="inlineStr">
        <is>
          <t>Energía (kWh)</t>
        </is>
      </c>
      <c r="E8" t="inlineStr">
        <is>
          <t>Monto Energía ($)</t>
        </is>
      </c>
      <c r="F8" t="inlineStr">
        <is>
          <t>$/kWh</t>
        </is>
      </c>
      <c r="G8" t="inlineStr">
        <is>
          <t>Potencia (kW)</t>
        </is>
      </c>
      <c r="H8" t="inlineStr">
        <is>
          <t>Monto Potencia ($)</t>
        </is>
      </c>
      <c r="I8" t="inlineStr">
        <is>
          <t>$/kW-mes</t>
        </is>
      </c>
      <c r="J8" t="inlineStr">
        <is>
          <t>Monto Total ($)</t>
        </is>
      </c>
      <c r="L8" t="inlineStr">
        <is>
          <t>ORIGEN DATA</t>
        </is>
      </c>
      <c r="M8" t="inlineStr">
        <is>
          <t>Energía (kWh)</t>
        </is>
      </c>
      <c r="N8" t="inlineStr">
        <is>
          <t>Monto Energía ($)</t>
        </is>
      </c>
      <c r="O8" t="inlineStr">
        <is>
          <t>$/kWh</t>
        </is>
      </c>
      <c r="P8" t="inlineStr">
        <is>
          <t>Potencia (kW)</t>
        </is>
      </c>
      <c r="Q8" t="inlineStr">
        <is>
          <t>Monto Potencia ($)</t>
        </is>
      </c>
      <c r="R8" t="inlineStr">
        <is>
          <t>$/kW-mes</t>
        </is>
      </c>
      <c r="S8" t="inlineStr">
        <is>
          <t>Monto Total ($)</t>
        </is>
      </c>
      <c r="U8" t="inlineStr">
        <is>
          <t>Mes</t>
        </is>
      </c>
      <c r="V8" t="inlineStr">
        <is>
          <t>Reliquidación mensual ($)</t>
        </is>
      </c>
      <c r="W8" t="inlineStr">
        <is>
          <t>Decreto PNP Reliquidación</t>
        </is>
      </c>
      <c r="X8" t="inlineStr">
        <is>
          <t>Fecha publicación Diario Oficial</t>
        </is>
      </c>
      <c r="Y8" t="inlineStr">
        <is>
          <t>Interés Anual</t>
        </is>
      </c>
      <c r="Z8" t="inlineStr">
        <is>
          <t>Fecha Facturación</t>
        </is>
      </c>
      <c r="AA8" t="inlineStr">
        <is>
          <t>Fecha Reliquidación</t>
        </is>
      </c>
      <c r="AB8" t="inlineStr">
        <is>
          <t>N° de días de intereses</t>
        </is>
      </c>
      <c r="AC8" t="inlineStr">
        <is>
          <t>Interés total según n° de días</t>
        </is>
      </c>
      <c r="AD8" t="inlineStr">
        <is>
          <t>Intereses ($)</t>
        </is>
      </c>
      <c r="AE8" t="inlineStr">
        <is>
          <t>Reliquidación Total ($)</t>
        </is>
      </c>
    </row>
    <row r="9">
      <c r="A9" t="n">
        <v>9</v>
      </c>
      <c r="B9" s="4" t="n">
        <v>44105</v>
      </c>
      <c r="C9" t="inlineStr">
        <is>
          <t>FACT_EMITIDA</t>
        </is>
      </c>
      <c r="D9">
        <f>SUMIF(SIGGE_E!B:B,ReliquidacionEFACT!B9,SIGGE_E!S:S)</f>
        <v/>
      </c>
      <c r="E9">
        <f>SUMIF(SIGGE_E!B:B,ReliquidacionEFACT!B9,SIGGE_E!T:T)</f>
        <v/>
      </c>
      <c r="F9">
        <f>IFERROR((E9/D9),0)</f>
        <v/>
      </c>
      <c r="G9">
        <f>SUMIF(SIGGE_P!B:B,ReliquidacionEFACT!B9,SIGGE_P!U:U)</f>
        <v/>
      </c>
      <c r="H9">
        <f>SUMIF(SIGGE_P!B:B,ReliquidacionEFACT!B9,SIGGE_P!V:V)</f>
        <v/>
      </c>
      <c r="I9">
        <f>IFERROR((H9/G9),0)</f>
        <v/>
      </c>
      <c r="J9">
        <f>(E9+H9)</f>
        <v/>
      </c>
      <c r="L9" t="inlineStr">
        <is>
          <t>EFACT_CNE</t>
        </is>
      </c>
      <c r="M9">
        <f>SUMIF(EFACT_CNE!B:B,ReliquidacionEFACT!B9,EFACT_CNE!S:S)</f>
        <v/>
      </c>
      <c r="N9">
        <f>SUMIF(EFACT_CNE!B:B,ReliquidacionEFACT!B9,EFACT_CNE!T:T)</f>
        <v/>
      </c>
      <c r="O9">
        <f>IFERROR((N9/M9),0)</f>
        <v/>
      </c>
      <c r="P9">
        <f>SUMIF(EFACT_CNE!B:B,ReliquidacionEFACT!B9,EFACT_CNE!U:U)</f>
        <v/>
      </c>
      <c r="Q9">
        <f>SUMIF(EFACT_CNE!B:B,ReliquidacionEFACT!B9,EFACT_CNE!V:V)</f>
        <v/>
      </c>
      <c r="R9">
        <f>IFERROR((Q9/P9),0)</f>
        <v/>
      </c>
      <c r="S9">
        <f>(N9+Q9)</f>
        <v/>
      </c>
      <c r="U9" s="2" t="n">
        <v>44105</v>
      </c>
      <c r="V9">
        <f>(S9-J9)</f>
        <v/>
      </c>
      <c r="W9" t="inlineStr">
        <is>
          <t>PNP_8T</t>
        </is>
      </c>
      <c r="X9" s="2" t="n">
        <v>44600</v>
      </c>
      <c r="Y9" t="n">
        <v>0.0648</v>
      </c>
      <c r="Z9" s="2" t="n">
        <v>44160</v>
      </c>
      <c r="AA9" s="2" t="n">
        <v>44651</v>
      </c>
      <c r="AB9">
        <f>(AA9-Z9)</f>
        <v/>
      </c>
      <c r="AC9">
        <f>(1+Y9)^(AB9/360)-1</f>
        <v/>
      </c>
      <c r="AD9">
        <f>(AC9*V9)</f>
        <v/>
      </c>
      <c r="AE9">
        <f>(V9+AD9)</f>
        <v/>
      </c>
    </row>
    <row r="10">
      <c r="A10" t="n">
        <v>10</v>
      </c>
      <c r="B10" s="4" t="n">
        <v>44136</v>
      </c>
      <c r="C10" t="inlineStr">
        <is>
          <t>FACT_EMITIDA</t>
        </is>
      </c>
      <c r="D10">
        <f>SUMIF(SIGGE_E!B:B,ReliquidacionEFACT!B10,SIGGE_E!S:S)</f>
        <v/>
      </c>
      <c r="E10">
        <f>SUMIF(SIGGE_E!B:B,ReliquidacionEFACT!B10,SIGGE_E!T:T)</f>
        <v/>
      </c>
      <c r="F10">
        <f>IFERROR((E10/D10),0)</f>
        <v/>
      </c>
      <c r="G10">
        <f>SUMIF(SIGGE_P!B:B,ReliquidacionEFACT!B10,SIGGE_P!U:U)</f>
        <v/>
      </c>
      <c r="H10">
        <f>SUMIF(SIGGE_P!B:B,ReliquidacionEFACT!B10,SIGGE_P!V:V)</f>
        <v/>
      </c>
      <c r="I10">
        <f>IFERROR((H10/G10),0)</f>
        <v/>
      </c>
      <c r="J10">
        <f>(E10+H10)</f>
        <v/>
      </c>
      <c r="L10" t="inlineStr">
        <is>
          <t>EFACT_CNE</t>
        </is>
      </c>
      <c r="M10">
        <f>SUMIF(EFACT_CNE!B:B,ReliquidacionEFACT!B10,EFACT_CNE!S:S)</f>
        <v/>
      </c>
      <c r="N10">
        <f>SUMIF(EFACT_CNE!B:B,ReliquidacionEFACT!B10,EFACT_CNE!T:T)</f>
        <v/>
      </c>
      <c r="O10">
        <f>IFERROR((N10/M10),0)</f>
        <v/>
      </c>
      <c r="P10">
        <f>SUMIF(EFACT_CNE!B:B,ReliquidacionEFACT!B10,EFACT_CNE!U:U)</f>
        <v/>
      </c>
      <c r="Q10">
        <f>SUMIF(EFACT_CNE!B:B,ReliquidacionEFACT!B10,EFACT_CNE!V:V)</f>
        <v/>
      </c>
      <c r="R10">
        <f>IFERROR((Q10/P10),0)</f>
        <v/>
      </c>
      <c r="S10">
        <f>(N10+Q10)</f>
        <v/>
      </c>
      <c r="U10" s="2" t="n">
        <v>44136</v>
      </c>
      <c r="V10">
        <f>(S10-J10)</f>
        <v/>
      </c>
      <c r="W10" t="inlineStr">
        <is>
          <t>PNP_8T</t>
        </is>
      </c>
      <c r="X10" s="2" t="n">
        <v>44600</v>
      </c>
      <c r="Y10" t="n">
        <v>0.0648</v>
      </c>
      <c r="Z10" s="2" t="n">
        <v>44190</v>
      </c>
      <c r="AA10" s="2" t="n">
        <v>44651</v>
      </c>
      <c r="AB10">
        <f>(AA10-Z10)</f>
        <v/>
      </c>
      <c r="AC10">
        <f>(1+Y10)^(AB10/360)-1</f>
        <v/>
      </c>
      <c r="AD10">
        <f>(AC10*V10)</f>
        <v/>
      </c>
      <c r="AE10">
        <f>(V10+AD10)</f>
        <v/>
      </c>
    </row>
    <row r="11">
      <c r="A11" t="n">
        <v>11</v>
      </c>
      <c r="B11" s="4" t="n">
        <v>44166</v>
      </c>
      <c r="C11" t="inlineStr">
        <is>
          <t>FACT_EMITIDA</t>
        </is>
      </c>
      <c r="D11">
        <f>SUMIF(SIGGE_E!B:B,ReliquidacionEFACT!B11,SIGGE_E!S:S)</f>
        <v/>
      </c>
      <c r="E11">
        <f>SUMIF(SIGGE_E!B:B,ReliquidacionEFACT!B11,SIGGE_E!T:T)</f>
        <v/>
      </c>
      <c r="F11">
        <f>IFERROR((E11/D11),0)</f>
        <v/>
      </c>
      <c r="G11">
        <f>SUMIF(SIGGE_P!B:B,ReliquidacionEFACT!B11,SIGGE_P!U:U)</f>
        <v/>
      </c>
      <c r="H11">
        <f>SUMIF(SIGGE_P!B:B,ReliquidacionEFACT!B11,SIGGE_P!V:V)</f>
        <v/>
      </c>
      <c r="I11">
        <f>IFERROR((H11/G11),0)</f>
        <v/>
      </c>
      <c r="J11">
        <f>(E11+H11)</f>
        <v/>
      </c>
      <c r="L11" t="inlineStr">
        <is>
          <t>EFACT_CNE</t>
        </is>
      </c>
      <c r="M11">
        <f>SUMIF(EFACT_CNE!B:B,ReliquidacionEFACT!B11,EFACT_CNE!S:S)</f>
        <v/>
      </c>
      <c r="N11">
        <f>SUMIF(EFACT_CNE!B:B,ReliquidacionEFACT!B11,EFACT_CNE!T:T)</f>
        <v/>
      </c>
      <c r="O11">
        <f>IFERROR((N11/M11),0)</f>
        <v/>
      </c>
      <c r="P11">
        <f>SUMIF(EFACT_CNE!B:B,ReliquidacionEFACT!B11,EFACT_CNE!U:U)</f>
        <v/>
      </c>
      <c r="Q11">
        <f>SUMIF(EFACT_CNE!B:B,ReliquidacionEFACT!B11,EFACT_CNE!V:V)</f>
        <v/>
      </c>
      <c r="R11">
        <f>IFERROR((Q11/P11),0)</f>
        <v/>
      </c>
      <c r="S11">
        <f>(N11+Q11)</f>
        <v/>
      </c>
      <c r="U11" s="2" t="n">
        <v>44166</v>
      </c>
      <c r="V11">
        <f>(S11-J11)</f>
        <v/>
      </c>
      <c r="W11" t="inlineStr">
        <is>
          <t>PNP_8T</t>
        </is>
      </c>
      <c r="X11" s="2" t="n">
        <v>44600</v>
      </c>
      <c r="Y11" t="n">
        <v>0.0648</v>
      </c>
      <c r="Z11" s="2" t="n">
        <v>44221</v>
      </c>
      <c r="AA11" s="2" t="n">
        <v>44651</v>
      </c>
      <c r="AB11">
        <f>(AA11-Z11)</f>
        <v/>
      </c>
      <c r="AC11">
        <f>(1+Y11)^(AB11/360)-1</f>
        <v/>
      </c>
      <c r="AD11">
        <f>(AC11*V11)</f>
        <v/>
      </c>
      <c r="AE11">
        <f>(V11+AD11)</f>
        <v/>
      </c>
    </row>
    <row r="12">
      <c r="A12" t="n">
        <v>12</v>
      </c>
      <c r="B12" s="4" t="n">
        <v>44197</v>
      </c>
      <c r="C12" t="inlineStr">
        <is>
          <t>FACT_EMITIDA</t>
        </is>
      </c>
      <c r="D12">
        <f>SUMIF(SIGGE_E!B:B,ReliquidacionEFACT!B12,SIGGE_E!S:S)</f>
        <v/>
      </c>
      <c r="E12">
        <f>SUMIF(SIGGE_E!B:B,ReliquidacionEFACT!B12,SIGGE_E!T:T)</f>
        <v/>
      </c>
      <c r="F12">
        <f>IFERROR((E12/D12),0)</f>
        <v/>
      </c>
      <c r="G12">
        <f>SUMIF(SIGGE_P!B:B,ReliquidacionEFACT!B12,SIGGE_P!U:U)</f>
        <v/>
      </c>
      <c r="H12">
        <f>SUMIF(SIGGE_P!B:B,ReliquidacionEFACT!B12,SIGGE_P!V:V)</f>
        <v/>
      </c>
      <c r="I12">
        <f>IFERROR((H12/G12),0)</f>
        <v/>
      </c>
      <c r="J12">
        <f>(E12+H12)</f>
        <v/>
      </c>
      <c r="L12" t="inlineStr">
        <is>
          <t>EFACT_CNE</t>
        </is>
      </c>
      <c r="M12">
        <f>SUMIF(EFACT_CNE!B:B,ReliquidacionEFACT!B12,EFACT_CNE!S:S)</f>
        <v/>
      </c>
      <c r="N12">
        <f>SUMIF(EFACT_CNE!B:B,ReliquidacionEFACT!B12,EFACT_CNE!T:T)</f>
        <v/>
      </c>
      <c r="O12">
        <f>IFERROR((N12/M12),0)</f>
        <v/>
      </c>
      <c r="P12">
        <f>SUMIF(EFACT_CNE!B:B,ReliquidacionEFACT!B12,EFACT_CNE!U:U)</f>
        <v/>
      </c>
      <c r="Q12">
        <f>SUMIF(EFACT_CNE!B:B,ReliquidacionEFACT!B12,EFACT_CNE!V:V)</f>
        <v/>
      </c>
      <c r="R12">
        <f>IFERROR((Q12/P12),0)</f>
        <v/>
      </c>
      <c r="S12">
        <f>(N12+Q12)</f>
        <v/>
      </c>
      <c r="U12" s="2" t="n">
        <v>44197</v>
      </c>
      <c r="V12">
        <f>(S12-J12)</f>
        <v/>
      </c>
      <c r="W12" t="inlineStr">
        <is>
          <t>PNP_8T</t>
        </is>
      </c>
      <c r="X12" s="2" t="n">
        <v>44600</v>
      </c>
      <c r="Y12" t="n">
        <v>0.0648</v>
      </c>
      <c r="Z12" s="2" t="n">
        <v>44252</v>
      </c>
      <c r="AA12" s="2" t="n">
        <v>44651</v>
      </c>
      <c r="AB12">
        <f>(AA12-Z12)</f>
        <v/>
      </c>
      <c r="AC12">
        <f>(1+Y12)^(AB12/360)-1</f>
        <v/>
      </c>
      <c r="AD12">
        <f>(AC12*V12)</f>
        <v/>
      </c>
      <c r="AE12">
        <f>(V12+AD12)</f>
        <v/>
      </c>
    </row>
    <row r="13">
      <c r="A13" t="n">
        <v>13</v>
      </c>
      <c r="B13" s="4" t="n">
        <v>44228</v>
      </c>
      <c r="C13" t="inlineStr">
        <is>
          <t>FACT_EMITIDA</t>
        </is>
      </c>
      <c r="D13">
        <f>SUMIF(SIGGE_E!B:B,ReliquidacionEFACT!B13,SIGGE_E!S:S)</f>
        <v/>
      </c>
      <c r="E13">
        <f>SUMIF(SIGGE_E!B:B,ReliquidacionEFACT!B13,SIGGE_E!T:T)</f>
        <v/>
      </c>
      <c r="F13">
        <f>IFERROR((E13/D13),0)</f>
        <v/>
      </c>
      <c r="G13">
        <f>SUMIF(SIGGE_P!B:B,ReliquidacionEFACT!B13,SIGGE_P!U:U)</f>
        <v/>
      </c>
      <c r="H13">
        <f>SUMIF(SIGGE_P!B:B,ReliquidacionEFACT!B13,SIGGE_P!V:V)</f>
        <v/>
      </c>
      <c r="I13">
        <f>IFERROR((H13/G13),0)</f>
        <v/>
      </c>
      <c r="J13">
        <f>(E13+H13)</f>
        <v/>
      </c>
      <c r="L13" t="inlineStr">
        <is>
          <t>EFACT_CNE</t>
        </is>
      </c>
      <c r="M13">
        <f>SUMIF(EFACT_CNE!B:B,ReliquidacionEFACT!B13,EFACT_CNE!S:S)</f>
        <v/>
      </c>
      <c r="N13">
        <f>SUMIF(EFACT_CNE!B:B,ReliquidacionEFACT!B13,EFACT_CNE!T:T)</f>
        <v/>
      </c>
      <c r="O13">
        <f>IFERROR((N13/M13),0)</f>
        <v/>
      </c>
      <c r="P13">
        <f>SUMIF(EFACT_CNE!B:B,ReliquidacionEFACT!B13,EFACT_CNE!U:U)</f>
        <v/>
      </c>
      <c r="Q13">
        <f>SUMIF(EFACT_CNE!B:B,ReliquidacionEFACT!B13,EFACT_CNE!V:V)</f>
        <v/>
      </c>
      <c r="R13">
        <f>IFERROR((Q13/P13),0)</f>
        <v/>
      </c>
      <c r="S13">
        <f>(N13+Q13)</f>
        <v/>
      </c>
      <c r="U13" s="2" t="n">
        <v>44228</v>
      </c>
      <c r="V13">
        <f>(S13-J13)</f>
        <v/>
      </c>
      <c r="W13" t="inlineStr">
        <is>
          <t>PNP_8T</t>
        </is>
      </c>
      <c r="X13" s="2" t="n">
        <v>44600</v>
      </c>
      <c r="Y13" t="n">
        <v>0.0648</v>
      </c>
      <c r="Z13" s="2" t="n">
        <v>44280</v>
      </c>
      <c r="AA13" s="2" t="n">
        <v>44651</v>
      </c>
      <c r="AB13">
        <f>(AA13-Z13)</f>
        <v/>
      </c>
      <c r="AC13">
        <f>(1+Y13)^(AB13/360)-1</f>
        <v/>
      </c>
      <c r="AD13">
        <f>(AC13*V13)</f>
        <v/>
      </c>
      <c r="AE13">
        <f>(V13+AD13)</f>
        <v/>
      </c>
    </row>
    <row r="14">
      <c r="A14" t="n">
        <v>14</v>
      </c>
      <c r="B14" s="4" t="n">
        <v>44256</v>
      </c>
      <c r="C14" t="inlineStr">
        <is>
          <t>FACT_EMITIDA</t>
        </is>
      </c>
      <c r="D14">
        <f>SUMIF(SIGGE_E!B:B,ReliquidacionEFACT!B14,SIGGE_E!S:S)</f>
        <v/>
      </c>
      <c r="E14">
        <f>SUMIF(SIGGE_E!B:B,ReliquidacionEFACT!B14,SIGGE_E!T:T)</f>
        <v/>
      </c>
      <c r="F14">
        <f>IFERROR((E14/D14),0)</f>
        <v/>
      </c>
      <c r="G14">
        <f>SUMIF(SIGGE_P!B:B,ReliquidacionEFACT!B14,SIGGE_P!U:U)</f>
        <v/>
      </c>
      <c r="H14">
        <f>SUMIF(SIGGE_P!B:B,ReliquidacionEFACT!B14,SIGGE_P!V:V)</f>
        <v/>
      </c>
      <c r="I14">
        <f>IFERROR((H14/G14),0)</f>
        <v/>
      </c>
      <c r="J14">
        <f>(E14+H14)</f>
        <v/>
      </c>
      <c r="L14" t="inlineStr">
        <is>
          <t>EFACT_CNE</t>
        </is>
      </c>
      <c r="M14">
        <f>SUMIF(EFACT_CNE!B:B,ReliquidacionEFACT!B14,EFACT_CNE!S:S)</f>
        <v/>
      </c>
      <c r="N14">
        <f>SUMIF(EFACT_CNE!B:B,ReliquidacionEFACT!B14,EFACT_CNE!T:T)</f>
        <v/>
      </c>
      <c r="O14">
        <f>IFERROR((N14/M14),0)</f>
        <v/>
      </c>
      <c r="P14">
        <f>SUMIF(EFACT_CNE!B:B,ReliquidacionEFACT!B14,EFACT_CNE!U:U)</f>
        <v/>
      </c>
      <c r="Q14">
        <f>SUMIF(EFACT_CNE!B:B,ReliquidacionEFACT!B14,EFACT_CNE!V:V)</f>
        <v/>
      </c>
      <c r="R14">
        <f>IFERROR((Q14/P14),0)</f>
        <v/>
      </c>
      <c r="S14">
        <f>(N14+Q14)</f>
        <v/>
      </c>
      <c r="U14" s="2" t="n">
        <v>44256</v>
      </c>
      <c r="V14">
        <f>(S14-J14)</f>
        <v/>
      </c>
      <c r="W14" t="inlineStr">
        <is>
          <t>PNP_8T</t>
        </is>
      </c>
      <c r="X14" s="2" t="n">
        <v>44600</v>
      </c>
      <c r="Y14" t="n">
        <v>0.0648</v>
      </c>
      <c r="Z14" s="2" t="n">
        <v>44311</v>
      </c>
      <c r="AA14" s="2" t="n">
        <v>44651</v>
      </c>
      <c r="AB14">
        <f>(AA14-Z14)</f>
        <v/>
      </c>
      <c r="AC14">
        <f>(1+Y14)^(AB14/360)-1</f>
        <v/>
      </c>
      <c r="AD14">
        <f>(AC14*V14)</f>
        <v/>
      </c>
      <c r="AE14">
        <f>(V14+AD14)</f>
        <v/>
      </c>
    </row>
    <row r="15">
      <c r="AD15" t="inlineStr">
        <is>
          <t>Reliquidación</t>
        </is>
      </c>
      <c r="AE15">
        <f>SUM(AE9:AE14)</f>
        <v/>
      </c>
    </row>
    <row r="17">
      <c r="AC17" t="inlineStr">
        <is>
          <t>Montos a favor</t>
        </is>
      </c>
      <c r="AD17" t="inlineStr">
        <is>
          <t>LAP emite factura</t>
        </is>
      </c>
    </row>
    <row r="18">
      <c r="AC18" t="inlineStr">
        <is>
          <t>Montos en contra</t>
        </is>
      </c>
      <c r="AD18" t="inlineStr">
        <is>
          <t>LAP emite nota de crédito</t>
        </is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AE15"/>
  <sheetViews>
    <sheetView workbookViewId="0">
      <selection activeCell="A1" sqref="A1"/>
    </sheetView>
  </sheetViews>
  <sheetFormatPr baseColWidth="8" defaultRowHeight="15"/>
  <sheetData>
    <row r="1">
      <c r="A1" s="1" t="inlineStr"/>
      <c r="B1" s="1" t="inlineStr"/>
      <c r="C1" s="1" t="inlineStr"/>
      <c r="D1" s="1" t="inlineStr"/>
      <c r="E1" s="1" t="inlineStr"/>
      <c r="F1" s="1" t="inlineStr"/>
      <c r="G1" s="1" t="inlineStr"/>
      <c r="H1" s="1" t="inlineStr"/>
      <c r="I1" t="inlineStr"/>
      <c r="J1" t="inlineStr"/>
      <c r="K1" t="inlineStr"/>
      <c r="L1" t="inlineStr"/>
      <c r="M1" t="inlineStr"/>
      <c r="N1" t="inlineStr"/>
      <c r="O1" t="inlineStr"/>
      <c r="P1" t="inlineStr"/>
      <c r="Q1" t="inlineStr"/>
      <c r="R1" t="inlineStr"/>
      <c r="S1" t="inlineStr"/>
      <c r="T1" t="inlineStr"/>
      <c r="U1" t="inlineStr"/>
      <c r="V1" t="inlineStr"/>
      <c r="W1" t="inlineStr"/>
      <c r="X1" t="inlineStr"/>
      <c r="Y1" t="inlineStr"/>
      <c r="Z1" t="inlineStr"/>
      <c r="AA1" t="inlineStr"/>
      <c r="AB1" t="inlineStr"/>
      <c r="AC1" t="inlineStr"/>
      <c r="AD1" t="inlineStr"/>
      <c r="AE1" t="inlineStr"/>
    </row>
    <row r="2">
      <c r="A2" t="inlineStr">
        <is>
          <t>Generador</t>
        </is>
      </c>
      <c r="B2" t="inlineStr">
        <is>
          <t>Caren</t>
        </is>
      </c>
    </row>
    <row r="3">
      <c r="A3" t="inlineStr">
        <is>
          <t>Distribuidor</t>
        </is>
      </c>
      <c r="B3" t="inlineStr">
        <is>
          <t>EMELCA</t>
        </is>
      </c>
    </row>
    <row r="4">
      <c r="A4" t="inlineStr">
        <is>
          <t>Licitacion</t>
        </is>
      </c>
      <c r="B4" t="inlineStr">
        <is>
          <t>2013/03-2° Llamado</t>
        </is>
      </c>
    </row>
    <row r="5">
      <c r="A5" t="inlineStr">
        <is>
          <t>Bloque</t>
        </is>
      </c>
      <c r="B5" t="inlineStr">
        <is>
          <t>BS1C</t>
        </is>
      </c>
    </row>
    <row r="8">
      <c r="A8" t="inlineStr">
        <is>
          <t>ID</t>
        </is>
      </c>
      <c r="B8" t="inlineStr">
        <is>
          <t>MES</t>
        </is>
      </c>
      <c r="C8" t="inlineStr">
        <is>
          <t>ORIGEN DATA</t>
        </is>
      </c>
      <c r="D8" t="inlineStr">
        <is>
          <t>Energía SIGGE (kWh)</t>
        </is>
      </c>
      <c r="E8" t="inlineStr">
        <is>
          <t>Energía EFACT AT (kWh)</t>
        </is>
      </c>
      <c r="F8" t="inlineStr">
        <is>
          <t>Energía EFACT BT (kWh)</t>
        </is>
      </c>
      <c r="G8" t="inlineStr">
        <is>
          <t>Energía Coordinador AT (kWh)</t>
        </is>
      </c>
      <c r="H8" t="inlineStr">
        <is>
          <t>Energía Coordinador BT (kWh)</t>
        </is>
      </c>
    </row>
    <row r="9">
      <c r="A9" t="n">
        <v>9</v>
      </c>
      <c r="B9" s="4" t="n">
        <v>44105</v>
      </c>
      <c r="C9" t="inlineStr">
        <is>
          <t>FACT_EMITIDA</t>
        </is>
      </c>
      <c r="D9">
        <f>SUMIF(SIGGE_E!B:B,ResumenRetiros!B9,SIGGE_E!S:S)</f>
        <v/>
      </c>
      <c r="E9">
        <f>SUMIF(EFACT_CNE!B:B,ResumenRetiros!B9,EFACT_CNE!S:S)</f>
        <v/>
      </c>
      <c r="F9">
        <f>SUMIF(EfactCNE_BT!B:B,ResumenRetiros!B9,EfactCNE_BT!M:M)</f>
        <v/>
      </c>
      <c r="G9">
        <f>SUMIF(CEN_Energia!B:B,ResumenRetiros!B9,CEN_Energia!Z:Z)</f>
        <v/>
      </c>
      <c r="H9">
        <f>SUMIF(CEN_EnergiaBT!B:B,ResumenRetiros!B9,CEN_EnergiaBT!K:K)</f>
        <v/>
      </c>
    </row>
    <row r="10">
      <c r="A10" t="n">
        <v>10</v>
      </c>
      <c r="B10" s="4" t="n">
        <v>44136</v>
      </c>
      <c r="C10" t="inlineStr">
        <is>
          <t>FACT_EMITIDA</t>
        </is>
      </c>
      <c r="D10">
        <f>SUMIF(SIGGE_E!B:B,ResumenRetiros!B10,SIGGE_E!S:S)</f>
        <v/>
      </c>
      <c r="E10">
        <f>SUMIF(EFACT_CNE!B:B,ResumenRetiros!B10,EFACT_CNE!S:S)</f>
        <v/>
      </c>
      <c r="F10">
        <f>SUMIF(EfactCNE_BT!B:B,ResumenRetiros!B10,EfactCNE_BT!M:M)</f>
        <v/>
      </c>
      <c r="G10">
        <f>SUMIF(CEN_Energia!B:B,ResumenRetiros!B10,CEN_Energia!Z:Z)</f>
        <v/>
      </c>
      <c r="H10">
        <f>SUMIF(CEN_EnergiaBT!B:B,ResumenRetiros!B10,CEN_EnergiaBT!K:K)</f>
        <v/>
      </c>
    </row>
    <row r="11">
      <c r="A11" t="n">
        <v>11</v>
      </c>
      <c r="B11" s="4" t="n">
        <v>44166</v>
      </c>
      <c r="C11" t="inlineStr">
        <is>
          <t>FACT_EMITIDA</t>
        </is>
      </c>
      <c r="D11">
        <f>SUMIF(SIGGE_E!B:B,ResumenRetiros!B11,SIGGE_E!S:S)</f>
        <v/>
      </c>
      <c r="E11">
        <f>SUMIF(EFACT_CNE!B:B,ResumenRetiros!B11,EFACT_CNE!S:S)</f>
        <v/>
      </c>
      <c r="F11">
        <f>SUMIF(EfactCNE_BT!B:B,ResumenRetiros!B11,EfactCNE_BT!M:M)</f>
        <v/>
      </c>
      <c r="G11">
        <f>SUMIF(CEN_Energia!B:B,ResumenRetiros!B11,CEN_Energia!Z:Z)</f>
        <v/>
      </c>
      <c r="H11">
        <f>SUMIF(CEN_EnergiaBT!B:B,ResumenRetiros!B11,CEN_EnergiaBT!K:K)</f>
        <v/>
      </c>
    </row>
    <row r="12">
      <c r="A12" t="n">
        <v>12</v>
      </c>
      <c r="B12" s="4" t="n">
        <v>44197</v>
      </c>
      <c r="C12" t="inlineStr">
        <is>
          <t>FACT_EMITIDA</t>
        </is>
      </c>
      <c r="D12">
        <f>SUMIF(SIGGE_E!B:B,ResumenRetiros!B12,SIGGE_E!S:S)</f>
        <v/>
      </c>
      <c r="E12">
        <f>SUMIF(EFACT_CNE!B:B,ResumenRetiros!B12,EFACT_CNE!S:S)</f>
        <v/>
      </c>
      <c r="F12">
        <f>SUMIF(EfactCNE_BT!B:B,ResumenRetiros!B12,EfactCNE_BT!M:M)</f>
        <v/>
      </c>
      <c r="G12">
        <f>SUMIF(CEN_Energia!B:B,ResumenRetiros!B12,CEN_Energia!Z:Z)</f>
        <v/>
      </c>
      <c r="H12">
        <f>SUMIF(CEN_EnergiaBT!B:B,ResumenRetiros!B12,CEN_EnergiaBT!K:K)</f>
        <v/>
      </c>
    </row>
    <row r="13">
      <c r="A13" t="n">
        <v>13</v>
      </c>
      <c r="B13" s="4" t="n">
        <v>44228</v>
      </c>
      <c r="C13" t="inlineStr">
        <is>
          <t>FACT_EMITIDA</t>
        </is>
      </c>
      <c r="D13">
        <f>SUMIF(SIGGE_E!B:B,ResumenRetiros!B13,SIGGE_E!S:S)</f>
        <v/>
      </c>
      <c r="E13">
        <f>SUMIF(EFACT_CNE!B:B,ResumenRetiros!B13,EFACT_CNE!S:S)</f>
        <v/>
      </c>
      <c r="F13">
        <f>SUMIF(EfactCNE_BT!B:B,ResumenRetiros!B13,EfactCNE_BT!M:M)</f>
        <v/>
      </c>
      <c r="G13">
        <f>SUMIF(CEN_Energia!B:B,ResumenRetiros!B13,CEN_Energia!Z:Z)</f>
        <v/>
      </c>
      <c r="H13">
        <f>SUMIF(CEN_EnergiaBT!B:B,ResumenRetiros!B13,CEN_EnergiaBT!K:K)</f>
        <v/>
      </c>
    </row>
    <row r="14">
      <c r="A14" t="n">
        <v>14</v>
      </c>
      <c r="B14" s="4" t="n">
        <v>44256</v>
      </c>
      <c r="C14" t="inlineStr">
        <is>
          <t>FACT_EMITIDA</t>
        </is>
      </c>
      <c r="D14">
        <f>SUMIF(SIGGE_E!B:B,ResumenRetiros!B14,SIGGE_E!S:S)</f>
        <v/>
      </c>
      <c r="E14">
        <f>SUMIF(EFACT_CNE!B:B,ResumenRetiros!B14,EFACT_CNE!S:S)</f>
        <v/>
      </c>
      <c r="F14">
        <f>SUMIF(EfactCNE_BT!B:B,ResumenRetiros!B14,EfactCNE_BT!M:M)</f>
        <v/>
      </c>
      <c r="G14">
        <f>SUMIF(CEN_Energia!B:B,ResumenRetiros!B14,CEN_Energia!Z:Z)</f>
        <v/>
      </c>
      <c r="H14">
        <f>SUMIF(CEN_EnergiaBT!B:B,ResumenRetiros!B14,CEN_EnergiaBT!K:K)</f>
        <v/>
      </c>
    </row>
    <row r="15">
      <c r="D15">
        <f>SUM(D9:D14)</f>
        <v/>
      </c>
      <c r="E15">
        <f>SUM(E9:E14)</f>
        <v/>
      </c>
      <c r="F15">
        <f>SUM(F9:F14)</f>
        <v/>
      </c>
      <c r="G15">
        <f>SUM(G9:G14)</f>
        <v/>
      </c>
      <c r="H15">
        <f>SUM(H9:H14)</f>
        <v/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M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Empresa</t>
        </is>
      </c>
      <c r="B1" s="1" t="inlineStr">
        <is>
          <t>MesDevengado</t>
        </is>
      </c>
      <c r="C1" s="1" t="inlineStr">
        <is>
          <t>IdAgrupacion</t>
        </is>
      </c>
      <c r="D1" s="1" t="inlineStr">
        <is>
          <t>NomAgrupacion</t>
        </is>
      </c>
      <c r="E1" s="1" t="inlineStr">
        <is>
          <t>Bloque</t>
        </is>
      </c>
      <c r="F1" s="1" t="inlineStr">
        <is>
          <t>NombreCliente</t>
        </is>
      </c>
      <c r="G1" s="1" t="inlineStr">
        <is>
          <t>FechaDeContabilizacion</t>
        </is>
      </c>
      <c r="H1" s="1" t="inlineStr">
        <is>
          <t>PrefijoFolio</t>
        </is>
      </c>
      <c r="I1" s="1" t="inlineStr">
        <is>
          <t>CuentaDeMayor</t>
        </is>
      </c>
      <c r="J1" s="1" t="inlineStr">
        <is>
          <t>CodigoDeArticulo</t>
        </is>
      </c>
      <c r="K1" s="1" t="inlineStr">
        <is>
          <t>NumDeFolio</t>
        </is>
      </c>
      <c r="L1" s="1" t="inlineStr">
        <is>
          <t>MontoCLP</t>
        </is>
      </c>
      <c r="M1" s="1" t="inlineStr">
        <is>
          <t>TotalUSD</t>
        </is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M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Empresa</t>
        </is>
      </c>
      <c r="B1" s="1" t="inlineStr">
        <is>
          <t>MesDevengado</t>
        </is>
      </c>
      <c r="C1" s="1" t="inlineStr">
        <is>
          <t>IdAgrupacion</t>
        </is>
      </c>
      <c r="D1" s="1" t="inlineStr">
        <is>
          <t>NomAgrupacion</t>
        </is>
      </c>
      <c r="E1" s="1" t="inlineStr">
        <is>
          <t>Bloque</t>
        </is>
      </c>
      <c r="F1" s="1" t="inlineStr">
        <is>
          <t>NombreCliente</t>
        </is>
      </c>
      <c r="G1" s="1" t="inlineStr">
        <is>
          <t>FechaDeContabilizacion</t>
        </is>
      </c>
      <c r="H1" s="1" t="inlineStr">
        <is>
          <t>PrefijoFolio</t>
        </is>
      </c>
      <c r="I1" s="1" t="inlineStr">
        <is>
          <t>CuentaDeMayor</t>
        </is>
      </c>
      <c r="J1" s="1" t="inlineStr">
        <is>
          <t>CodigoDeArticulo</t>
        </is>
      </c>
      <c r="K1" s="1" t="inlineStr">
        <is>
          <t>NumDeFolio</t>
        </is>
      </c>
      <c r="L1" s="1" t="inlineStr">
        <is>
          <t>MontoCLP</t>
        </is>
      </c>
      <c r="M1" s="1" t="inlineStr">
        <is>
          <t>TotalUSD</t>
        </is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W2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Periodo</t>
        </is>
      </c>
      <c r="B1" s="1" t="inlineStr">
        <is>
          <t>MesDevengado</t>
        </is>
      </c>
      <c r="C1" s="1" t="inlineStr">
        <is>
          <t>Nombre</t>
        </is>
      </c>
      <c r="D1" s="1" t="inlineStr">
        <is>
          <t>Concepto</t>
        </is>
      </c>
      <c r="E1" s="1" t="inlineStr">
        <is>
          <t>Agrupacion</t>
        </is>
      </c>
      <c r="F1" s="1" t="inlineStr">
        <is>
          <t>Glosa</t>
        </is>
      </c>
      <c r="G1" s="1" t="inlineStr">
        <is>
          <t>FechaCarga</t>
        </is>
      </c>
      <c r="H1" s="1" t="inlineStr">
        <is>
          <t>TipoDocumento</t>
        </is>
      </c>
      <c r="I1" s="1" t="inlineStr">
        <is>
          <t>Folio</t>
        </is>
      </c>
      <c r="J1" s="1" t="inlineStr">
        <is>
          <t>Vendedor</t>
        </is>
      </c>
      <c r="K1" s="1" t="inlineStr">
        <is>
          <t>Comprador</t>
        </is>
      </c>
      <c r="L1" s="1" t="inlineStr">
        <is>
          <t>Bloque</t>
        </is>
      </c>
      <c r="M1" s="1" t="inlineStr">
        <is>
          <t>Empresa</t>
        </is>
      </c>
      <c r="N1" s="1" t="inlineStr">
        <is>
          <t>ClaveEEDD</t>
        </is>
      </c>
      <c r="O1" s="1" t="inlineStr">
        <is>
          <t>Licitacion</t>
        </is>
      </c>
      <c r="P1" s="1" t="inlineStr">
        <is>
          <t>NomAgrupacion</t>
        </is>
      </c>
      <c r="Q1" s="1" t="inlineStr">
        <is>
          <t>Num</t>
        </is>
      </c>
      <c r="R1" s="1" t="inlineStr">
        <is>
          <t>Barra</t>
        </is>
      </c>
      <c r="S1" s="1" t="inlineStr">
        <is>
          <t>Energia</t>
        </is>
      </c>
      <c r="T1" s="1" t="inlineStr">
        <is>
          <t>MontoEnergia</t>
        </is>
      </c>
      <c r="U1" s="1" t="inlineStr">
        <is>
          <t>Potencia</t>
        </is>
      </c>
      <c r="V1" s="1" t="inlineStr">
        <is>
          <t>MontoPotencia</t>
        </is>
      </c>
      <c r="W1" s="1" t="inlineStr">
        <is>
          <t>Precio</t>
        </is>
      </c>
    </row>
    <row r="2">
      <c r="A2" t="inlineStr">
        <is>
          <t>01-01-2021</t>
        </is>
      </c>
      <c r="B2" t="inlineStr">
        <is>
          <t>01-01-2021</t>
        </is>
      </c>
      <c r="C2" t="inlineStr">
        <is>
          <t>Licitación CAREN y EMELCA (SIC 2013/03-2) BS1C</t>
        </is>
      </c>
      <c r="D2" t="inlineStr">
        <is>
          <t>Energia Licitaciones</t>
        </is>
      </c>
      <c r="E2" t="inlineStr">
        <is>
          <t>Energía</t>
        </is>
      </c>
      <c r="F2" t="inlineStr">
        <is>
          <t>Lic. SIC 2013/03-2 bloques BS1C: Energía ene 2021</t>
        </is>
      </c>
      <c r="G2" t="inlineStr">
        <is>
          <t>2021-02-15 18:39:50</t>
        </is>
      </c>
      <c r="H2" t="n">
        <v>33</v>
      </c>
      <c r="I2" t="n">
        <v>17562</v>
      </c>
      <c r="J2" t="inlineStr">
        <is>
          <t>s</t>
        </is>
      </c>
      <c r="K2" t="inlineStr">
        <is>
          <t>s</t>
        </is>
      </c>
      <c r="L2" t="inlineStr">
        <is>
          <t>BS1C</t>
        </is>
      </c>
      <c r="M2" t="inlineStr">
        <is>
          <t>CAREN</t>
        </is>
      </c>
      <c r="N2" t="inlineStr">
        <is>
          <t>EMELCA</t>
        </is>
      </c>
      <c r="O2" t="inlineStr">
        <is>
          <t>2013/03-2</t>
        </is>
      </c>
      <c r="P2" t="inlineStr">
        <is>
          <t>EMELCA</t>
        </is>
      </c>
      <c r="Q2" t="n">
        <v>1</v>
      </c>
      <c r="R2" t="inlineStr">
        <is>
          <t>A.MELIP 220</t>
        </is>
      </c>
      <c r="S2" t="n">
        <v>0</v>
      </c>
      <c r="T2" t="n">
        <v>0</v>
      </c>
      <c r="W2" t="n">
        <v>86.819</v>
      </c>
    </row>
    <row r="3">
      <c r="A3" t="inlineStr">
        <is>
          <t>01-01-2021</t>
        </is>
      </c>
      <c r="B3" t="inlineStr">
        <is>
          <t>01-01-2021</t>
        </is>
      </c>
      <c r="C3" t="inlineStr">
        <is>
          <t>Licitación CAREN y EMELCA (SIC 2013/03-2) BS1C</t>
        </is>
      </c>
      <c r="D3" t="inlineStr">
        <is>
          <t>Potencia Licitaciones</t>
        </is>
      </c>
      <c r="E3" t="inlineStr">
        <is>
          <t>Potencia</t>
        </is>
      </c>
      <c r="F3" t="inlineStr">
        <is>
          <t>Lic. SIC 2013/03-2 bloques BS1C: Potencia ene 2021</t>
        </is>
      </c>
      <c r="G3" t="inlineStr">
        <is>
          <t>2021-02-15 18:39:50</t>
        </is>
      </c>
      <c r="H3" t="n">
        <v>33</v>
      </c>
      <c r="I3" t="n">
        <v>17562</v>
      </c>
      <c r="J3" t="inlineStr">
        <is>
          <t>s</t>
        </is>
      </c>
      <c r="K3" t="inlineStr">
        <is>
          <t>s</t>
        </is>
      </c>
      <c r="L3" t="inlineStr">
        <is>
          <t>BS1C</t>
        </is>
      </c>
      <c r="M3" t="inlineStr">
        <is>
          <t>CAREN</t>
        </is>
      </c>
      <c r="N3" t="inlineStr">
        <is>
          <t>EMELCA</t>
        </is>
      </c>
      <c r="O3" t="inlineStr">
        <is>
          <t>2013/03-2</t>
        </is>
      </c>
      <c r="P3" t="inlineStr">
        <is>
          <t>EMELCA</t>
        </is>
      </c>
      <c r="Q3" t="n">
        <v>1</v>
      </c>
      <c r="R3" t="inlineStr">
        <is>
          <t>A.MELIP 220</t>
        </is>
      </c>
      <c r="U3" t="n">
        <v>0</v>
      </c>
      <c r="V3" t="n">
        <v>0</v>
      </c>
      <c r="W3" t="n">
        <v>6007.3748</v>
      </c>
    </row>
    <row r="4">
      <c r="A4" t="inlineStr">
        <is>
          <t>01-01-2021</t>
        </is>
      </c>
      <c r="B4" t="inlineStr">
        <is>
          <t>01-01-2021</t>
        </is>
      </c>
      <c r="C4" t="inlineStr">
        <is>
          <t>Licitación CAREN y EMELCA (SIC 2013/03-2) BS1C</t>
        </is>
      </c>
      <c r="D4" t="inlineStr">
        <is>
          <t>Energia Licitaciones</t>
        </is>
      </c>
      <c r="E4" t="inlineStr">
        <is>
          <t>Energía</t>
        </is>
      </c>
      <c r="F4" t="inlineStr">
        <is>
          <t>Lic. SIC 2013/03-2 bloques BS1C: Energía ene 2021</t>
        </is>
      </c>
      <c r="G4" t="inlineStr">
        <is>
          <t>2021-02-15 18:39:50</t>
        </is>
      </c>
      <c r="H4" t="n">
        <v>33</v>
      </c>
      <c r="I4" t="n">
        <v>17562</v>
      </c>
      <c r="J4" t="inlineStr">
        <is>
          <t>s</t>
        </is>
      </c>
      <c r="K4" t="inlineStr">
        <is>
          <t>s</t>
        </is>
      </c>
      <c r="L4" t="inlineStr">
        <is>
          <t>BS1C</t>
        </is>
      </c>
      <c r="M4" t="inlineStr">
        <is>
          <t>CAREN</t>
        </is>
      </c>
      <c r="N4" t="inlineStr">
        <is>
          <t>EMELCA</t>
        </is>
      </c>
      <c r="O4" t="inlineStr">
        <is>
          <t>2013/03-2</t>
        </is>
      </c>
      <c r="P4" t="inlineStr">
        <is>
          <t>EMELCA</t>
        </is>
      </c>
      <c r="Q4" t="n">
        <v>2</v>
      </c>
      <c r="R4" t="inlineStr">
        <is>
          <t>L.MAQUIS 220</t>
        </is>
      </c>
      <c r="S4" t="n">
        <v>0</v>
      </c>
      <c r="T4" t="n">
        <v>0</v>
      </c>
      <c r="W4" t="n">
        <v>91.47499999999999</v>
      </c>
    </row>
    <row r="5">
      <c r="A5" t="inlineStr">
        <is>
          <t>01-01-2021</t>
        </is>
      </c>
      <c r="B5" t="inlineStr">
        <is>
          <t>01-01-2021</t>
        </is>
      </c>
      <c r="C5" t="inlineStr">
        <is>
          <t>Licitación CAREN y EMELCA (SIC 2013/03-2) BS1C</t>
        </is>
      </c>
      <c r="D5" t="inlineStr">
        <is>
          <t>Potencia Licitaciones</t>
        </is>
      </c>
      <c r="E5" t="inlineStr">
        <is>
          <t>Potencia</t>
        </is>
      </c>
      <c r="F5" t="inlineStr">
        <is>
          <t>Lic. SIC 2013/03-2 bloques BS1C: Potencia ene 2021</t>
        </is>
      </c>
      <c r="G5" t="inlineStr">
        <is>
          <t>2021-02-15 18:39:50</t>
        </is>
      </c>
      <c r="H5" t="n">
        <v>33</v>
      </c>
      <c r="I5" t="n">
        <v>17562</v>
      </c>
      <c r="J5" t="inlineStr">
        <is>
          <t>s</t>
        </is>
      </c>
      <c r="K5" t="inlineStr">
        <is>
          <t>s</t>
        </is>
      </c>
      <c r="L5" t="inlineStr">
        <is>
          <t>BS1C</t>
        </is>
      </c>
      <c r="M5" t="inlineStr">
        <is>
          <t>CAREN</t>
        </is>
      </c>
      <c r="N5" t="inlineStr">
        <is>
          <t>EMELCA</t>
        </is>
      </c>
      <c r="O5" t="inlineStr">
        <is>
          <t>2013/03-2</t>
        </is>
      </c>
      <c r="P5" t="inlineStr">
        <is>
          <t>EMELCA</t>
        </is>
      </c>
      <c r="Q5" t="n">
        <v>2</v>
      </c>
      <c r="R5" t="inlineStr">
        <is>
          <t>L.MAQUIS 220</t>
        </is>
      </c>
      <c r="U5" t="n">
        <v>0</v>
      </c>
      <c r="V5" t="n">
        <v>0</v>
      </c>
      <c r="W5" t="n">
        <v>6112.2447</v>
      </c>
    </row>
    <row r="6">
      <c r="A6" t="inlineStr">
        <is>
          <t>01-01-2021</t>
        </is>
      </c>
      <c r="B6" t="inlineStr">
        <is>
          <t>01-01-2021</t>
        </is>
      </c>
      <c r="C6" t="inlineStr">
        <is>
          <t>Licitación CAREN y EMELCA (SIC 2013/03-2) BS1C</t>
        </is>
      </c>
      <c r="D6" t="inlineStr">
        <is>
          <t>Energia Licitaciones</t>
        </is>
      </c>
      <c r="E6" t="inlineStr">
        <is>
          <t>Energía</t>
        </is>
      </c>
      <c r="F6" t="inlineStr">
        <is>
          <t>Lic. SIC 2013/03-2 bloques BS1C: Energía ene 2021</t>
        </is>
      </c>
      <c r="G6" t="inlineStr">
        <is>
          <t>2021-02-15 18:39:50</t>
        </is>
      </c>
      <c r="H6" t="n">
        <v>33</v>
      </c>
      <c r="I6" t="n">
        <v>17562</v>
      </c>
      <c r="J6" t="inlineStr">
        <is>
          <t>s</t>
        </is>
      </c>
      <c r="K6" t="inlineStr">
        <is>
          <t>s</t>
        </is>
      </c>
      <c r="L6" t="inlineStr">
        <is>
          <t>BS1C</t>
        </is>
      </c>
      <c r="M6" t="inlineStr">
        <is>
          <t>CAREN</t>
        </is>
      </c>
      <c r="N6" t="inlineStr">
        <is>
          <t>EMELCA</t>
        </is>
      </c>
      <c r="O6" t="inlineStr">
        <is>
          <t>2013/03-2</t>
        </is>
      </c>
      <c r="P6" t="inlineStr">
        <is>
          <t>EMELCA</t>
        </is>
      </c>
      <c r="Q6" t="n">
        <v>3</v>
      </c>
      <c r="R6" t="inlineStr">
        <is>
          <t>NOGALES 220</t>
        </is>
      </c>
      <c r="S6" t="n">
        <v>0</v>
      </c>
      <c r="T6" t="n">
        <v>0</v>
      </c>
      <c r="W6" t="n">
        <v>82.599</v>
      </c>
    </row>
    <row r="7">
      <c r="A7" t="inlineStr">
        <is>
          <t>01-01-2021</t>
        </is>
      </c>
      <c r="B7" t="inlineStr">
        <is>
          <t>01-01-2021</t>
        </is>
      </c>
      <c r="C7" t="inlineStr">
        <is>
          <t>Licitación CAREN y EMELCA (SIC 2013/03-2) BS1C</t>
        </is>
      </c>
      <c r="D7" t="inlineStr">
        <is>
          <t>Potencia Licitaciones</t>
        </is>
      </c>
      <c r="E7" t="inlineStr">
        <is>
          <t>Potencia</t>
        </is>
      </c>
      <c r="F7" t="inlineStr">
        <is>
          <t>Lic. SIC 2013/03-2 bloques BS1C: Potencia ene 2021</t>
        </is>
      </c>
      <c r="G7" t="inlineStr">
        <is>
          <t>2021-02-15 18:39:50</t>
        </is>
      </c>
      <c r="H7" t="n">
        <v>33</v>
      </c>
      <c r="I7" t="n">
        <v>17562</v>
      </c>
      <c r="J7" t="inlineStr">
        <is>
          <t>s</t>
        </is>
      </c>
      <c r="K7" t="inlineStr">
        <is>
          <t>s</t>
        </is>
      </c>
      <c r="L7" t="inlineStr">
        <is>
          <t>BS1C</t>
        </is>
      </c>
      <c r="M7" t="inlineStr">
        <is>
          <t>CAREN</t>
        </is>
      </c>
      <c r="N7" t="inlineStr">
        <is>
          <t>EMELCA</t>
        </is>
      </c>
      <c r="O7" t="inlineStr">
        <is>
          <t>2013/03-2</t>
        </is>
      </c>
      <c r="P7" t="inlineStr">
        <is>
          <t>EMELCA</t>
        </is>
      </c>
      <c r="Q7" t="n">
        <v>3</v>
      </c>
      <c r="R7" t="inlineStr">
        <is>
          <t>NOGALES 220</t>
        </is>
      </c>
      <c r="U7" t="n">
        <v>0</v>
      </c>
      <c r="V7" t="n">
        <v>0</v>
      </c>
      <c r="W7" t="n">
        <v>5876.8833</v>
      </c>
    </row>
    <row r="8">
      <c r="A8" t="inlineStr">
        <is>
          <t>01-01-2021</t>
        </is>
      </c>
      <c r="B8" t="inlineStr">
        <is>
          <t>01-01-2021</t>
        </is>
      </c>
      <c r="C8" t="inlineStr">
        <is>
          <t>Licitación CAREN y EMELCA (SIC 2013/03-2) BS1C</t>
        </is>
      </c>
      <c r="D8" t="inlineStr">
        <is>
          <t>Potencia Licitaciones</t>
        </is>
      </c>
      <c r="E8" t="inlineStr">
        <is>
          <t>Potencia</t>
        </is>
      </c>
      <c r="F8" t="inlineStr">
        <is>
          <t>Lic. SIC 2013/03-2 bloques BS1C: Potencia ene 2021</t>
        </is>
      </c>
      <c r="G8" t="inlineStr">
        <is>
          <t>2021-02-15 18:39:50</t>
        </is>
      </c>
      <c r="H8" t="n">
        <v>33</v>
      </c>
      <c r="I8" t="n">
        <v>17562</v>
      </c>
      <c r="J8" t="inlineStr">
        <is>
          <t>s</t>
        </is>
      </c>
      <c r="K8" t="inlineStr">
        <is>
          <t>s</t>
        </is>
      </c>
      <c r="L8" t="inlineStr">
        <is>
          <t>BS1C</t>
        </is>
      </c>
      <c r="M8" t="inlineStr">
        <is>
          <t>CAREN</t>
        </is>
      </c>
      <c r="N8" t="inlineStr">
        <is>
          <t>EMELCA</t>
        </is>
      </c>
      <c r="O8" t="inlineStr">
        <is>
          <t>2013/03-2</t>
        </is>
      </c>
      <c r="P8" t="inlineStr">
        <is>
          <t>EMELCA</t>
        </is>
      </c>
      <c r="Q8" t="n">
        <v>4</v>
      </c>
      <c r="R8" t="inlineStr">
        <is>
          <t>QUILLOTA 220</t>
        </is>
      </c>
      <c r="U8" t="n">
        <v>0.122175</v>
      </c>
      <c r="V8" t="n">
        <v>730</v>
      </c>
      <c r="W8" t="n">
        <v>5971.0279</v>
      </c>
    </row>
    <row r="9">
      <c r="A9" t="inlineStr">
        <is>
          <t>01-01-2021</t>
        </is>
      </c>
      <c r="B9" t="inlineStr">
        <is>
          <t>01-01-2021</t>
        </is>
      </c>
      <c r="C9" t="inlineStr">
        <is>
          <t>Licitación CAREN y EMELCA (SIC 2013/03-2) BS1C</t>
        </is>
      </c>
      <c r="D9" t="inlineStr">
        <is>
          <t>Energia Licitaciones</t>
        </is>
      </c>
      <c r="E9" t="inlineStr">
        <is>
          <t>Energía</t>
        </is>
      </c>
      <c r="F9" t="inlineStr">
        <is>
          <t>Lic. SIC 2013/03-2 bloques BS1C: Energía ene 2021</t>
        </is>
      </c>
      <c r="G9" t="inlineStr">
        <is>
          <t>2021-02-15 18:39:50</t>
        </is>
      </c>
      <c r="H9" t="n">
        <v>33</v>
      </c>
      <c r="I9" t="n">
        <v>17562</v>
      </c>
      <c r="J9" t="inlineStr">
        <is>
          <t>s</t>
        </is>
      </c>
      <c r="K9" t="inlineStr">
        <is>
          <t>s</t>
        </is>
      </c>
      <c r="L9" t="inlineStr">
        <is>
          <t>BS1C</t>
        </is>
      </c>
      <c r="M9" t="inlineStr">
        <is>
          <t>CAREN</t>
        </is>
      </c>
      <c r="N9" t="inlineStr">
        <is>
          <t>EMELCA</t>
        </is>
      </c>
      <c r="O9" t="inlineStr">
        <is>
          <t>2013/03-2</t>
        </is>
      </c>
      <c r="P9" t="inlineStr">
        <is>
          <t>EMELCA</t>
        </is>
      </c>
      <c r="Q9" t="n">
        <v>4</v>
      </c>
      <c r="R9" t="inlineStr">
        <is>
          <t>QUILLOTA 220</t>
        </is>
      </c>
      <c r="S9" t="n">
        <v>14.806341</v>
      </c>
      <c r="T9" t="n">
        <v>1313</v>
      </c>
      <c r="W9" t="n">
        <v>88.706</v>
      </c>
    </row>
    <row r="10">
      <c r="A10" t="inlineStr">
        <is>
          <t>01-02-2021</t>
        </is>
      </c>
      <c r="B10" t="inlineStr">
        <is>
          <t>01-02-2021</t>
        </is>
      </c>
      <c r="C10" t="inlineStr">
        <is>
          <t>Licitación CAREN y EMELCA (SIC 2013/03-2) BS1C</t>
        </is>
      </c>
      <c r="D10" t="inlineStr">
        <is>
          <t>Energia Licitaciones</t>
        </is>
      </c>
      <c r="E10" t="inlineStr">
        <is>
          <t>Energía</t>
        </is>
      </c>
      <c r="F10" t="inlineStr">
        <is>
          <t>Lic. SIC 2013/03-2 bloques BS1C: Energía feb 2021</t>
        </is>
      </c>
      <c r="G10" t="inlineStr">
        <is>
          <t>2021-03-11 17:08:09</t>
        </is>
      </c>
      <c r="H10" t="n">
        <v>33</v>
      </c>
      <c r="I10" t="n">
        <v>17810</v>
      </c>
      <c r="J10" t="inlineStr">
        <is>
          <t>s</t>
        </is>
      </c>
      <c r="K10" t="inlineStr">
        <is>
          <t>s</t>
        </is>
      </c>
      <c r="L10" t="inlineStr">
        <is>
          <t>BS1C</t>
        </is>
      </c>
      <c r="M10" t="inlineStr">
        <is>
          <t>CAREN</t>
        </is>
      </c>
      <c r="N10" t="inlineStr">
        <is>
          <t>EMELCA</t>
        </is>
      </c>
      <c r="O10" t="inlineStr">
        <is>
          <t>2013/03-2</t>
        </is>
      </c>
      <c r="P10" t="inlineStr">
        <is>
          <t>EMELCA</t>
        </is>
      </c>
      <c r="Q10" t="n">
        <v>1</v>
      </c>
      <c r="R10" t="inlineStr">
        <is>
          <t>A.MELIP 220</t>
        </is>
      </c>
      <c r="S10" t="n">
        <v>0</v>
      </c>
      <c r="T10" t="n">
        <v>0</v>
      </c>
      <c r="W10" t="n">
        <v>86.819</v>
      </c>
    </row>
    <row r="11">
      <c r="A11" t="inlineStr">
        <is>
          <t>01-02-2021</t>
        </is>
      </c>
      <c r="B11" t="inlineStr">
        <is>
          <t>01-02-2021</t>
        </is>
      </c>
      <c r="C11" t="inlineStr">
        <is>
          <t>Licitación CAREN y EMELCA (SIC 2013/03-2) BS1C</t>
        </is>
      </c>
      <c r="D11" t="inlineStr">
        <is>
          <t>Potencia Licitaciones</t>
        </is>
      </c>
      <c r="E11" t="inlineStr">
        <is>
          <t>Potencia</t>
        </is>
      </c>
      <c r="F11" t="inlineStr">
        <is>
          <t>Lic. SIC 2013/03-2 bloques BS1C: Potencia feb 2021</t>
        </is>
      </c>
      <c r="G11" t="inlineStr">
        <is>
          <t>2021-03-11 17:08:09</t>
        </is>
      </c>
      <c r="H11" t="n">
        <v>33</v>
      </c>
      <c r="I11" t="n">
        <v>17810</v>
      </c>
      <c r="J11" t="inlineStr">
        <is>
          <t>s</t>
        </is>
      </c>
      <c r="K11" t="inlineStr">
        <is>
          <t>s</t>
        </is>
      </c>
      <c r="L11" t="inlineStr">
        <is>
          <t>BS1C</t>
        </is>
      </c>
      <c r="M11" t="inlineStr">
        <is>
          <t>CAREN</t>
        </is>
      </c>
      <c r="N11" t="inlineStr">
        <is>
          <t>EMELCA</t>
        </is>
      </c>
      <c r="O11" t="inlineStr">
        <is>
          <t>2013/03-2</t>
        </is>
      </c>
      <c r="P11" t="inlineStr">
        <is>
          <t>EMELCA</t>
        </is>
      </c>
      <c r="Q11" t="n">
        <v>1</v>
      </c>
      <c r="R11" t="inlineStr">
        <is>
          <t>A.MELIP 220</t>
        </is>
      </c>
      <c r="U11" t="n">
        <v>0</v>
      </c>
      <c r="V11" t="n">
        <v>0</v>
      </c>
      <c r="W11" t="n">
        <v>6007.3748</v>
      </c>
    </row>
    <row r="12">
      <c r="A12" t="inlineStr">
        <is>
          <t>01-02-2021</t>
        </is>
      </c>
      <c r="B12" t="inlineStr">
        <is>
          <t>01-02-2021</t>
        </is>
      </c>
      <c r="C12" t="inlineStr">
        <is>
          <t>Licitación CAREN y EMELCA (SIC 2013/03-2) BS1C</t>
        </is>
      </c>
      <c r="D12" t="inlineStr">
        <is>
          <t>Energia Licitaciones</t>
        </is>
      </c>
      <c r="E12" t="inlineStr">
        <is>
          <t>Energía</t>
        </is>
      </c>
      <c r="F12" t="inlineStr">
        <is>
          <t>Lic. SIC 2013/03-2 bloques BS1C: Energía feb 2021</t>
        </is>
      </c>
      <c r="G12" t="inlineStr">
        <is>
          <t>2021-03-11 17:08:09</t>
        </is>
      </c>
      <c r="H12" t="n">
        <v>33</v>
      </c>
      <c r="I12" t="n">
        <v>17810</v>
      </c>
      <c r="J12" t="inlineStr">
        <is>
          <t>s</t>
        </is>
      </c>
      <c r="K12" t="inlineStr">
        <is>
          <t>s</t>
        </is>
      </c>
      <c r="L12" t="inlineStr">
        <is>
          <t>BS1C</t>
        </is>
      </c>
      <c r="M12" t="inlineStr">
        <is>
          <t>CAREN</t>
        </is>
      </c>
      <c r="N12" t="inlineStr">
        <is>
          <t>EMELCA</t>
        </is>
      </c>
      <c r="O12" t="inlineStr">
        <is>
          <t>2013/03-2</t>
        </is>
      </c>
      <c r="P12" t="inlineStr">
        <is>
          <t>EMELCA</t>
        </is>
      </c>
      <c r="Q12" t="n">
        <v>2</v>
      </c>
      <c r="R12" t="inlineStr">
        <is>
          <t>L.MAQUIS 220</t>
        </is>
      </c>
      <c r="S12" t="n">
        <v>0</v>
      </c>
      <c r="T12" t="n">
        <v>0</v>
      </c>
      <c r="W12" t="n">
        <v>91.47499999999999</v>
      </c>
    </row>
    <row r="13">
      <c r="A13" t="inlineStr">
        <is>
          <t>01-02-2021</t>
        </is>
      </c>
      <c r="B13" t="inlineStr">
        <is>
          <t>01-02-2021</t>
        </is>
      </c>
      <c r="C13" t="inlineStr">
        <is>
          <t>Licitación CAREN y EMELCA (SIC 2013/03-2) BS1C</t>
        </is>
      </c>
      <c r="D13" t="inlineStr">
        <is>
          <t>Potencia Licitaciones</t>
        </is>
      </c>
      <c r="E13" t="inlineStr">
        <is>
          <t>Potencia</t>
        </is>
      </c>
      <c r="F13" t="inlineStr">
        <is>
          <t>Lic. SIC 2013/03-2 bloques BS1C: Potencia feb 2021</t>
        </is>
      </c>
      <c r="G13" t="inlineStr">
        <is>
          <t>2021-03-11 17:08:09</t>
        </is>
      </c>
      <c r="H13" t="n">
        <v>33</v>
      </c>
      <c r="I13" t="n">
        <v>17810</v>
      </c>
      <c r="J13" t="inlineStr">
        <is>
          <t>s</t>
        </is>
      </c>
      <c r="K13" t="inlineStr">
        <is>
          <t>s</t>
        </is>
      </c>
      <c r="L13" t="inlineStr">
        <is>
          <t>BS1C</t>
        </is>
      </c>
      <c r="M13" t="inlineStr">
        <is>
          <t>CAREN</t>
        </is>
      </c>
      <c r="N13" t="inlineStr">
        <is>
          <t>EMELCA</t>
        </is>
      </c>
      <c r="O13" t="inlineStr">
        <is>
          <t>2013/03-2</t>
        </is>
      </c>
      <c r="P13" t="inlineStr">
        <is>
          <t>EMELCA</t>
        </is>
      </c>
      <c r="Q13" t="n">
        <v>2</v>
      </c>
      <c r="R13" t="inlineStr">
        <is>
          <t>L.MAQUIS 220</t>
        </is>
      </c>
      <c r="U13" t="n">
        <v>0</v>
      </c>
      <c r="V13" t="n">
        <v>0</v>
      </c>
      <c r="W13" t="n">
        <v>6112.2447</v>
      </c>
    </row>
    <row r="14">
      <c r="A14" t="inlineStr">
        <is>
          <t>01-02-2021</t>
        </is>
      </c>
      <c r="B14" t="inlineStr">
        <is>
          <t>01-02-2021</t>
        </is>
      </c>
      <c r="C14" t="inlineStr">
        <is>
          <t>Licitación CAREN y EMELCA (SIC 2013/03-2) BS1C</t>
        </is>
      </c>
      <c r="D14" t="inlineStr">
        <is>
          <t>Energia Licitaciones</t>
        </is>
      </c>
      <c r="E14" t="inlineStr">
        <is>
          <t>Energía</t>
        </is>
      </c>
      <c r="F14" t="inlineStr">
        <is>
          <t>Lic. SIC 2013/03-2 bloques BS1C: Energía feb 2021</t>
        </is>
      </c>
      <c r="G14" t="inlineStr">
        <is>
          <t>2021-03-11 17:08:09</t>
        </is>
      </c>
      <c r="H14" t="n">
        <v>33</v>
      </c>
      <c r="I14" t="n">
        <v>17810</v>
      </c>
      <c r="J14" t="inlineStr">
        <is>
          <t>s</t>
        </is>
      </c>
      <c r="K14" t="inlineStr">
        <is>
          <t>s</t>
        </is>
      </c>
      <c r="L14" t="inlineStr">
        <is>
          <t>BS1C</t>
        </is>
      </c>
      <c r="M14" t="inlineStr">
        <is>
          <t>CAREN</t>
        </is>
      </c>
      <c r="N14" t="inlineStr">
        <is>
          <t>EMELCA</t>
        </is>
      </c>
      <c r="O14" t="inlineStr">
        <is>
          <t>2013/03-2</t>
        </is>
      </c>
      <c r="P14" t="inlineStr">
        <is>
          <t>EMELCA</t>
        </is>
      </c>
      <c r="Q14" t="n">
        <v>3</v>
      </c>
      <c r="R14" t="inlineStr">
        <is>
          <t>NOGALES 220</t>
        </is>
      </c>
      <c r="S14" t="n">
        <v>0</v>
      </c>
      <c r="T14" t="n">
        <v>0</v>
      </c>
      <c r="W14" t="n">
        <v>82.599</v>
      </c>
    </row>
    <row r="15">
      <c r="A15" t="inlineStr">
        <is>
          <t>01-02-2021</t>
        </is>
      </c>
      <c r="B15" t="inlineStr">
        <is>
          <t>01-02-2021</t>
        </is>
      </c>
      <c r="C15" t="inlineStr">
        <is>
          <t>Licitación CAREN y EMELCA (SIC 2013/03-2) BS1C</t>
        </is>
      </c>
      <c r="D15" t="inlineStr">
        <is>
          <t>Potencia Licitaciones</t>
        </is>
      </c>
      <c r="E15" t="inlineStr">
        <is>
          <t>Potencia</t>
        </is>
      </c>
      <c r="F15" t="inlineStr">
        <is>
          <t>Lic. SIC 2013/03-2 bloques BS1C: Potencia feb 2021</t>
        </is>
      </c>
      <c r="G15" t="inlineStr">
        <is>
          <t>2021-03-11 17:08:09</t>
        </is>
      </c>
      <c r="H15" t="n">
        <v>33</v>
      </c>
      <c r="I15" t="n">
        <v>17810</v>
      </c>
      <c r="J15" t="inlineStr">
        <is>
          <t>s</t>
        </is>
      </c>
      <c r="K15" t="inlineStr">
        <is>
          <t>s</t>
        </is>
      </c>
      <c r="L15" t="inlineStr">
        <is>
          <t>BS1C</t>
        </is>
      </c>
      <c r="M15" t="inlineStr">
        <is>
          <t>CAREN</t>
        </is>
      </c>
      <c r="N15" t="inlineStr">
        <is>
          <t>EMELCA</t>
        </is>
      </c>
      <c r="O15" t="inlineStr">
        <is>
          <t>2013/03-2</t>
        </is>
      </c>
      <c r="P15" t="inlineStr">
        <is>
          <t>EMELCA</t>
        </is>
      </c>
      <c r="Q15" t="n">
        <v>3</v>
      </c>
      <c r="R15" t="inlineStr">
        <is>
          <t>NOGALES 220</t>
        </is>
      </c>
      <c r="U15" t="n">
        <v>0</v>
      </c>
      <c r="V15" t="n">
        <v>0</v>
      </c>
      <c r="W15" t="n">
        <v>5876.8833</v>
      </c>
    </row>
    <row r="16">
      <c r="A16" t="inlineStr">
        <is>
          <t>01-02-2021</t>
        </is>
      </c>
      <c r="B16" t="inlineStr">
        <is>
          <t>01-02-2021</t>
        </is>
      </c>
      <c r="C16" t="inlineStr">
        <is>
          <t>Licitación CAREN y EMELCA (SIC 2013/03-2) BS1C</t>
        </is>
      </c>
      <c r="D16" t="inlineStr">
        <is>
          <t>Potencia Licitaciones</t>
        </is>
      </c>
      <c r="E16" t="inlineStr">
        <is>
          <t>Potencia</t>
        </is>
      </c>
      <c r="F16" t="inlineStr">
        <is>
          <t>Lic. SIC 2013/03-2 bloques BS1C: Potencia feb 2021</t>
        </is>
      </c>
      <c r="G16" t="inlineStr">
        <is>
          <t>2021-03-11 17:08:09</t>
        </is>
      </c>
      <c r="H16" t="n">
        <v>33</v>
      </c>
      <c r="I16" t="n">
        <v>17810</v>
      </c>
      <c r="J16" t="inlineStr">
        <is>
          <t>s</t>
        </is>
      </c>
      <c r="K16" t="inlineStr">
        <is>
          <t>s</t>
        </is>
      </c>
      <c r="L16" t="inlineStr">
        <is>
          <t>BS1C</t>
        </is>
      </c>
      <c r="M16" t="inlineStr">
        <is>
          <t>CAREN</t>
        </is>
      </c>
      <c r="N16" t="inlineStr">
        <is>
          <t>EMELCA</t>
        </is>
      </c>
      <c r="O16" t="inlineStr">
        <is>
          <t>2013/03-2</t>
        </is>
      </c>
      <c r="P16" t="inlineStr">
        <is>
          <t>EMELCA</t>
        </is>
      </c>
      <c r="Q16" t="n">
        <v>4</v>
      </c>
      <c r="R16" t="inlineStr">
        <is>
          <t>QUILLOTA 220</t>
        </is>
      </c>
      <c r="U16" t="n">
        <v>0.122175</v>
      </c>
      <c r="V16" t="n">
        <v>730</v>
      </c>
      <c r="W16" t="n">
        <v>5971.0279</v>
      </c>
    </row>
    <row r="17">
      <c r="A17" t="inlineStr">
        <is>
          <t>01-02-2021</t>
        </is>
      </c>
      <c r="B17" t="inlineStr">
        <is>
          <t>01-02-2021</t>
        </is>
      </c>
      <c r="C17" t="inlineStr">
        <is>
          <t>Licitación CAREN y EMELCA (SIC 2013/03-2) BS1C</t>
        </is>
      </c>
      <c r="D17" t="inlineStr">
        <is>
          <t>Energia Licitaciones</t>
        </is>
      </c>
      <c r="E17" t="inlineStr">
        <is>
          <t>Energía</t>
        </is>
      </c>
      <c r="F17" t="inlineStr">
        <is>
          <t>Lic. SIC 2013/03-2 bloques BS1C: Energía feb 2021</t>
        </is>
      </c>
      <c r="G17" t="inlineStr">
        <is>
          <t>2021-03-11 17:08:09</t>
        </is>
      </c>
      <c r="H17" t="n">
        <v>33</v>
      </c>
      <c r="I17" t="n">
        <v>17810</v>
      </c>
      <c r="J17" t="inlineStr">
        <is>
          <t>s</t>
        </is>
      </c>
      <c r="K17" t="inlineStr">
        <is>
          <t>s</t>
        </is>
      </c>
      <c r="L17" t="inlineStr">
        <is>
          <t>BS1C</t>
        </is>
      </c>
      <c r="M17" t="inlineStr">
        <is>
          <t>CAREN</t>
        </is>
      </c>
      <c r="N17" t="inlineStr">
        <is>
          <t>EMELCA</t>
        </is>
      </c>
      <c r="O17" t="inlineStr">
        <is>
          <t>2013/03-2</t>
        </is>
      </c>
      <c r="P17" t="inlineStr">
        <is>
          <t>EMELCA</t>
        </is>
      </c>
      <c r="Q17" t="n">
        <v>4</v>
      </c>
      <c r="R17" t="inlineStr">
        <is>
          <t>QUILLOTA 220</t>
        </is>
      </c>
      <c r="S17" t="n">
        <v>13.313674</v>
      </c>
      <c r="T17" t="n">
        <v>1181</v>
      </c>
      <c r="W17" t="n">
        <v>88.706</v>
      </c>
    </row>
    <row r="18">
      <c r="A18" t="inlineStr">
        <is>
          <t>01-03-2021</t>
        </is>
      </c>
      <c r="B18" t="inlineStr">
        <is>
          <t>01-03-2021</t>
        </is>
      </c>
      <c r="C18" t="inlineStr">
        <is>
          <t>Licitación CAREN y EMELCA (SIC 2013/03-2) BS1C</t>
        </is>
      </c>
      <c r="D18" t="inlineStr">
        <is>
          <t>Energia Licitaciones</t>
        </is>
      </c>
      <c r="E18" t="inlineStr">
        <is>
          <t>Energía</t>
        </is>
      </c>
      <c r="F18" t="inlineStr">
        <is>
          <t>Lic. SIC 2013/03-2 bloques BS1C: Energía mar 2021</t>
        </is>
      </c>
      <c r="G18" t="inlineStr">
        <is>
          <t>2021-04-13 10:56:07</t>
        </is>
      </c>
      <c r="H18" t="n">
        <v>33</v>
      </c>
      <c r="I18" t="n">
        <v>18320</v>
      </c>
      <c r="J18" t="inlineStr">
        <is>
          <t>s</t>
        </is>
      </c>
      <c r="K18" t="inlineStr">
        <is>
          <t>s</t>
        </is>
      </c>
      <c r="L18" t="inlineStr">
        <is>
          <t>BS1C</t>
        </is>
      </c>
      <c r="M18" t="inlineStr">
        <is>
          <t>CAREN</t>
        </is>
      </c>
      <c r="N18" t="inlineStr">
        <is>
          <t>EMELCA</t>
        </is>
      </c>
      <c r="O18" t="inlineStr">
        <is>
          <t>2013/03-2</t>
        </is>
      </c>
      <c r="P18" t="inlineStr">
        <is>
          <t>EMELCA</t>
        </is>
      </c>
      <c r="Q18" t="n">
        <v>1</v>
      </c>
      <c r="R18" t="inlineStr">
        <is>
          <t>A.MELIP 220</t>
        </is>
      </c>
      <c r="S18" t="n">
        <v>0</v>
      </c>
      <c r="T18" t="n">
        <v>0</v>
      </c>
      <c r="W18" t="n">
        <v>81.48999999999999</v>
      </c>
    </row>
    <row r="19">
      <c r="A19" t="inlineStr">
        <is>
          <t>01-03-2021</t>
        </is>
      </c>
      <c r="B19" t="inlineStr">
        <is>
          <t>01-03-2021</t>
        </is>
      </c>
      <c r="C19" t="inlineStr">
        <is>
          <t>Licitación CAREN y EMELCA (SIC 2013/03-2) BS1C</t>
        </is>
      </c>
      <c r="D19" t="inlineStr">
        <is>
          <t>Potencia Licitaciones</t>
        </is>
      </c>
      <c r="E19" t="inlineStr">
        <is>
          <t>Potencia</t>
        </is>
      </c>
      <c r="F19" t="inlineStr">
        <is>
          <t>Lic. SIC 2013/03-2 bloques BS1C: Potencia mar 2021</t>
        </is>
      </c>
      <c r="G19" t="inlineStr">
        <is>
          <t>2021-04-13 10:56:07</t>
        </is>
      </c>
      <c r="H19" t="n">
        <v>33</v>
      </c>
      <c r="I19" t="n">
        <v>18320</v>
      </c>
      <c r="J19" t="inlineStr">
        <is>
          <t>s</t>
        </is>
      </c>
      <c r="K19" t="inlineStr">
        <is>
          <t>s</t>
        </is>
      </c>
      <c r="L19" t="inlineStr">
        <is>
          <t>BS1C</t>
        </is>
      </c>
      <c r="M19" t="inlineStr">
        <is>
          <t>CAREN</t>
        </is>
      </c>
      <c r="N19" t="inlineStr">
        <is>
          <t>EMELCA</t>
        </is>
      </c>
      <c r="O19" t="inlineStr">
        <is>
          <t>2013/03-2</t>
        </is>
      </c>
      <c r="P19" t="inlineStr">
        <is>
          <t>EMELCA</t>
        </is>
      </c>
      <c r="Q19" t="n">
        <v>1</v>
      </c>
      <c r="R19" t="inlineStr">
        <is>
          <t>A.MELIP 220</t>
        </is>
      </c>
      <c r="U19" t="n">
        <v>0</v>
      </c>
      <c r="V19" t="n">
        <v>0</v>
      </c>
      <c r="W19" t="n">
        <v>6135.33</v>
      </c>
    </row>
    <row r="20">
      <c r="A20" t="inlineStr">
        <is>
          <t>01-03-2021</t>
        </is>
      </c>
      <c r="B20" t="inlineStr">
        <is>
          <t>01-03-2021</t>
        </is>
      </c>
      <c r="C20" t="inlineStr">
        <is>
          <t>Licitación CAREN y EMELCA (SIC 2013/03-2) BS1C</t>
        </is>
      </c>
      <c r="D20" t="inlineStr">
        <is>
          <t>Energia Licitaciones</t>
        </is>
      </c>
      <c r="E20" t="inlineStr">
        <is>
          <t>Energía</t>
        </is>
      </c>
      <c r="F20" t="inlineStr">
        <is>
          <t>Lic. SIC 2013/03-2 bloques BS1C: Energía mar 2021</t>
        </is>
      </c>
      <c r="G20" t="inlineStr">
        <is>
          <t>2021-04-13 10:56:07</t>
        </is>
      </c>
      <c r="H20" t="n">
        <v>33</v>
      </c>
      <c r="I20" t="n">
        <v>18320</v>
      </c>
      <c r="J20" t="inlineStr">
        <is>
          <t>s</t>
        </is>
      </c>
      <c r="K20" t="inlineStr">
        <is>
          <t>s</t>
        </is>
      </c>
      <c r="L20" t="inlineStr">
        <is>
          <t>BS1C</t>
        </is>
      </c>
      <c r="M20" t="inlineStr">
        <is>
          <t>CAREN</t>
        </is>
      </c>
      <c r="N20" t="inlineStr">
        <is>
          <t>EMELCA</t>
        </is>
      </c>
      <c r="O20" t="inlineStr">
        <is>
          <t>2013/03-2</t>
        </is>
      </c>
      <c r="P20" t="inlineStr">
        <is>
          <t>EMELCA</t>
        </is>
      </c>
      <c r="Q20" t="n">
        <v>2</v>
      </c>
      <c r="R20" t="inlineStr">
        <is>
          <t>L.MAQUIS 220</t>
        </is>
      </c>
      <c r="S20" t="n">
        <v>0</v>
      </c>
      <c r="T20" t="n">
        <v>0</v>
      </c>
      <c r="W20" t="n">
        <v>82.96299999999999</v>
      </c>
    </row>
    <row r="21">
      <c r="A21" t="inlineStr">
        <is>
          <t>01-03-2021</t>
        </is>
      </c>
      <c r="B21" t="inlineStr">
        <is>
          <t>01-03-2021</t>
        </is>
      </c>
      <c r="C21" t="inlineStr">
        <is>
          <t>Licitación CAREN y EMELCA (SIC 2013/03-2) BS1C</t>
        </is>
      </c>
      <c r="D21" t="inlineStr">
        <is>
          <t>Potencia Licitaciones</t>
        </is>
      </c>
      <c r="E21" t="inlineStr">
        <is>
          <t>Potencia</t>
        </is>
      </c>
      <c r="F21" t="inlineStr">
        <is>
          <t>Lic. SIC 2013/03-2 bloques BS1C: Potencia mar 2021</t>
        </is>
      </c>
      <c r="G21" t="inlineStr">
        <is>
          <t>2021-04-13 10:56:07</t>
        </is>
      </c>
      <c r="H21" t="n">
        <v>33</v>
      </c>
      <c r="I21" t="n">
        <v>18320</v>
      </c>
      <c r="J21" t="inlineStr">
        <is>
          <t>s</t>
        </is>
      </c>
      <c r="K21" t="inlineStr">
        <is>
          <t>s</t>
        </is>
      </c>
      <c r="L21" t="inlineStr">
        <is>
          <t>BS1C</t>
        </is>
      </c>
      <c r="M21" t="inlineStr">
        <is>
          <t>CAREN</t>
        </is>
      </c>
      <c r="N21" t="inlineStr">
        <is>
          <t>EMELCA</t>
        </is>
      </c>
      <c r="O21" t="inlineStr">
        <is>
          <t>2013/03-2</t>
        </is>
      </c>
      <c r="P21" t="inlineStr">
        <is>
          <t>EMELCA</t>
        </is>
      </c>
      <c r="Q21" t="n">
        <v>2</v>
      </c>
      <c r="R21" t="inlineStr">
        <is>
          <t>L.MAQUIS 220</t>
        </is>
      </c>
      <c r="U21" t="n">
        <v>0</v>
      </c>
      <c r="V21" t="n">
        <v>0</v>
      </c>
      <c r="W21" t="n">
        <v>6114.199</v>
      </c>
    </row>
    <row r="22">
      <c r="A22" t="inlineStr">
        <is>
          <t>01-03-2021</t>
        </is>
      </c>
      <c r="B22" t="inlineStr">
        <is>
          <t>01-03-2021</t>
        </is>
      </c>
      <c r="C22" t="inlineStr">
        <is>
          <t>Licitación CAREN y EMELCA (SIC 2013/03-2) BS1C</t>
        </is>
      </c>
      <c r="D22" t="inlineStr">
        <is>
          <t>Energia Licitaciones</t>
        </is>
      </c>
      <c r="E22" t="inlineStr">
        <is>
          <t>Energía</t>
        </is>
      </c>
      <c r="F22" t="inlineStr">
        <is>
          <t>Lic. SIC 2013/03-2 bloques BS1C: Energía mar 2021</t>
        </is>
      </c>
      <c r="G22" t="inlineStr">
        <is>
          <t>2021-04-13 10:56:07</t>
        </is>
      </c>
      <c r="H22" t="n">
        <v>33</v>
      </c>
      <c r="I22" t="n">
        <v>18320</v>
      </c>
      <c r="J22" t="inlineStr">
        <is>
          <t>s</t>
        </is>
      </c>
      <c r="K22" t="inlineStr">
        <is>
          <t>s</t>
        </is>
      </c>
      <c r="L22" t="inlineStr">
        <is>
          <t>BS1C</t>
        </is>
      </c>
      <c r="M22" t="inlineStr">
        <is>
          <t>CAREN</t>
        </is>
      </c>
      <c r="N22" t="inlineStr">
        <is>
          <t>EMELCA</t>
        </is>
      </c>
      <c r="O22" t="inlineStr">
        <is>
          <t>2013/03-2</t>
        </is>
      </c>
      <c r="P22" t="inlineStr">
        <is>
          <t>EMELCA</t>
        </is>
      </c>
      <c r="Q22" t="n">
        <v>3</v>
      </c>
      <c r="R22" t="inlineStr">
        <is>
          <t>NOGALES 220</t>
        </is>
      </c>
      <c r="S22" t="n">
        <v>0</v>
      </c>
      <c r="T22" t="n">
        <v>0</v>
      </c>
      <c r="W22" t="n">
        <v>79.489</v>
      </c>
    </row>
    <row r="23">
      <c r="A23" t="inlineStr">
        <is>
          <t>01-03-2021</t>
        </is>
      </c>
      <c r="B23" t="inlineStr">
        <is>
          <t>01-03-2021</t>
        </is>
      </c>
      <c r="C23" t="inlineStr">
        <is>
          <t>Licitación CAREN y EMELCA (SIC 2013/03-2) BS1C</t>
        </is>
      </c>
      <c r="D23" t="inlineStr">
        <is>
          <t>Potencia Licitaciones</t>
        </is>
      </c>
      <c r="E23" t="inlineStr">
        <is>
          <t>Potencia</t>
        </is>
      </c>
      <c r="F23" t="inlineStr">
        <is>
          <t>Lic. SIC 2013/03-2 bloques BS1C: Potencia mar 2021</t>
        </is>
      </c>
      <c r="G23" t="inlineStr">
        <is>
          <t>2021-04-13 10:56:07</t>
        </is>
      </c>
      <c r="H23" t="n">
        <v>33</v>
      </c>
      <c r="I23" t="n">
        <v>18320</v>
      </c>
      <c r="J23" t="inlineStr">
        <is>
          <t>s</t>
        </is>
      </c>
      <c r="K23" t="inlineStr">
        <is>
          <t>s</t>
        </is>
      </c>
      <c r="L23" t="inlineStr">
        <is>
          <t>BS1C</t>
        </is>
      </c>
      <c r="M23" t="inlineStr">
        <is>
          <t>CAREN</t>
        </is>
      </c>
      <c r="N23" t="inlineStr">
        <is>
          <t>EMELCA</t>
        </is>
      </c>
      <c r="O23" t="inlineStr">
        <is>
          <t>2013/03-2</t>
        </is>
      </c>
      <c r="P23" t="inlineStr">
        <is>
          <t>EMELCA</t>
        </is>
      </c>
      <c r="Q23" t="n">
        <v>3</v>
      </c>
      <c r="R23" t="inlineStr">
        <is>
          <t>NOGALES 220</t>
        </is>
      </c>
      <c r="U23" t="n">
        <v>0</v>
      </c>
      <c r="V23" t="n">
        <v>0</v>
      </c>
      <c r="W23" t="n">
        <v>5890.81</v>
      </c>
    </row>
    <row r="24">
      <c r="A24" t="inlineStr">
        <is>
          <t>01-03-2021</t>
        </is>
      </c>
      <c r="B24" t="inlineStr">
        <is>
          <t>01-03-2021</t>
        </is>
      </c>
      <c r="C24" t="inlineStr">
        <is>
          <t>Licitación CAREN y EMELCA (SIC 2013/03-2) BS1C</t>
        </is>
      </c>
      <c r="D24" t="inlineStr">
        <is>
          <t>Potencia Licitaciones</t>
        </is>
      </c>
      <c r="E24" t="inlineStr">
        <is>
          <t>Potencia</t>
        </is>
      </c>
      <c r="F24" t="inlineStr">
        <is>
          <t>Lic. SIC 2013/03-2 bloques BS1C: Potencia mar 2021</t>
        </is>
      </c>
      <c r="G24" t="inlineStr">
        <is>
          <t>2021-04-13 10:56:07</t>
        </is>
      </c>
      <c r="H24" t="n">
        <v>33</v>
      </c>
      <c r="I24" t="n">
        <v>18320</v>
      </c>
      <c r="J24" t="inlineStr">
        <is>
          <t>s</t>
        </is>
      </c>
      <c r="K24" t="inlineStr">
        <is>
          <t>s</t>
        </is>
      </c>
      <c r="L24" t="inlineStr">
        <is>
          <t>BS1C</t>
        </is>
      </c>
      <c r="M24" t="inlineStr">
        <is>
          <t>CAREN</t>
        </is>
      </c>
      <c r="N24" t="inlineStr">
        <is>
          <t>EMELCA</t>
        </is>
      </c>
      <c r="O24" t="inlineStr">
        <is>
          <t>2013/03-2</t>
        </is>
      </c>
      <c r="P24" t="inlineStr">
        <is>
          <t>EMELCA</t>
        </is>
      </c>
      <c r="Q24" t="n">
        <v>4</v>
      </c>
      <c r="R24" t="inlineStr">
        <is>
          <t>QUILLOTA 220</t>
        </is>
      </c>
      <c r="U24" t="n">
        <v>0.122175</v>
      </c>
      <c r="V24" t="n">
        <v>748</v>
      </c>
      <c r="W24" t="n">
        <v>6125.066</v>
      </c>
    </row>
    <row r="25">
      <c r="A25" t="inlineStr">
        <is>
          <t>01-03-2021</t>
        </is>
      </c>
      <c r="B25" t="inlineStr">
        <is>
          <t>01-03-2021</t>
        </is>
      </c>
      <c r="C25" t="inlineStr">
        <is>
          <t>Licitación CAREN y EMELCA (SIC 2013/03-2) BS1C</t>
        </is>
      </c>
      <c r="D25" t="inlineStr">
        <is>
          <t>Energia Licitaciones</t>
        </is>
      </c>
      <c r="E25" t="inlineStr">
        <is>
          <t>Energía</t>
        </is>
      </c>
      <c r="F25" t="inlineStr">
        <is>
          <t>Lic. SIC 2013/03-2 bloques BS1C: Energía mar 2021</t>
        </is>
      </c>
      <c r="G25" t="inlineStr">
        <is>
          <t>2021-04-13 10:56:07</t>
        </is>
      </c>
      <c r="H25" t="n">
        <v>33</v>
      </c>
      <c r="I25" t="n">
        <v>18320</v>
      </c>
      <c r="J25" t="inlineStr">
        <is>
          <t>s</t>
        </is>
      </c>
      <c r="K25" t="inlineStr">
        <is>
          <t>s</t>
        </is>
      </c>
      <c r="L25" t="inlineStr">
        <is>
          <t>BS1C</t>
        </is>
      </c>
      <c r="M25" t="inlineStr">
        <is>
          <t>CAREN</t>
        </is>
      </c>
      <c r="N25" t="inlineStr">
        <is>
          <t>EMELCA</t>
        </is>
      </c>
      <c r="O25" t="inlineStr">
        <is>
          <t>2013/03-2</t>
        </is>
      </c>
      <c r="P25" t="inlineStr">
        <is>
          <t>EMELCA</t>
        </is>
      </c>
      <c r="Q25" t="n">
        <v>4</v>
      </c>
      <c r="R25" t="inlineStr">
        <is>
          <t>QUILLOTA 220</t>
        </is>
      </c>
      <c r="S25" t="n">
        <v>15.608554</v>
      </c>
      <c r="T25" t="n">
        <v>1297</v>
      </c>
      <c r="W25" t="n">
        <v>83.12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W1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Periodo</t>
        </is>
      </c>
      <c r="B1" s="1" t="inlineStr">
        <is>
          <t>MesDevengado</t>
        </is>
      </c>
      <c r="C1" s="1" t="inlineStr">
        <is>
          <t>Nombre</t>
        </is>
      </c>
      <c r="D1" s="1" t="inlineStr">
        <is>
          <t>Concepto</t>
        </is>
      </c>
      <c r="E1" s="1" t="inlineStr">
        <is>
          <t>Agrupacion</t>
        </is>
      </c>
      <c r="F1" s="1" t="inlineStr">
        <is>
          <t>Glosa</t>
        </is>
      </c>
      <c r="G1" s="1" t="inlineStr">
        <is>
          <t>FechaCarga</t>
        </is>
      </c>
      <c r="H1" s="1" t="inlineStr">
        <is>
          <t>TipoDocumento</t>
        </is>
      </c>
      <c r="I1" s="1" t="inlineStr">
        <is>
          <t>Folio</t>
        </is>
      </c>
      <c r="J1" s="1" t="inlineStr">
        <is>
          <t>Vendedor</t>
        </is>
      </c>
      <c r="K1" s="1" t="inlineStr">
        <is>
          <t>Comprador</t>
        </is>
      </c>
      <c r="L1" s="1" t="inlineStr">
        <is>
          <t>Bloque</t>
        </is>
      </c>
      <c r="M1" s="1" t="inlineStr">
        <is>
          <t>Empresa</t>
        </is>
      </c>
      <c r="N1" s="1" t="inlineStr">
        <is>
          <t>ClaveEEDD</t>
        </is>
      </c>
      <c r="O1" s="1" t="inlineStr">
        <is>
          <t>Licitacion</t>
        </is>
      </c>
      <c r="P1" s="1" t="inlineStr">
        <is>
          <t>NomAgrupacion</t>
        </is>
      </c>
      <c r="Q1" s="1" t="inlineStr">
        <is>
          <t>Num</t>
        </is>
      </c>
      <c r="R1" s="1" t="inlineStr">
        <is>
          <t>Barra</t>
        </is>
      </c>
      <c r="S1" s="1" t="inlineStr">
        <is>
          <t>Energia</t>
        </is>
      </c>
      <c r="T1" s="1" t="inlineStr">
        <is>
          <t>MontoEnergia</t>
        </is>
      </c>
      <c r="U1" s="1" t="inlineStr">
        <is>
          <t>Potencia</t>
        </is>
      </c>
      <c r="V1" s="1" t="inlineStr">
        <is>
          <t>MontoPotencia</t>
        </is>
      </c>
      <c r="W1" s="1" t="inlineStr">
        <is>
          <t>Precio</t>
        </is>
      </c>
    </row>
    <row r="2">
      <c r="A2" t="inlineStr">
        <is>
          <t>01-01-2021</t>
        </is>
      </c>
      <c r="B2" t="inlineStr">
        <is>
          <t>01-01-2021</t>
        </is>
      </c>
      <c r="C2" t="inlineStr">
        <is>
          <t>Licitación CAREN y EMELCA (SIC 2013/03-2) BS1C</t>
        </is>
      </c>
      <c r="D2" t="inlineStr">
        <is>
          <t>Energia Licitaciones</t>
        </is>
      </c>
      <c r="E2" t="inlineStr">
        <is>
          <t>Energía</t>
        </is>
      </c>
      <c r="F2" t="inlineStr">
        <is>
          <t>Lic. SIC 2013/03-2 bloques BS1C: Energía ene 2021</t>
        </is>
      </c>
      <c r="G2" t="inlineStr">
        <is>
          <t>2021-02-15 18:39:50</t>
        </is>
      </c>
      <c r="H2" t="n">
        <v>33</v>
      </c>
      <c r="I2" t="n">
        <v>17562</v>
      </c>
      <c r="J2" t="inlineStr">
        <is>
          <t>s</t>
        </is>
      </c>
      <c r="K2" t="inlineStr">
        <is>
          <t>s</t>
        </is>
      </c>
      <c r="L2" t="inlineStr">
        <is>
          <t>BS1C</t>
        </is>
      </c>
      <c r="M2" t="inlineStr">
        <is>
          <t>CAREN</t>
        </is>
      </c>
      <c r="N2" t="inlineStr">
        <is>
          <t>EMELCA</t>
        </is>
      </c>
      <c r="O2" t="inlineStr">
        <is>
          <t>2013/03-2</t>
        </is>
      </c>
      <c r="P2" t="inlineStr">
        <is>
          <t>EMELCA</t>
        </is>
      </c>
      <c r="Q2" t="n">
        <v>1</v>
      </c>
      <c r="R2" t="inlineStr">
        <is>
          <t>A.MELIP 220</t>
        </is>
      </c>
      <c r="S2" t="n">
        <v>0</v>
      </c>
      <c r="T2" t="n">
        <v>0</v>
      </c>
      <c r="W2" t="n">
        <v>86.819</v>
      </c>
    </row>
    <row r="3">
      <c r="A3" t="inlineStr">
        <is>
          <t>01-01-2021</t>
        </is>
      </c>
      <c r="B3" t="inlineStr">
        <is>
          <t>01-01-2021</t>
        </is>
      </c>
      <c r="C3" t="inlineStr">
        <is>
          <t>Licitación CAREN y EMELCA (SIC 2013/03-2) BS1C</t>
        </is>
      </c>
      <c r="D3" t="inlineStr">
        <is>
          <t>Energia Licitaciones</t>
        </is>
      </c>
      <c r="E3" t="inlineStr">
        <is>
          <t>Energía</t>
        </is>
      </c>
      <c r="F3" t="inlineStr">
        <is>
          <t>Lic. SIC 2013/03-2 bloques BS1C: Energía ene 2021</t>
        </is>
      </c>
      <c r="G3" t="inlineStr">
        <is>
          <t>2021-02-15 18:39:50</t>
        </is>
      </c>
      <c r="H3" t="n">
        <v>33</v>
      </c>
      <c r="I3" t="n">
        <v>17562</v>
      </c>
      <c r="J3" t="inlineStr">
        <is>
          <t>s</t>
        </is>
      </c>
      <c r="K3" t="inlineStr">
        <is>
          <t>s</t>
        </is>
      </c>
      <c r="L3" t="inlineStr">
        <is>
          <t>BS1C</t>
        </is>
      </c>
      <c r="M3" t="inlineStr">
        <is>
          <t>CAREN</t>
        </is>
      </c>
      <c r="N3" t="inlineStr">
        <is>
          <t>EMELCA</t>
        </is>
      </c>
      <c r="O3" t="inlineStr">
        <is>
          <t>2013/03-2</t>
        </is>
      </c>
      <c r="P3" t="inlineStr">
        <is>
          <t>EMELCA</t>
        </is>
      </c>
      <c r="Q3" t="n">
        <v>2</v>
      </c>
      <c r="R3" t="inlineStr">
        <is>
          <t>L.MAQUIS 220</t>
        </is>
      </c>
      <c r="S3" t="n">
        <v>0</v>
      </c>
      <c r="T3" t="n">
        <v>0</v>
      </c>
      <c r="W3" t="n">
        <v>91.47499999999999</v>
      </c>
    </row>
    <row r="4">
      <c r="A4" t="inlineStr">
        <is>
          <t>01-01-2021</t>
        </is>
      </c>
      <c r="B4" t="inlineStr">
        <is>
          <t>01-01-2021</t>
        </is>
      </c>
      <c r="C4" t="inlineStr">
        <is>
          <t>Licitación CAREN y EMELCA (SIC 2013/03-2) BS1C</t>
        </is>
      </c>
      <c r="D4" t="inlineStr">
        <is>
          <t>Energia Licitaciones</t>
        </is>
      </c>
      <c r="E4" t="inlineStr">
        <is>
          <t>Energía</t>
        </is>
      </c>
      <c r="F4" t="inlineStr">
        <is>
          <t>Lic. SIC 2013/03-2 bloques BS1C: Energía ene 2021</t>
        </is>
      </c>
      <c r="G4" t="inlineStr">
        <is>
          <t>2021-02-15 18:39:50</t>
        </is>
      </c>
      <c r="H4" t="n">
        <v>33</v>
      </c>
      <c r="I4" t="n">
        <v>17562</v>
      </c>
      <c r="J4" t="inlineStr">
        <is>
          <t>s</t>
        </is>
      </c>
      <c r="K4" t="inlineStr">
        <is>
          <t>s</t>
        </is>
      </c>
      <c r="L4" t="inlineStr">
        <is>
          <t>BS1C</t>
        </is>
      </c>
      <c r="M4" t="inlineStr">
        <is>
          <t>CAREN</t>
        </is>
      </c>
      <c r="N4" t="inlineStr">
        <is>
          <t>EMELCA</t>
        </is>
      </c>
      <c r="O4" t="inlineStr">
        <is>
          <t>2013/03-2</t>
        </is>
      </c>
      <c r="P4" t="inlineStr">
        <is>
          <t>EMELCA</t>
        </is>
      </c>
      <c r="Q4" t="n">
        <v>3</v>
      </c>
      <c r="R4" t="inlineStr">
        <is>
          <t>NOGALES 220</t>
        </is>
      </c>
      <c r="S4" t="n">
        <v>0</v>
      </c>
      <c r="T4" t="n">
        <v>0</v>
      </c>
      <c r="W4" t="n">
        <v>82.599</v>
      </c>
    </row>
    <row r="5">
      <c r="A5" t="inlineStr">
        <is>
          <t>01-01-2021</t>
        </is>
      </c>
      <c r="B5" t="inlineStr">
        <is>
          <t>01-01-2021</t>
        </is>
      </c>
      <c r="C5" t="inlineStr">
        <is>
          <t>Licitación CAREN y EMELCA (SIC 2013/03-2) BS1C</t>
        </is>
      </c>
      <c r="D5" t="inlineStr">
        <is>
          <t>Energia Licitaciones</t>
        </is>
      </c>
      <c r="E5" t="inlineStr">
        <is>
          <t>Energía</t>
        </is>
      </c>
      <c r="F5" t="inlineStr">
        <is>
          <t>Lic. SIC 2013/03-2 bloques BS1C: Energía ene 2021</t>
        </is>
      </c>
      <c r="G5" t="inlineStr">
        <is>
          <t>2021-02-15 18:39:50</t>
        </is>
      </c>
      <c r="H5" t="n">
        <v>33</v>
      </c>
      <c r="I5" t="n">
        <v>17562</v>
      </c>
      <c r="J5" t="inlineStr">
        <is>
          <t>s</t>
        </is>
      </c>
      <c r="K5" t="inlineStr">
        <is>
          <t>s</t>
        </is>
      </c>
      <c r="L5" t="inlineStr">
        <is>
          <t>BS1C</t>
        </is>
      </c>
      <c r="M5" t="inlineStr">
        <is>
          <t>CAREN</t>
        </is>
      </c>
      <c r="N5" t="inlineStr">
        <is>
          <t>EMELCA</t>
        </is>
      </c>
      <c r="O5" t="inlineStr">
        <is>
          <t>2013/03-2</t>
        </is>
      </c>
      <c r="P5" t="inlineStr">
        <is>
          <t>EMELCA</t>
        </is>
      </c>
      <c r="Q5" t="n">
        <v>4</v>
      </c>
      <c r="R5" t="inlineStr">
        <is>
          <t>QUILLOTA 220</t>
        </is>
      </c>
      <c r="S5" t="n">
        <v>14.806341</v>
      </c>
      <c r="T5" t="n">
        <v>1313</v>
      </c>
      <c r="W5" t="n">
        <v>88.706</v>
      </c>
    </row>
    <row r="6">
      <c r="A6" t="inlineStr">
        <is>
          <t>01-02-2021</t>
        </is>
      </c>
      <c r="B6" t="inlineStr">
        <is>
          <t>01-02-2021</t>
        </is>
      </c>
      <c r="C6" t="inlineStr">
        <is>
          <t>Licitación CAREN y EMELCA (SIC 2013/03-2) BS1C</t>
        </is>
      </c>
      <c r="D6" t="inlineStr">
        <is>
          <t>Energia Licitaciones</t>
        </is>
      </c>
      <c r="E6" t="inlineStr">
        <is>
          <t>Energía</t>
        </is>
      </c>
      <c r="F6" t="inlineStr">
        <is>
          <t>Lic. SIC 2013/03-2 bloques BS1C: Energía feb 2021</t>
        </is>
      </c>
      <c r="G6" t="inlineStr">
        <is>
          <t>2021-03-11 17:08:09</t>
        </is>
      </c>
      <c r="H6" t="n">
        <v>33</v>
      </c>
      <c r="I6" t="n">
        <v>17810</v>
      </c>
      <c r="J6" t="inlineStr">
        <is>
          <t>s</t>
        </is>
      </c>
      <c r="K6" t="inlineStr">
        <is>
          <t>s</t>
        </is>
      </c>
      <c r="L6" t="inlineStr">
        <is>
          <t>BS1C</t>
        </is>
      </c>
      <c r="M6" t="inlineStr">
        <is>
          <t>CAREN</t>
        </is>
      </c>
      <c r="N6" t="inlineStr">
        <is>
          <t>EMELCA</t>
        </is>
      </c>
      <c r="O6" t="inlineStr">
        <is>
          <t>2013/03-2</t>
        </is>
      </c>
      <c r="P6" t="inlineStr">
        <is>
          <t>EMELCA</t>
        </is>
      </c>
      <c r="Q6" t="n">
        <v>1</v>
      </c>
      <c r="R6" t="inlineStr">
        <is>
          <t>A.MELIP 220</t>
        </is>
      </c>
      <c r="S6" t="n">
        <v>0</v>
      </c>
      <c r="T6" t="n">
        <v>0</v>
      </c>
      <c r="W6" t="n">
        <v>86.819</v>
      </c>
    </row>
    <row r="7">
      <c r="A7" t="inlineStr">
        <is>
          <t>01-02-2021</t>
        </is>
      </c>
      <c r="B7" t="inlineStr">
        <is>
          <t>01-02-2021</t>
        </is>
      </c>
      <c r="C7" t="inlineStr">
        <is>
          <t>Licitación CAREN y EMELCA (SIC 2013/03-2) BS1C</t>
        </is>
      </c>
      <c r="D7" t="inlineStr">
        <is>
          <t>Energia Licitaciones</t>
        </is>
      </c>
      <c r="E7" t="inlineStr">
        <is>
          <t>Energía</t>
        </is>
      </c>
      <c r="F7" t="inlineStr">
        <is>
          <t>Lic. SIC 2013/03-2 bloques BS1C: Energía feb 2021</t>
        </is>
      </c>
      <c r="G7" t="inlineStr">
        <is>
          <t>2021-03-11 17:08:09</t>
        </is>
      </c>
      <c r="H7" t="n">
        <v>33</v>
      </c>
      <c r="I7" t="n">
        <v>17810</v>
      </c>
      <c r="J7" t="inlineStr">
        <is>
          <t>s</t>
        </is>
      </c>
      <c r="K7" t="inlineStr">
        <is>
          <t>s</t>
        </is>
      </c>
      <c r="L7" t="inlineStr">
        <is>
          <t>BS1C</t>
        </is>
      </c>
      <c r="M7" t="inlineStr">
        <is>
          <t>CAREN</t>
        </is>
      </c>
      <c r="N7" t="inlineStr">
        <is>
          <t>EMELCA</t>
        </is>
      </c>
      <c r="O7" t="inlineStr">
        <is>
          <t>2013/03-2</t>
        </is>
      </c>
      <c r="P7" t="inlineStr">
        <is>
          <t>EMELCA</t>
        </is>
      </c>
      <c r="Q7" t="n">
        <v>2</v>
      </c>
      <c r="R7" t="inlineStr">
        <is>
          <t>L.MAQUIS 220</t>
        </is>
      </c>
      <c r="S7" t="n">
        <v>0</v>
      </c>
      <c r="T7" t="n">
        <v>0</v>
      </c>
      <c r="W7" t="n">
        <v>91.47499999999999</v>
      </c>
    </row>
    <row r="8">
      <c r="A8" t="inlineStr">
        <is>
          <t>01-02-2021</t>
        </is>
      </c>
      <c r="B8" t="inlineStr">
        <is>
          <t>01-02-2021</t>
        </is>
      </c>
      <c r="C8" t="inlineStr">
        <is>
          <t>Licitación CAREN y EMELCA (SIC 2013/03-2) BS1C</t>
        </is>
      </c>
      <c r="D8" t="inlineStr">
        <is>
          <t>Energia Licitaciones</t>
        </is>
      </c>
      <c r="E8" t="inlineStr">
        <is>
          <t>Energía</t>
        </is>
      </c>
      <c r="F8" t="inlineStr">
        <is>
          <t>Lic. SIC 2013/03-2 bloques BS1C: Energía feb 2021</t>
        </is>
      </c>
      <c r="G8" t="inlineStr">
        <is>
          <t>2021-03-11 17:08:09</t>
        </is>
      </c>
      <c r="H8" t="n">
        <v>33</v>
      </c>
      <c r="I8" t="n">
        <v>17810</v>
      </c>
      <c r="J8" t="inlineStr">
        <is>
          <t>s</t>
        </is>
      </c>
      <c r="K8" t="inlineStr">
        <is>
          <t>s</t>
        </is>
      </c>
      <c r="L8" t="inlineStr">
        <is>
          <t>BS1C</t>
        </is>
      </c>
      <c r="M8" t="inlineStr">
        <is>
          <t>CAREN</t>
        </is>
      </c>
      <c r="N8" t="inlineStr">
        <is>
          <t>EMELCA</t>
        </is>
      </c>
      <c r="O8" t="inlineStr">
        <is>
          <t>2013/03-2</t>
        </is>
      </c>
      <c r="P8" t="inlineStr">
        <is>
          <t>EMELCA</t>
        </is>
      </c>
      <c r="Q8" t="n">
        <v>3</v>
      </c>
      <c r="R8" t="inlineStr">
        <is>
          <t>NOGALES 220</t>
        </is>
      </c>
      <c r="S8" t="n">
        <v>0</v>
      </c>
      <c r="T8" t="n">
        <v>0</v>
      </c>
      <c r="W8" t="n">
        <v>82.599</v>
      </c>
    </row>
    <row r="9">
      <c r="A9" t="inlineStr">
        <is>
          <t>01-02-2021</t>
        </is>
      </c>
      <c r="B9" t="inlineStr">
        <is>
          <t>01-02-2021</t>
        </is>
      </c>
      <c r="C9" t="inlineStr">
        <is>
          <t>Licitación CAREN y EMELCA (SIC 2013/03-2) BS1C</t>
        </is>
      </c>
      <c r="D9" t="inlineStr">
        <is>
          <t>Energia Licitaciones</t>
        </is>
      </c>
      <c r="E9" t="inlineStr">
        <is>
          <t>Energía</t>
        </is>
      </c>
      <c r="F9" t="inlineStr">
        <is>
          <t>Lic. SIC 2013/03-2 bloques BS1C: Energía feb 2021</t>
        </is>
      </c>
      <c r="G9" t="inlineStr">
        <is>
          <t>2021-03-11 17:08:09</t>
        </is>
      </c>
      <c r="H9" t="n">
        <v>33</v>
      </c>
      <c r="I9" t="n">
        <v>17810</v>
      </c>
      <c r="J9" t="inlineStr">
        <is>
          <t>s</t>
        </is>
      </c>
      <c r="K9" t="inlineStr">
        <is>
          <t>s</t>
        </is>
      </c>
      <c r="L9" t="inlineStr">
        <is>
          <t>BS1C</t>
        </is>
      </c>
      <c r="M9" t="inlineStr">
        <is>
          <t>CAREN</t>
        </is>
      </c>
      <c r="N9" t="inlineStr">
        <is>
          <t>EMELCA</t>
        </is>
      </c>
      <c r="O9" t="inlineStr">
        <is>
          <t>2013/03-2</t>
        </is>
      </c>
      <c r="P9" t="inlineStr">
        <is>
          <t>EMELCA</t>
        </is>
      </c>
      <c r="Q9" t="n">
        <v>4</v>
      </c>
      <c r="R9" t="inlineStr">
        <is>
          <t>QUILLOTA 220</t>
        </is>
      </c>
      <c r="S9" t="n">
        <v>13.313674</v>
      </c>
      <c r="T9" t="n">
        <v>1181</v>
      </c>
      <c r="W9" t="n">
        <v>88.706</v>
      </c>
    </row>
    <row r="10">
      <c r="A10" t="inlineStr">
        <is>
          <t>01-03-2021</t>
        </is>
      </c>
      <c r="B10" t="inlineStr">
        <is>
          <t>01-03-2021</t>
        </is>
      </c>
      <c r="C10" t="inlineStr">
        <is>
          <t>Licitación CAREN y EMELCA (SIC 2013/03-2) BS1C</t>
        </is>
      </c>
      <c r="D10" t="inlineStr">
        <is>
          <t>Energia Licitaciones</t>
        </is>
      </c>
      <c r="E10" t="inlineStr">
        <is>
          <t>Energía</t>
        </is>
      </c>
      <c r="F10" t="inlineStr">
        <is>
          <t>Lic. SIC 2013/03-2 bloques BS1C: Energía mar 2021</t>
        </is>
      </c>
      <c r="G10" t="inlineStr">
        <is>
          <t>2021-04-13 10:56:07</t>
        </is>
      </c>
      <c r="H10" t="n">
        <v>33</v>
      </c>
      <c r="I10" t="n">
        <v>18320</v>
      </c>
      <c r="J10" t="inlineStr">
        <is>
          <t>s</t>
        </is>
      </c>
      <c r="K10" t="inlineStr">
        <is>
          <t>s</t>
        </is>
      </c>
      <c r="L10" t="inlineStr">
        <is>
          <t>BS1C</t>
        </is>
      </c>
      <c r="M10" t="inlineStr">
        <is>
          <t>CAREN</t>
        </is>
      </c>
      <c r="N10" t="inlineStr">
        <is>
          <t>EMELCA</t>
        </is>
      </c>
      <c r="O10" t="inlineStr">
        <is>
          <t>2013/03-2</t>
        </is>
      </c>
      <c r="P10" t="inlineStr">
        <is>
          <t>EMELCA</t>
        </is>
      </c>
      <c r="Q10" t="n">
        <v>1</v>
      </c>
      <c r="R10" t="inlineStr">
        <is>
          <t>A.MELIP 220</t>
        </is>
      </c>
      <c r="S10" t="n">
        <v>0</v>
      </c>
      <c r="T10" t="n">
        <v>0</v>
      </c>
      <c r="W10" t="n">
        <v>81.48999999999999</v>
      </c>
    </row>
    <row r="11">
      <c r="A11" t="inlineStr">
        <is>
          <t>01-03-2021</t>
        </is>
      </c>
      <c r="B11" t="inlineStr">
        <is>
          <t>01-03-2021</t>
        </is>
      </c>
      <c r="C11" t="inlineStr">
        <is>
          <t>Licitación CAREN y EMELCA (SIC 2013/03-2) BS1C</t>
        </is>
      </c>
      <c r="D11" t="inlineStr">
        <is>
          <t>Energia Licitaciones</t>
        </is>
      </c>
      <c r="E11" t="inlineStr">
        <is>
          <t>Energía</t>
        </is>
      </c>
      <c r="F11" t="inlineStr">
        <is>
          <t>Lic. SIC 2013/03-2 bloques BS1C: Energía mar 2021</t>
        </is>
      </c>
      <c r="G11" t="inlineStr">
        <is>
          <t>2021-04-13 10:56:07</t>
        </is>
      </c>
      <c r="H11" t="n">
        <v>33</v>
      </c>
      <c r="I11" t="n">
        <v>18320</v>
      </c>
      <c r="J11" t="inlineStr">
        <is>
          <t>s</t>
        </is>
      </c>
      <c r="K11" t="inlineStr">
        <is>
          <t>s</t>
        </is>
      </c>
      <c r="L11" t="inlineStr">
        <is>
          <t>BS1C</t>
        </is>
      </c>
      <c r="M11" t="inlineStr">
        <is>
          <t>CAREN</t>
        </is>
      </c>
      <c r="N11" t="inlineStr">
        <is>
          <t>EMELCA</t>
        </is>
      </c>
      <c r="O11" t="inlineStr">
        <is>
          <t>2013/03-2</t>
        </is>
      </c>
      <c r="P11" t="inlineStr">
        <is>
          <t>EMELCA</t>
        </is>
      </c>
      <c r="Q11" t="n">
        <v>2</v>
      </c>
      <c r="R11" t="inlineStr">
        <is>
          <t>L.MAQUIS 220</t>
        </is>
      </c>
      <c r="S11" t="n">
        <v>0</v>
      </c>
      <c r="T11" t="n">
        <v>0</v>
      </c>
      <c r="W11" t="n">
        <v>82.96299999999999</v>
      </c>
    </row>
    <row r="12">
      <c r="A12" t="inlineStr">
        <is>
          <t>01-03-2021</t>
        </is>
      </c>
      <c r="B12" t="inlineStr">
        <is>
          <t>01-03-2021</t>
        </is>
      </c>
      <c r="C12" t="inlineStr">
        <is>
          <t>Licitación CAREN y EMELCA (SIC 2013/03-2) BS1C</t>
        </is>
      </c>
      <c r="D12" t="inlineStr">
        <is>
          <t>Energia Licitaciones</t>
        </is>
      </c>
      <c r="E12" t="inlineStr">
        <is>
          <t>Energía</t>
        </is>
      </c>
      <c r="F12" t="inlineStr">
        <is>
          <t>Lic. SIC 2013/03-2 bloques BS1C: Energía mar 2021</t>
        </is>
      </c>
      <c r="G12" t="inlineStr">
        <is>
          <t>2021-04-13 10:56:07</t>
        </is>
      </c>
      <c r="H12" t="n">
        <v>33</v>
      </c>
      <c r="I12" t="n">
        <v>18320</v>
      </c>
      <c r="J12" t="inlineStr">
        <is>
          <t>s</t>
        </is>
      </c>
      <c r="K12" t="inlineStr">
        <is>
          <t>s</t>
        </is>
      </c>
      <c r="L12" t="inlineStr">
        <is>
          <t>BS1C</t>
        </is>
      </c>
      <c r="M12" t="inlineStr">
        <is>
          <t>CAREN</t>
        </is>
      </c>
      <c r="N12" t="inlineStr">
        <is>
          <t>EMELCA</t>
        </is>
      </c>
      <c r="O12" t="inlineStr">
        <is>
          <t>2013/03-2</t>
        </is>
      </c>
      <c r="P12" t="inlineStr">
        <is>
          <t>EMELCA</t>
        </is>
      </c>
      <c r="Q12" t="n">
        <v>3</v>
      </c>
      <c r="R12" t="inlineStr">
        <is>
          <t>NOGALES 220</t>
        </is>
      </c>
      <c r="S12" t="n">
        <v>0</v>
      </c>
      <c r="T12" t="n">
        <v>0</v>
      </c>
      <c r="W12" t="n">
        <v>79.489</v>
      </c>
    </row>
    <row r="13">
      <c r="A13" t="inlineStr">
        <is>
          <t>01-03-2021</t>
        </is>
      </c>
      <c r="B13" t="inlineStr">
        <is>
          <t>01-03-2021</t>
        </is>
      </c>
      <c r="C13" t="inlineStr">
        <is>
          <t>Licitación CAREN y EMELCA (SIC 2013/03-2) BS1C</t>
        </is>
      </c>
      <c r="D13" t="inlineStr">
        <is>
          <t>Energia Licitaciones</t>
        </is>
      </c>
      <c r="E13" t="inlineStr">
        <is>
          <t>Energía</t>
        </is>
      </c>
      <c r="F13" t="inlineStr">
        <is>
          <t>Lic. SIC 2013/03-2 bloques BS1C: Energía mar 2021</t>
        </is>
      </c>
      <c r="G13" t="inlineStr">
        <is>
          <t>2021-04-13 10:56:07</t>
        </is>
      </c>
      <c r="H13" t="n">
        <v>33</v>
      </c>
      <c r="I13" t="n">
        <v>18320</v>
      </c>
      <c r="J13" t="inlineStr">
        <is>
          <t>s</t>
        </is>
      </c>
      <c r="K13" t="inlineStr">
        <is>
          <t>s</t>
        </is>
      </c>
      <c r="L13" t="inlineStr">
        <is>
          <t>BS1C</t>
        </is>
      </c>
      <c r="M13" t="inlineStr">
        <is>
          <t>CAREN</t>
        </is>
      </c>
      <c r="N13" t="inlineStr">
        <is>
          <t>EMELCA</t>
        </is>
      </c>
      <c r="O13" t="inlineStr">
        <is>
          <t>2013/03-2</t>
        </is>
      </c>
      <c r="P13" t="inlineStr">
        <is>
          <t>EMELCA</t>
        </is>
      </c>
      <c r="Q13" t="n">
        <v>4</v>
      </c>
      <c r="R13" t="inlineStr">
        <is>
          <t>QUILLOTA 220</t>
        </is>
      </c>
      <c r="S13" t="n">
        <v>15.608554</v>
      </c>
      <c r="T13" t="n">
        <v>1297</v>
      </c>
      <c r="W13" t="n">
        <v>83.12</v>
      </c>
    </row>
  </sheetData>
  <pageMargins left="0.7" right="0.7" top="0.75" bottom="0.75" header="0.3" footer="0.3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W1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Periodo</t>
        </is>
      </c>
      <c r="B1" s="1" t="inlineStr">
        <is>
          <t>MesDevengado</t>
        </is>
      </c>
      <c r="C1" s="1" t="inlineStr">
        <is>
          <t>Nombre</t>
        </is>
      </c>
      <c r="D1" s="1" t="inlineStr">
        <is>
          <t>Concepto</t>
        </is>
      </c>
      <c r="E1" s="1" t="inlineStr">
        <is>
          <t>Agrupacion</t>
        </is>
      </c>
      <c r="F1" s="1" t="inlineStr">
        <is>
          <t>Glosa</t>
        </is>
      </c>
      <c r="G1" s="1" t="inlineStr">
        <is>
          <t>FechaCarga</t>
        </is>
      </c>
      <c r="H1" s="1" t="inlineStr">
        <is>
          <t>TipoDocumento</t>
        </is>
      </c>
      <c r="I1" s="1" t="inlineStr">
        <is>
          <t>Folio</t>
        </is>
      </c>
      <c r="J1" s="1" t="inlineStr">
        <is>
          <t>Vendedor</t>
        </is>
      </c>
      <c r="K1" s="1" t="inlineStr">
        <is>
          <t>Comprador</t>
        </is>
      </c>
      <c r="L1" s="1" t="inlineStr">
        <is>
          <t>Bloque</t>
        </is>
      </c>
      <c r="M1" s="1" t="inlineStr">
        <is>
          <t>Empresa</t>
        </is>
      </c>
      <c r="N1" s="1" t="inlineStr">
        <is>
          <t>ClaveEEDD</t>
        </is>
      </c>
      <c r="O1" s="1" t="inlineStr">
        <is>
          <t>Licitacion</t>
        </is>
      </c>
      <c r="P1" s="1" t="inlineStr">
        <is>
          <t>NomAgrupacion</t>
        </is>
      </c>
      <c r="Q1" s="1" t="inlineStr">
        <is>
          <t>Num</t>
        </is>
      </c>
      <c r="R1" s="1" t="inlineStr">
        <is>
          <t>Barra</t>
        </is>
      </c>
      <c r="S1" s="1" t="inlineStr">
        <is>
          <t>Energia</t>
        </is>
      </c>
      <c r="T1" s="1" t="inlineStr">
        <is>
          <t>MontoEnergia</t>
        </is>
      </c>
      <c r="U1" s="1" t="inlineStr">
        <is>
          <t>Potencia</t>
        </is>
      </c>
      <c r="V1" s="1" t="inlineStr">
        <is>
          <t>MontoPotencia</t>
        </is>
      </c>
      <c r="W1" s="1" t="inlineStr">
        <is>
          <t>Precio</t>
        </is>
      </c>
    </row>
    <row r="2">
      <c r="A2" t="inlineStr">
        <is>
          <t>01-01-2021</t>
        </is>
      </c>
      <c r="B2" t="inlineStr">
        <is>
          <t>01-01-2021</t>
        </is>
      </c>
      <c r="C2" t="inlineStr">
        <is>
          <t>Licitación CAREN y EMELCA (SIC 2013/03-2) BS1C</t>
        </is>
      </c>
      <c r="D2" t="inlineStr">
        <is>
          <t>Potencia Licitaciones</t>
        </is>
      </c>
      <c r="E2" t="inlineStr">
        <is>
          <t>Potencia</t>
        </is>
      </c>
      <c r="F2" t="inlineStr">
        <is>
          <t>Lic. SIC 2013/03-2 bloques BS1C: Potencia ene 2021</t>
        </is>
      </c>
      <c r="G2" t="inlineStr">
        <is>
          <t>2021-02-15 18:39:50</t>
        </is>
      </c>
      <c r="H2" t="n">
        <v>33</v>
      </c>
      <c r="I2" t="n">
        <v>17562</v>
      </c>
      <c r="J2" t="inlineStr">
        <is>
          <t>s</t>
        </is>
      </c>
      <c r="K2" t="inlineStr">
        <is>
          <t>s</t>
        </is>
      </c>
      <c r="L2" t="inlineStr">
        <is>
          <t>BS1C</t>
        </is>
      </c>
      <c r="M2" t="inlineStr">
        <is>
          <t>CAREN</t>
        </is>
      </c>
      <c r="N2" t="inlineStr">
        <is>
          <t>EMELCA</t>
        </is>
      </c>
      <c r="O2" t="inlineStr">
        <is>
          <t>2013/03-2</t>
        </is>
      </c>
      <c r="P2" t="inlineStr">
        <is>
          <t>EMELCA</t>
        </is>
      </c>
      <c r="Q2" t="n">
        <v>1</v>
      </c>
      <c r="R2" t="inlineStr">
        <is>
          <t>A.MELIP 220</t>
        </is>
      </c>
      <c r="U2" t="n">
        <v>0</v>
      </c>
      <c r="V2" t="n">
        <v>0</v>
      </c>
      <c r="W2" t="n">
        <v>6007.3748</v>
      </c>
    </row>
    <row r="3">
      <c r="A3" t="inlineStr">
        <is>
          <t>01-01-2021</t>
        </is>
      </c>
      <c r="B3" t="inlineStr">
        <is>
          <t>01-01-2021</t>
        </is>
      </c>
      <c r="C3" t="inlineStr">
        <is>
          <t>Licitación CAREN y EMELCA (SIC 2013/03-2) BS1C</t>
        </is>
      </c>
      <c r="D3" t="inlineStr">
        <is>
          <t>Potencia Licitaciones</t>
        </is>
      </c>
      <c r="E3" t="inlineStr">
        <is>
          <t>Potencia</t>
        </is>
      </c>
      <c r="F3" t="inlineStr">
        <is>
          <t>Lic. SIC 2013/03-2 bloques BS1C: Potencia ene 2021</t>
        </is>
      </c>
      <c r="G3" t="inlineStr">
        <is>
          <t>2021-02-15 18:39:50</t>
        </is>
      </c>
      <c r="H3" t="n">
        <v>33</v>
      </c>
      <c r="I3" t="n">
        <v>17562</v>
      </c>
      <c r="J3" t="inlineStr">
        <is>
          <t>s</t>
        </is>
      </c>
      <c r="K3" t="inlineStr">
        <is>
          <t>s</t>
        </is>
      </c>
      <c r="L3" t="inlineStr">
        <is>
          <t>BS1C</t>
        </is>
      </c>
      <c r="M3" t="inlineStr">
        <is>
          <t>CAREN</t>
        </is>
      </c>
      <c r="N3" t="inlineStr">
        <is>
          <t>EMELCA</t>
        </is>
      </c>
      <c r="O3" t="inlineStr">
        <is>
          <t>2013/03-2</t>
        </is>
      </c>
      <c r="P3" t="inlineStr">
        <is>
          <t>EMELCA</t>
        </is>
      </c>
      <c r="Q3" t="n">
        <v>2</v>
      </c>
      <c r="R3" t="inlineStr">
        <is>
          <t>L.MAQUIS 220</t>
        </is>
      </c>
      <c r="U3" t="n">
        <v>0</v>
      </c>
      <c r="V3" t="n">
        <v>0</v>
      </c>
      <c r="W3" t="n">
        <v>6112.2447</v>
      </c>
    </row>
    <row r="4">
      <c r="A4" t="inlineStr">
        <is>
          <t>01-01-2021</t>
        </is>
      </c>
      <c r="B4" t="inlineStr">
        <is>
          <t>01-01-2021</t>
        </is>
      </c>
      <c r="C4" t="inlineStr">
        <is>
          <t>Licitación CAREN y EMELCA (SIC 2013/03-2) BS1C</t>
        </is>
      </c>
      <c r="D4" t="inlineStr">
        <is>
          <t>Potencia Licitaciones</t>
        </is>
      </c>
      <c r="E4" t="inlineStr">
        <is>
          <t>Potencia</t>
        </is>
      </c>
      <c r="F4" t="inlineStr">
        <is>
          <t>Lic. SIC 2013/03-2 bloques BS1C: Potencia ene 2021</t>
        </is>
      </c>
      <c r="G4" t="inlineStr">
        <is>
          <t>2021-02-15 18:39:50</t>
        </is>
      </c>
      <c r="H4" t="n">
        <v>33</v>
      </c>
      <c r="I4" t="n">
        <v>17562</v>
      </c>
      <c r="J4" t="inlineStr">
        <is>
          <t>s</t>
        </is>
      </c>
      <c r="K4" t="inlineStr">
        <is>
          <t>s</t>
        </is>
      </c>
      <c r="L4" t="inlineStr">
        <is>
          <t>BS1C</t>
        </is>
      </c>
      <c r="M4" t="inlineStr">
        <is>
          <t>CAREN</t>
        </is>
      </c>
      <c r="N4" t="inlineStr">
        <is>
          <t>EMELCA</t>
        </is>
      </c>
      <c r="O4" t="inlineStr">
        <is>
          <t>2013/03-2</t>
        </is>
      </c>
      <c r="P4" t="inlineStr">
        <is>
          <t>EMELCA</t>
        </is>
      </c>
      <c r="Q4" t="n">
        <v>3</v>
      </c>
      <c r="R4" t="inlineStr">
        <is>
          <t>NOGALES 220</t>
        </is>
      </c>
      <c r="U4" t="n">
        <v>0</v>
      </c>
      <c r="V4" t="n">
        <v>0</v>
      </c>
      <c r="W4" t="n">
        <v>5876.8833</v>
      </c>
    </row>
    <row r="5">
      <c r="A5" t="inlineStr">
        <is>
          <t>01-01-2021</t>
        </is>
      </c>
      <c r="B5" t="inlineStr">
        <is>
          <t>01-01-2021</t>
        </is>
      </c>
      <c r="C5" t="inlineStr">
        <is>
          <t>Licitación CAREN y EMELCA (SIC 2013/03-2) BS1C</t>
        </is>
      </c>
      <c r="D5" t="inlineStr">
        <is>
          <t>Potencia Licitaciones</t>
        </is>
      </c>
      <c r="E5" t="inlineStr">
        <is>
          <t>Potencia</t>
        </is>
      </c>
      <c r="F5" t="inlineStr">
        <is>
          <t>Lic. SIC 2013/03-2 bloques BS1C: Potencia ene 2021</t>
        </is>
      </c>
      <c r="G5" t="inlineStr">
        <is>
          <t>2021-02-15 18:39:50</t>
        </is>
      </c>
      <c r="H5" t="n">
        <v>33</v>
      </c>
      <c r="I5" t="n">
        <v>17562</v>
      </c>
      <c r="J5" t="inlineStr">
        <is>
          <t>s</t>
        </is>
      </c>
      <c r="K5" t="inlineStr">
        <is>
          <t>s</t>
        </is>
      </c>
      <c r="L5" t="inlineStr">
        <is>
          <t>BS1C</t>
        </is>
      </c>
      <c r="M5" t="inlineStr">
        <is>
          <t>CAREN</t>
        </is>
      </c>
      <c r="N5" t="inlineStr">
        <is>
          <t>EMELCA</t>
        </is>
      </c>
      <c r="O5" t="inlineStr">
        <is>
          <t>2013/03-2</t>
        </is>
      </c>
      <c r="P5" t="inlineStr">
        <is>
          <t>EMELCA</t>
        </is>
      </c>
      <c r="Q5" t="n">
        <v>4</v>
      </c>
      <c r="R5" t="inlineStr">
        <is>
          <t>QUILLOTA 220</t>
        </is>
      </c>
      <c r="U5" t="n">
        <v>0.122175</v>
      </c>
      <c r="V5" t="n">
        <v>730</v>
      </c>
      <c r="W5" t="n">
        <v>5971.0279</v>
      </c>
    </row>
    <row r="6">
      <c r="A6" t="inlineStr">
        <is>
          <t>01-02-2021</t>
        </is>
      </c>
      <c r="B6" t="inlineStr">
        <is>
          <t>01-02-2021</t>
        </is>
      </c>
      <c r="C6" t="inlineStr">
        <is>
          <t>Licitación CAREN y EMELCA (SIC 2013/03-2) BS1C</t>
        </is>
      </c>
      <c r="D6" t="inlineStr">
        <is>
          <t>Potencia Licitaciones</t>
        </is>
      </c>
      <c r="E6" t="inlineStr">
        <is>
          <t>Potencia</t>
        </is>
      </c>
      <c r="F6" t="inlineStr">
        <is>
          <t>Lic. SIC 2013/03-2 bloques BS1C: Potencia feb 2021</t>
        </is>
      </c>
      <c r="G6" t="inlineStr">
        <is>
          <t>2021-03-11 17:08:09</t>
        </is>
      </c>
      <c r="H6" t="n">
        <v>33</v>
      </c>
      <c r="I6" t="n">
        <v>17810</v>
      </c>
      <c r="J6" t="inlineStr">
        <is>
          <t>s</t>
        </is>
      </c>
      <c r="K6" t="inlineStr">
        <is>
          <t>s</t>
        </is>
      </c>
      <c r="L6" t="inlineStr">
        <is>
          <t>BS1C</t>
        </is>
      </c>
      <c r="M6" t="inlineStr">
        <is>
          <t>CAREN</t>
        </is>
      </c>
      <c r="N6" t="inlineStr">
        <is>
          <t>EMELCA</t>
        </is>
      </c>
      <c r="O6" t="inlineStr">
        <is>
          <t>2013/03-2</t>
        </is>
      </c>
      <c r="P6" t="inlineStr">
        <is>
          <t>EMELCA</t>
        </is>
      </c>
      <c r="Q6" t="n">
        <v>1</v>
      </c>
      <c r="R6" t="inlineStr">
        <is>
          <t>A.MELIP 220</t>
        </is>
      </c>
      <c r="U6" t="n">
        <v>0</v>
      </c>
      <c r="V6" t="n">
        <v>0</v>
      </c>
      <c r="W6" t="n">
        <v>6007.3748</v>
      </c>
    </row>
    <row r="7">
      <c r="A7" t="inlineStr">
        <is>
          <t>01-02-2021</t>
        </is>
      </c>
      <c r="B7" t="inlineStr">
        <is>
          <t>01-02-2021</t>
        </is>
      </c>
      <c r="C7" t="inlineStr">
        <is>
          <t>Licitación CAREN y EMELCA (SIC 2013/03-2) BS1C</t>
        </is>
      </c>
      <c r="D7" t="inlineStr">
        <is>
          <t>Potencia Licitaciones</t>
        </is>
      </c>
      <c r="E7" t="inlineStr">
        <is>
          <t>Potencia</t>
        </is>
      </c>
      <c r="F7" t="inlineStr">
        <is>
          <t>Lic. SIC 2013/03-2 bloques BS1C: Potencia feb 2021</t>
        </is>
      </c>
      <c r="G7" t="inlineStr">
        <is>
          <t>2021-03-11 17:08:09</t>
        </is>
      </c>
      <c r="H7" t="n">
        <v>33</v>
      </c>
      <c r="I7" t="n">
        <v>17810</v>
      </c>
      <c r="J7" t="inlineStr">
        <is>
          <t>s</t>
        </is>
      </c>
      <c r="K7" t="inlineStr">
        <is>
          <t>s</t>
        </is>
      </c>
      <c r="L7" t="inlineStr">
        <is>
          <t>BS1C</t>
        </is>
      </c>
      <c r="M7" t="inlineStr">
        <is>
          <t>CAREN</t>
        </is>
      </c>
      <c r="N7" t="inlineStr">
        <is>
          <t>EMELCA</t>
        </is>
      </c>
      <c r="O7" t="inlineStr">
        <is>
          <t>2013/03-2</t>
        </is>
      </c>
      <c r="P7" t="inlineStr">
        <is>
          <t>EMELCA</t>
        </is>
      </c>
      <c r="Q7" t="n">
        <v>2</v>
      </c>
      <c r="R7" t="inlineStr">
        <is>
          <t>L.MAQUIS 220</t>
        </is>
      </c>
      <c r="U7" t="n">
        <v>0</v>
      </c>
      <c r="V7" t="n">
        <v>0</v>
      </c>
      <c r="W7" t="n">
        <v>6112.2447</v>
      </c>
    </row>
    <row r="8">
      <c r="A8" t="inlineStr">
        <is>
          <t>01-02-2021</t>
        </is>
      </c>
      <c r="B8" t="inlineStr">
        <is>
          <t>01-02-2021</t>
        </is>
      </c>
      <c r="C8" t="inlineStr">
        <is>
          <t>Licitación CAREN y EMELCA (SIC 2013/03-2) BS1C</t>
        </is>
      </c>
      <c r="D8" t="inlineStr">
        <is>
          <t>Potencia Licitaciones</t>
        </is>
      </c>
      <c r="E8" t="inlineStr">
        <is>
          <t>Potencia</t>
        </is>
      </c>
      <c r="F8" t="inlineStr">
        <is>
          <t>Lic. SIC 2013/03-2 bloques BS1C: Potencia feb 2021</t>
        </is>
      </c>
      <c r="G8" t="inlineStr">
        <is>
          <t>2021-03-11 17:08:09</t>
        </is>
      </c>
      <c r="H8" t="n">
        <v>33</v>
      </c>
      <c r="I8" t="n">
        <v>17810</v>
      </c>
      <c r="J8" t="inlineStr">
        <is>
          <t>s</t>
        </is>
      </c>
      <c r="K8" t="inlineStr">
        <is>
          <t>s</t>
        </is>
      </c>
      <c r="L8" t="inlineStr">
        <is>
          <t>BS1C</t>
        </is>
      </c>
      <c r="M8" t="inlineStr">
        <is>
          <t>CAREN</t>
        </is>
      </c>
      <c r="N8" t="inlineStr">
        <is>
          <t>EMELCA</t>
        </is>
      </c>
      <c r="O8" t="inlineStr">
        <is>
          <t>2013/03-2</t>
        </is>
      </c>
      <c r="P8" t="inlineStr">
        <is>
          <t>EMELCA</t>
        </is>
      </c>
      <c r="Q8" t="n">
        <v>3</v>
      </c>
      <c r="R8" t="inlineStr">
        <is>
          <t>NOGALES 220</t>
        </is>
      </c>
      <c r="U8" t="n">
        <v>0</v>
      </c>
      <c r="V8" t="n">
        <v>0</v>
      </c>
      <c r="W8" t="n">
        <v>5876.8833</v>
      </c>
    </row>
    <row r="9">
      <c r="A9" t="inlineStr">
        <is>
          <t>01-02-2021</t>
        </is>
      </c>
      <c r="B9" t="inlineStr">
        <is>
          <t>01-02-2021</t>
        </is>
      </c>
      <c r="C9" t="inlineStr">
        <is>
          <t>Licitación CAREN y EMELCA (SIC 2013/03-2) BS1C</t>
        </is>
      </c>
      <c r="D9" t="inlineStr">
        <is>
          <t>Potencia Licitaciones</t>
        </is>
      </c>
      <c r="E9" t="inlineStr">
        <is>
          <t>Potencia</t>
        </is>
      </c>
      <c r="F9" t="inlineStr">
        <is>
          <t>Lic. SIC 2013/03-2 bloques BS1C: Potencia feb 2021</t>
        </is>
      </c>
      <c r="G9" t="inlineStr">
        <is>
          <t>2021-03-11 17:08:09</t>
        </is>
      </c>
      <c r="H9" t="n">
        <v>33</v>
      </c>
      <c r="I9" t="n">
        <v>17810</v>
      </c>
      <c r="J9" t="inlineStr">
        <is>
          <t>s</t>
        </is>
      </c>
      <c r="K9" t="inlineStr">
        <is>
          <t>s</t>
        </is>
      </c>
      <c r="L9" t="inlineStr">
        <is>
          <t>BS1C</t>
        </is>
      </c>
      <c r="M9" t="inlineStr">
        <is>
          <t>CAREN</t>
        </is>
      </c>
      <c r="N9" t="inlineStr">
        <is>
          <t>EMELCA</t>
        </is>
      </c>
      <c r="O9" t="inlineStr">
        <is>
          <t>2013/03-2</t>
        </is>
      </c>
      <c r="P9" t="inlineStr">
        <is>
          <t>EMELCA</t>
        </is>
      </c>
      <c r="Q9" t="n">
        <v>4</v>
      </c>
      <c r="R9" t="inlineStr">
        <is>
          <t>QUILLOTA 220</t>
        </is>
      </c>
      <c r="U9" t="n">
        <v>0.122175</v>
      </c>
      <c r="V9" t="n">
        <v>730</v>
      </c>
      <c r="W9" t="n">
        <v>5971.0279</v>
      </c>
    </row>
    <row r="10">
      <c r="A10" t="inlineStr">
        <is>
          <t>01-03-2021</t>
        </is>
      </c>
      <c r="B10" t="inlineStr">
        <is>
          <t>01-03-2021</t>
        </is>
      </c>
      <c r="C10" t="inlineStr">
        <is>
          <t>Licitación CAREN y EMELCA (SIC 2013/03-2) BS1C</t>
        </is>
      </c>
      <c r="D10" t="inlineStr">
        <is>
          <t>Potencia Licitaciones</t>
        </is>
      </c>
      <c r="E10" t="inlineStr">
        <is>
          <t>Potencia</t>
        </is>
      </c>
      <c r="F10" t="inlineStr">
        <is>
          <t>Lic. SIC 2013/03-2 bloques BS1C: Potencia mar 2021</t>
        </is>
      </c>
      <c r="G10" t="inlineStr">
        <is>
          <t>2021-04-13 10:56:07</t>
        </is>
      </c>
      <c r="H10" t="n">
        <v>33</v>
      </c>
      <c r="I10" t="n">
        <v>18320</v>
      </c>
      <c r="J10" t="inlineStr">
        <is>
          <t>s</t>
        </is>
      </c>
      <c r="K10" t="inlineStr">
        <is>
          <t>s</t>
        </is>
      </c>
      <c r="L10" t="inlineStr">
        <is>
          <t>BS1C</t>
        </is>
      </c>
      <c r="M10" t="inlineStr">
        <is>
          <t>CAREN</t>
        </is>
      </c>
      <c r="N10" t="inlineStr">
        <is>
          <t>EMELCA</t>
        </is>
      </c>
      <c r="O10" t="inlineStr">
        <is>
          <t>2013/03-2</t>
        </is>
      </c>
      <c r="P10" t="inlineStr">
        <is>
          <t>EMELCA</t>
        </is>
      </c>
      <c r="Q10" t="n">
        <v>1</v>
      </c>
      <c r="R10" t="inlineStr">
        <is>
          <t>A.MELIP 220</t>
        </is>
      </c>
      <c r="U10" t="n">
        <v>0</v>
      </c>
      <c r="V10" t="n">
        <v>0</v>
      </c>
      <c r="W10" t="n">
        <v>6135.33</v>
      </c>
    </row>
    <row r="11">
      <c r="A11" t="inlineStr">
        <is>
          <t>01-03-2021</t>
        </is>
      </c>
      <c r="B11" t="inlineStr">
        <is>
          <t>01-03-2021</t>
        </is>
      </c>
      <c r="C11" t="inlineStr">
        <is>
          <t>Licitación CAREN y EMELCA (SIC 2013/03-2) BS1C</t>
        </is>
      </c>
      <c r="D11" t="inlineStr">
        <is>
          <t>Potencia Licitaciones</t>
        </is>
      </c>
      <c r="E11" t="inlineStr">
        <is>
          <t>Potencia</t>
        </is>
      </c>
      <c r="F11" t="inlineStr">
        <is>
          <t>Lic. SIC 2013/03-2 bloques BS1C: Potencia mar 2021</t>
        </is>
      </c>
      <c r="G11" t="inlineStr">
        <is>
          <t>2021-04-13 10:56:07</t>
        </is>
      </c>
      <c r="H11" t="n">
        <v>33</v>
      </c>
      <c r="I11" t="n">
        <v>18320</v>
      </c>
      <c r="J11" t="inlineStr">
        <is>
          <t>s</t>
        </is>
      </c>
      <c r="K11" t="inlineStr">
        <is>
          <t>s</t>
        </is>
      </c>
      <c r="L11" t="inlineStr">
        <is>
          <t>BS1C</t>
        </is>
      </c>
      <c r="M11" t="inlineStr">
        <is>
          <t>CAREN</t>
        </is>
      </c>
      <c r="N11" t="inlineStr">
        <is>
          <t>EMELCA</t>
        </is>
      </c>
      <c r="O11" t="inlineStr">
        <is>
          <t>2013/03-2</t>
        </is>
      </c>
      <c r="P11" t="inlineStr">
        <is>
          <t>EMELCA</t>
        </is>
      </c>
      <c r="Q11" t="n">
        <v>2</v>
      </c>
      <c r="R11" t="inlineStr">
        <is>
          <t>L.MAQUIS 220</t>
        </is>
      </c>
      <c r="U11" t="n">
        <v>0</v>
      </c>
      <c r="V11" t="n">
        <v>0</v>
      </c>
      <c r="W11" t="n">
        <v>6114.199</v>
      </c>
    </row>
    <row r="12">
      <c r="A12" t="inlineStr">
        <is>
          <t>01-03-2021</t>
        </is>
      </c>
      <c r="B12" t="inlineStr">
        <is>
          <t>01-03-2021</t>
        </is>
      </c>
      <c r="C12" t="inlineStr">
        <is>
          <t>Licitación CAREN y EMELCA (SIC 2013/03-2) BS1C</t>
        </is>
      </c>
      <c r="D12" t="inlineStr">
        <is>
          <t>Potencia Licitaciones</t>
        </is>
      </c>
      <c r="E12" t="inlineStr">
        <is>
          <t>Potencia</t>
        </is>
      </c>
      <c r="F12" t="inlineStr">
        <is>
          <t>Lic. SIC 2013/03-2 bloques BS1C: Potencia mar 2021</t>
        </is>
      </c>
      <c r="G12" t="inlineStr">
        <is>
          <t>2021-04-13 10:56:07</t>
        </is>
      </c>
      <c r="H12" t="n">
        <v>33</v>
      </c>
      <c r="I12" t="n">
        <v>18320</v>
      </c>
      <c r="J12" t="inlineStr">
        <is>
          <t>s</t>
        </is>
      </c>
      <c r="K12" t="inlineStr">
        <is>
          <t>s</t>
        </is>
      </c>
      <c r="L12" t="inlineStr">
        <is>
          <t>BS1C</t>
        </is>
      </c>
      <c r="M12" t="inlineStr">
        <is>
          <t>CAREN</t>
        </is>
      </c>
      <c r="N12" t="inlineStr">
        <is>
          <t>EMELCA</t>
        </is>
      </c>
      <c r="O12" t="inlineStr">
        <is>
          <t>2013/03-2</t>
        </is>
      </c>
      <c r="P12" t="inlineStr">
        <is>
          <t>EMELCA</t>
        </is>
      </c>
      <c r="Q12" t="n">
        <v>3</v>
      </c>
      <c r="R12" t="inlineStr">
        <is>
          <t>NOGALES 220</t>
        </is>
      </c>
      <c r="U12" t="n">
        <v>0</v>
      </c>
      <c r="V12" t="n">
        <v>0</v>
      </c>
      <c r="W12" t="n">
        <v>5890.81</v>
      </c>
    </row>
    <row r="13">
      <c r="A13" t="inlineStr">
        <is>
          <t>01-03-2021</t>
        </is>
      </c>
      <c r="B13" t="inlineStr">
        <is>
          <t>01-03-2021</t>
        </is>
      </c>
      <c r="C13" t="inlineStr">
        <is>
          <t>Licitación CAREN y EMELCA (SIC 2013/03-2) BS1C</t>
        </is>
      </c>
      <c r="D13" t="inlineStr">
        <is>
          <t>Potencia Licitaciones</t>
        </is>
      </c>
      <c r="E13" t="inlineStr">
        <is>
          <t>Potencia</t>
        </is>
      </c>
      <c r="F13" t="inlineStr">
        <is>
          <t>Lic. SIC 2013/03-2 bloques BS1C: Potencia mar 2021</t>
        </is>
      </c>
      <c r="G13" t="inlineStr">
        <is>
          <t>2021-04-13 10:56:07</t>
        </is>
      </c>
      <c r="H13" t="n">
        <v>33</v>
      </c>
      <c r="I13" t="n">
        <v>18320</v>
      </c>
      <c r="J13" t="inlineStr">
        <is>
          <t>s</t>
        </is>
      </c>
      <c r="K13" t="inlineStr">
        <is>
          <t>s</t>
        </is>
      </c>
      <c r="L13" t="inlineStr">
        <is>
          <t>BS1C</t>
        </is>
      </c>
      <c r="M13" t="inlineStr">
        <is>
          <t>CAREN</t>
        </is>
      </c>
      <c r="N13" t="inlineStr">
        <is>
          <t>EMELCA</t>
        </is>
      </c>
      <c r="O13" t="inlineStr">
        <is>
          <t>2013/03-2</t>
        </is>
      </c>
      <c r="P13" t="inlineStr">
        <is>
          <t>EMELCA</t>
        </is>
      </c>
      <c r="Q13" t="n">
        <v>4</v>
      </c>
      <c r="R13" t="inlineStr">
        <is>
          <t>QUILLOTA 220</t>
        </is>
      </c>
      <c r="U13" t="n">
        <v>0.122175</v>
      </c>
      <c r="V13" t="n">
        <v>748</v>
      </c>
      <c r="W13" t="n">
        <v>6125.066</v>
      </c>
    </row>
  </sheetData>
  <pageMargins left="0.7" right="0.7" top="0.75" bottom="0.75" header="0.3" footer="0.3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AD1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IdContrato</t>
        </is>
      </c>
      <c r="B1" s="1" t="inlineStr">
        <is>
          <t>MesDevengado</t>
        </is>
      </c>
      <c r="C1" s="1" t="inlineStr">
        <is>
          <t>Anho</t>
        </is>
      </c>
      <c r="D1" s="1" t="inlineStr">
        <is>
          <t>Mes</t>
        </is>
      </c>
      <c r="E1" s="1" t="inlineStr">
        <is>
          <t>Codigo</t>
        </is>
      </c>
      <c r="F1" s="1" t="inlineStr">
        <is>
          <t>DX</t>
        </is>
      </c>
      <c r="G1" s="1" t="inlineStr">
        <is>
          <t>NomEmpresaDistribuidora</t>
        </is>
      </c>
      <c r="H1" s="1" t="inlineStr">
        <is>
          <t>GX</t>
        </is>
      </c>
      <c r="I1" s="1" t="inlineStr">
        <is>
          <t>NomSuministrador</t>
        </is>
      </c>
      <c r="J1" s="1" t="inlineStr">
        <is>
          <t>CodigoContrato</t>
        </is>
      </c>
      <c r="K1" s="1" t="inlineStr">
        <is>
          <t>PuntoRetiro</t>
        </is>
      </c>
      <c r="L1" s="1" t="inlineStr">
        <is>
          <t>Contrato</t>
        </is>
      </c>
      <c r="M1" s="1" t="inlineStr">
        <is>
          <t>Energia_kWh</t>
        </is>
      </c>
      <c r="N1" s="1" t="inlineStr">
        <is>
          <t>Potencia_kW</t>
        </is>
      </c>
      <c r="O1" s="1" t="inlineStr">
        <is>
          <t>Sistema</t>
        </is>
      </c>
      <c r="P1" s="1" t="inlineStr">
        <is>
          <t>DataCreated</t>
        </is>
      </c>
      <c r="Q1" s="1" t="inlineStr">
        <is>
          <t>IdBarra</t>
        </is>
      </c>
      <c r="R1" s="1" t="inlineStr">
        <is>
          <t>NomBarra</t>
        </is>
      </c>
      <c r="S1" s="1" t="inlineStr">
        <is>
          <t>Energia</t>
        </is>
      </c>
      <c r="T1" s="1" t="inlineStr">
        <is>
          <t>TotalEnergiaAjustado</t>
        </is>
      </c>
      <c r="U1" s="1" t="inlineStr">
        <is>
          <t>Potencia</t>
        </is>
      </c>
      <c r="V1" s="1" t="inlineStr">
        <is>
          <t>TotalPotenciaAjustado</t>
        </is>
      </c>
      <c r="W1" s="1" t="inlineStr">
        <is>
          <t>EmpresaDistribuidora</t>
        </is>
      </c>
      <c r="X1" s="1" t="inlineStr">
        <is>
          <t>PrecioEnergia</t>
        </is>
      </c>
      <c r="Y1" s="1" t="inlineStr">
        <is>
          <t>PrecioEnergiaAjustado</t>
        </is>
      </c>
      <c r="Z1" s="1" t="inlineStr">
        <is>
          <t>TotalEnergia</t>
        </is>
      </c>
      <c r="AA1" s="1" t="inlineStr">
        <is>
          <t>PrecioPotencia</t>
        </is>
      </c>
      <c r="AB1" s="1" t="inlineStr">
        <is>
          <t>PrecioPotenciaAjustado</t>
        </is>
      </c>
      <c r="AC1" s="1" t="inlineStr">
        <is>
          <t>TotalPotencia</t>
        </is>
      </c>
      <c r="AD1" s="1" t="inlineStr">
        <is>
          <t>Fecha</t>
        </is>
      </c>
    </row>
    <row r="2">
      <c r="A2" t="n">
        <v>-1</v>
      </c>
      <c r="B2" t="inlineStr">
        <is>
          <t>01-01-2021</t>
        </is>
      </c>
      <c r="C2" t="n">
        <v>2021</v>
      </c>
      <c r="D2" t="n">
        <v>1</v>
      </c>
      <c r="E2" t="inlineStr">
        <is>
          <t>Casablanca 012</t>
        </is>
      </c>
      <c r="F2" t="inlineStr">
        <is>
          <t>EMELCA</t>
        </is>
      </c>
      <c r="G2" t="inlineStr">
        <is>
          <t>EMELCA</t>
        </is>
      </c>
      <c r="H2" t="inlineStr">
        <is>
          <t>Empresa Eléctrica Carén S.A.</t>
        </is>
      </c>
      <c r="I2" t="inlineStr">
        <is>
          <t>Empresa Eléctrica Carén S.A.</t>
        </is>
      </c>
      <c r="J2" t="inlineStr">
        <is>
          <t>SIC 2013/03_2_BS1C_BB_EMELCA_Empresa Eléctrica Carén S.A.</t>
        </is>
      </c>
      <c r="K2" t="inlineStr">
        <is>
          <t>Casablanca 012</t>
        </is>
      </c>
      <c r="L2" t="inlineStr">
        <is>
          <t>-1</t>
        </is>
      </c>
      <c r="M2" t="n">
        <v>14.48767639195573</v>
      </c>
      <c r="N2" t="n">
        <v>0</v>
      </c>
      <c r="O2" t="inlineStr">
        <is>
          <t>3</t>
        </is>
      </c>
      <c r="P2" s="2" t="n">
        <v>44664.57610616898</v>
      </c>
      <c r="Q2" t="n">
        <v>31</v>
      </c>
      <c r="R2" t="inlineStr">
        <is>
          <t>LOS MAQUIS 220</t>
        </is>
      </c>
      <c r="S2" t="n">
        <v>0.1103253107790964</v>
      </c>
      <c r="T2" t="n">
        <v>10.08871683487658</v>
      </c>
      <c r="U2" t="n">
        <v>0.0009211297569450046</v>
      </c>
      <c r="V2" t="n">
        <v>5.633823234880412</v>
      </c>
      <c r="W2" t="inlineStr">
        <is>
          <t>EMELCA</t>
        </is>
      </c>
      <c r="X2" t="n">
        <v>101.0443870946757</v>
      </c>
      <c r="Y2" t="n">
        <v>0.01008871683487658</v>
      </c>
      <c r="Z2" t="n">
        <v>11.14775340870341</v>
      </c>
      <c r="AA2" t="n">
        <v>7.316653551792742</v>
      </c>
      <c r="AB2" t="n">
        <v>5.633823234880412</v>
      </c>
      <c r="AC2" t="n">
        <v>7.316653551792742</v>
      </c>
      <c r="AD2" s="2" t="n">
        <v>44197</v>
      </c>
    </row>
    <row r="3">
      <c r="A3" t="n">
        <v>-1</v>
      </c>
      <c r="B3" t="inlineStr">
        <is>
          <t>01-01-2021</t>
        </is>
      </c>
      <c r="C3" t="n">
        <v>2021</v>
      </c>
      <c r="D3" t="n">
        <v>1</v>
      </c>
      <c r="E3" t="inlineStr">
        <is>
          <t>Casablanca 012</t>
        </is>
      </c>
      <c r="F3" t="inlineStr">
        <is>
          <t>EMELCA</t>
        </is>
      </c>
      <c r="G3" t="inlineStr">
        <is>
          <t>EMELCA</t>
        </is>
      </c>
      <c r="H3" t="inlineStr">
        <is>
          <t>Empresa Eléctrica Carén S.A.</t>
        </is>
      </c>
      <c r="I3" t="inlineStr">
        <is>
          <t>Empresa Eléctrica Carén S.A.</t>
        </is>
      </c>
      <c r="J3" t="inlineStr">
        <is>
          <t>SIC 2013/03_2_BS1C_BB_EMELCA_Empresa Eléctrica Carén S.A.</t>
        </is>
      </c>
      <c r="K3" t="inlineStr">
        <is>
          <t>Casablanca 012</t>
        </is>
      </c>
      <c r="L3" t="inlineStr">
        <is>
          <t>-1</t>
        </is>
      </c>
      <c r="M3" t="n">
        <v>14.48767639195573</v>
      </c>
      <c r="N3" t="n">
        <v>0</v>
      </c>
      <c r="O3" t="inlineStr">
        <is>
          <t>3</t>
        </is>
      </c>
      <c r="P3" s="2" t="n">
        <v>44664.57610616898</v>
      </c>
      <c r="Q3" t="n">
        <v>13</v>
      </c>
      <c r="R3" t="inlineStr">
        <is>
          <t>MELIPILLA 220</t>
        </is>
      </c>
      <c r="S3" t="n">
        <v>13.99562616115184</v>
      </c>
      <c r="T3" t="n">
        <v>1214.685757860799</v>
      </c>
      <c r="U3" t="n">
        <v>0.1168524940748011</v>
      </c>
      <c r="V3" t="n">
        <v>702.4321631137864</v>
      </c>
      <c r="W3" t="inlineStr">
        <is>
          <t>EMELCA</t>
        </is>
      </c>
      <c r="X3" t="n">
        <v>95.90097592822033</v>
      </c>
      <c r="Y3" t="n">
        <v>1.214685757860799</v>
      </c>
      <c r="Z3" t="n">
        <v>1342.194207580993</v>
      </c>
      <c r="AA3" t="n">
        <v>912.2495624854369</v>
      </c>
      <c r="AB3" t="n">
        <v>702.4321631137864</v>
      </c>
      <c r="AC3" t="n">
        <v>912.2495624854369</v>
      </c>
      <c r="AD3" s="2" t="n">
        <v>44197</v>
      </c>
    </row>
    <row r="4">
      <c r="A4" t="n">
        <v>-1</v>
      </c>
      <c r="B4" t="inlineStr">
        <is>
          <t>01-01-2021</t>
        </is>
      </c>
      <c r="C4" t="n">
        <v>2021</v>
      </c>
      <c r="D4" t="n">
        <v>1</v>
      </c>
      <c r="E4" t="inlineStr">
        <is>
          <t>Casablanca 012</t>
        </is>
      </c>
      <c r="F4" t="inlineStr">
        <is>
          <t>EMELCA</t>
        </is>
      </c>
      <c r="G4" t="inlineStr">
        <is>
          <t>EMELCA</t>
        </is>
      </c>
      <c r="H4" t="inlineStr">
        <is>
          <t>Empresa Eléctrica Carén S.A.</t>
        </is>
      </c>
      <c r="I4" t="inlineStr">
        <is>
          <t>Empresa Eléctrica Carén S.A.</t>
        </is>
      </c>
      <c r="J4" t="inlineStr">
        <is>
          <t>SIC 2013/03_2_BS1C_BB_EMELCA_Empresa Eléctrica Carén S.A.</t>
        </is>
      </c>
      <c r="K4" t="inlineStr">
        <is>
          <t>Casablanca 012</t>
        </is>
      </c>
      <c r="L4" t="inlineStr">
        <is>
          <t>-1</t>
        </is>
      </c>
      <c r="M4" t="n">
        <v>14.48767639195573</v>
      </c>
      <c r="N4" t="n">
        <v>0</v>
      </c>
      <c r="O4" t="inlineStr">
        <is>
          <t>3</t>
        </is>
      </c>
      <c r="P4" s="2" t="n">
        <v>44664.57610616898</v>
      </c>
      <c r="Q4" t="n">
        <v>5</v>
      </c>
      <c r="R4" t="inlineStr">
        <is>
          <t>NOGALES 220</t>
        </is>
      </c>
      <c r="S4" t="n">
        <v>0.4758912776354819</v>
      </c>
      <c r="T4" t="n">
        <v>39.29541607800475</v>
      </c>
      <c r="U4" t="n">
        <v>0.003973318668264074</v>
      </c>
      <c r="V4" t="n">
        <v>23.36587991336062</v>
      </c>
      <c r="W4" t="inlineStr">
        <is>
          <t>EMELCA</t>
        </is>
      </c>
      <c r="X4" t="n">
        <v>91.24006111900725</v>
      </c>
      <c r="Y4" t="n">
        <v>0.03929541607800476</v>
      </c>
      <c r="Z4" t="n">
        <v>43.42034925746381</v>
      </c>
      <c r="AA4" t="n">
        <v>30.34529858878002</v>
      </c>
      <c r="AB4" t="n">
        <v>23.36587991336062</v>
      </c>
      <c r="AC4" t="n">
        <v>30.34529858878002</v>
      </c>
      <c r="AD4" s="2" t="n">
        <v>44197</v>
      </c>
    </row>
    <row r="5">
      <c r="A5" t="n">
        <v>-1</v>
      </c>
      <c r="B5" t="inlineStr">
        <is>
          <t>01-01-2021</t>
        </is>
      </c>
      <c r="C5" t="n">
        <v>2021</v>
      </c>
      <c r="D5" t="n">
        <v>1</v>
      </c>
      <c r="E5" t="inlineStr">
        <is>
          <t>Casablanca 012</t>
        </is>
      </c>
      <c r="F5" t="inlineStr">
        <is>
          <t>EMELCA</t>
        </is>
      </c>
      <c r="G5" t="inlineStr">
        <is>
          <t>EMELCA</t>
        </is>
      </c>
      <c r="H5" t="inlineStr">
        <is>
          <t>Empresa Eléctrica Carén S.A.</t>
        </is>
      </c>
      <c r="I5" t="inlineStr">
        <is>
          <t>Empresa Eléctrica Carén S.A.</t>
        </is>
      </c>
      <c r="J5" t="inlineStr">
        <is>
          <t>SIC 2013/03_2_BS1C_BB_EMELCA_Empresa Eléctrica Carén S.A.</t>
        </is>
      </c>
      <c r="K5" t="inlineStr">
        <is>
          <t>Casablanca 012</t>
        </is>
      </c>
      <c r="L5" t="inlineStr">
        <is>
          <t>-1</t>
        </is>
      </c>
      <c r="M5" t="n">
        <v>14.48767639195573</v>
      </c>
      <c r="N5" t="n">
        <v>0</v>
      </c>
      <c r="O5" t="inlineStr">
        <is>
          <t>3</t>
        </is>
      </c>
      <c r="P5" s="2" t="n">
        <v>44664.57610616898</v>
      </c>
      <c r="Q5" t="n">
        <v>11</v>
      </c>
      <c r="R5" t="inlineStr">
        <is>
          <t>QUILLOTA 220</t>
        </is>
      </c>
      <c r="S5" t="n">
        <v>0.3554582334982713</v>
      </c>
      <c r="T5" t="n">
        <v>31.52088125298958</v>
      </c>
      <c r="U5" t="n">
        <v>0.002967797270763738</v>
      </c>
      <c r="V5" t="n">
        <v>17.73229724436805</v>
      </c>
      <c r="W5" t="inlineStr">
        <is>
          <t>EMELCA</t>
        </is>
      </c>
      <c r="X5" t="n">
        <v>97.9853601904169</v>
      </c>
      <c r="Y5" t="n">
        <v>0.03152088125298957</v>
      </c>
      <c r="Z5" t="n">
        <v>34.82970304197743</v>
      </c>
      <c r="AA5" t="n">
        <v>23.02895746021825</v>
      </c>
      <c r="AB5" t="n">
        <v>17.73229724436805</v>
      </c>
      <c r="AC5" t="n">
        <v>23.02895746021825</v>
      </c>
      <c r="AD5" s="2" t="n">
        <v>44197</v>
      </c>
    </row>
    <row r="6">
      <c r="A6" t="n">
        <v>-1</v>
      </c>
      <c r="B6" t="inlineStr">
        <is>
          <t>01-02-2021</t>
        </is>
      </c>
      <c r="C6" t="n">
        <v>2021</v>
      </c>
      <c r="D6" t="n">
        <v>2</v>
      </c>
      <c r="E6" t="inlineStr">
        <is>
          <t>Casablanca 012</t>
        </is>
      </c>
      <c r="F6" t="inlineStr">
        <is>
          <t>EMELCA</t>
        </is>
      </c>
      <c r="G6" t="inlineStr">
        <is>
          <t>EMELCA</t>
        </is>
      </c>
      <c r="H6" t="inlineStr">
        <is>
          <t>Empresa Eléctrica Carén S.A.</t>
        </is>
      </c>
      <c r="I6" t="inlineStr">
        <is>
          <t>Empresa Eléctrica Carén S.A.</t>
        </is>
      </c>
      <c r="J6" t="inlineStr">
        <is>
          <t>SIC 2013/03_2_BS1C_BB_EMELCA_Empresa Eléctrica Carén S.A.</t>
        </is>
      </c>
      <c r="K6" t="inlineStr">
        <is>
          <t>Casablanca 012</t>
        </is>
      </c>
      <c r="L6" t="inlineStr">
        <is>
          <t>-1</t>
        </is>
      </c>
      <c r="M6" t="n">
        <v>13.11221514480186</v>
      </c>
      <c r="N6" t="n">
        <v>0</v>
      </c>
      <c r="O6" t="inlineStr">
        <is>
          <t>3</t>
        </is>
      </c>
      <c r="P6" s="2" t="n">
        <v>44664.57610616898</v>
      </c>
      <c r="Q6" t="n">
        <v>31</v>
      </c>
      <c r="R6" t="inlineStr">
        <is>
          <t>LOS MAQUIS 220</t>
        </is>
      </c>
      <c r="S6" t="n">
        <v>0.09985101625101649</v>
      </c>
      <c r="T6" t="n">
        <v>9.130893187767338</v>
      </c>
      <c r="U6" t="n">
        <v>0.0009211297569450046</v>
      </c>
      <c r="V6" t="n">
        <v>5.633823234880412</v>
      </c>
      <c r="W6" t="inlineStr">
        <is>
          <t>EMELCA</t>
        </is>
      </c>
      <c r="X6" t="n">
        <v>101.0443870946757</v>
      </c>
      <c r="Y6" t="n">
        <v>0.009130893187767339</v>
      </c>
      <c r="Z6" t="n">
        <v>10.08938473786446</v>
      </c>
      <c r="AA6" t="n">
        <v>7.316653551792742</v>
      </c>
      <c r="AB6" t="n">
        <v>5.633823234880412</v>
      </c>
      <c r="AC6" t="n">
        <v>7.316653551792742</v>
      </c>
      <c r="AD6" s="2" t="n">
        <v>44228</v>
      </c>
    </row>
    <row r="7">
      <c r="A7" t="n">
        <v>-1</v>
      </c>
      <c r="B7" t="inlineStr">
        <is>
          <t>01-02-2021</t>
        </is>
      </c>
      <c r="C7" t="n">
        <v>2021</v>
      </c>
      <c r="D7" t="n">
        <v>2</v>
      </c>
      <c r="E7" t="inlineStr">
        <is>
          <t>Casablanca 012</t>
        </is>
      </c>
      <c r="F7" t="inlineStr">
        <is>
          <t>EMELCA</t>
        </is>
      </c>
      <c r="G7" t="inlineStr">
        <is>
          <t>EMELCA</t>
        </is>
      </c>
      <c r="H7" t="inlineStr">
        <is>
          <t>Empresa Eléctrica Carén S.A.</t>
        </is>
      </c>
      <c r="I7" t="inlineStr">
        <is>
          <t>Empresa Eléctrica Carén S.A.</t>
        </is>
      </c>
      <c r="J7" t="inlineStr">
        <is>
          <t>SIC 2013/03_2_BS1C_BB_EMELCA_Empresa Eléctrica Carén S.A.</t>
        </is>
      </c>
      <c r="K7" t="inlineStr">
        <is>
          <t>Casablanca 012</t>
        </is>
      </c>
      <c r="L7" t="inlineStr">
        <is>
          <t>-1</t>
        </is>
      </c>
      <c r="M7" t="n">
        <v>13.11221514480186</v>
      </c>
      <c r="N7" t="n">
        <v>0</v>
      </c>
      <c r="O7" t="inlineStr">
        <is>
          <t>3</t>
        </is>
      </c>
      <c r="P7" s="2" t="n">
        <v>44664.57610616898</v>
      </c>
      <c r="Q7" t="n">
        <v>13</v>
      </c>
      <c r="R7" t="inlineStr">
        <is>
          <t>MELIPILLA 220</t>
        </is>
      </c>
      <c r="S7" t="n">
        <v>12.66688020538173</v>
      </c>
      <c r="T7" t="n">
        <v>1099.363387164078</v>
      </c>
      <c r="U7" t="n">
        <v>0.1168524940748011</v>
      </c>
      <c r="V7" t="n">
        <v>702.4321631137864</v>
      </c>
      <c r="W7" t="inlineStr">
        <is>
          <t>EMELCA</t>
        </is>
      </c>
      <c r="X7" t="n">
        <v>95.90097592822033</v>
      </c>
      <c r="Y7" t="n">
        <v>1.099363387164078</v>
      </c>
      <c r="Z7" t="n">
        <v>1214.766173661964</v>
      </c>
      <c r="AA7" t="n">
        <v>912.2495624854369</v>
      </c>
      <c r="AB7" t="n">
        <v>702.4321631137864</v>
      </c>
      <c r="AC7" t="n">
        <v>912.2495624854369</v>
      </c>
      <c r="AD7" s="2" t="n">
        <v>44228</v>
      </c>
    </row>
    <row r="8">
      <c r="A8" t="n">
        <v>-1</v>
      </c>
      <c r="B8" t="inlineStr">
        <is>
          <t>01-02-2021</t>
        </is>
      </c>
      <c r="C8" t="n">
        <v>2021</v>
      </c>
      <c r="D8" t="n">
        <v>2</v>
      </c>
      <c r="E8" t="inlineStr">
        <is>
          <t>Casablanca 012</t>
        </is>
      </c>
      <c r="F8" t="inlineStr">
        <is>
          <t>EMELCA</t>
        </is>
      </c>
      <c r="G8" t="inlineStr">
        <is>
          <t>EMELCA</t>
        </is>
      </c>
      <c r="H8" t="inlineStr">
        <is>
          <t>Empresa Eléctrica Carén S.A.</t>
        </is>
      </c>
      <c r="I8" t="inlineStr">
        <is>
          <t>Empresa Eléctrica Carén S.A.</t>
        </is>
      </c>
      <c r="J8" t="inlineStr">
        <is>
          <t>SIC 2013/03_2_BS1C_BB_EMELCA_Empresa Eléctrica Carén S.A.</t>
        </is>
      </c>
      <c r="K8" t="inlineStr">
        <is>
          <t>Casablanca 012</t>
        </is>
      </c>
      <c r="L8" t="inlineStr">
        <is>
          <t>-1</t>
        </is>
      </c>
      <c r="M8" t="n">
        <v>13.11221514480186</v>
      </c>
      <c r="N8" t="n">
        <v>0</v>
      </c>
      <c r="O8" t="inlineStr">
        <is>
          <t>3</t>
        </is>
      </c>
      <c r="P8" s="2" t="n">
        <v>44664.57610616898</v>
      </c>
      <c r="Q8" t="n">
        <v>5</v>
      </c>
      <c r="R8" t="inlineStr">
        <is>
          <t>NOGALES 220</t>
        </is>
      </c>
      <c r="S8" t="n">
        <v>0.4307101186602859</v>
      </c>
      <c r="T8" t="n">
        <v>35.56470588378112</v>
      </c>
      <c r="U8" t="n">
        <v>0.003973318668264074</v>
      </c>
      <c r="V8" t="n">
        <v>23.36587991336062</v>
      </c>
      <c r="W8" t="inlineStr">
        <is>
          <t>EMELCA</t>
        </is>
      </c>
      <c r="X8" t="n">
        <v>91.24006111900725</v>
      </c>
      <c r="Y8" t="n">
        <v>0.03556470588378112</v>
      </c>
      <c r="Z8" t="n">
        <v>39.29801755113935</v>
      </c>
      <c r="AA8" t="n">
        <v>30.34529858878002</v>
      </c>
      <c r="AB8" t="n">
        <v>23.36587991336062</v>
      </c>
      <c r="AC8" t="n">
        <v>30.34529858878002</v>
      </c>
      <c r="AD8" s="2" t="n">
        <v>44228</v>
      </c>
    </row>
    <row r="9">
      <c r="A9" t="n">
        <v>-1</v>
      </c>
      <c r="B9" t="inlineStr">
        <is>
          <t>01-02-2021</t>
        </is>
      </c>
      <c r="C9" t="n">
        <v>2021</v>
      </c>
      <c r="D9" t="n">
        <v>2</v>
      </c>
      <c r="E9" t="inlineStr">
        <is>
          <t>Casablanca 012</t>
        </is>
      </c>
      <c r="F9" t="inlineStr">
        <is>
          <t>EMELCA</t>
        </is>
      </c>
      <c r="G9" t="inlineStr">
        <is>
          <t>EMELCA</t>
        </is>
      </c>
      <c r="H9" t="inlineStr">
        <is>
          <t>Empresa Eléctrica Carén S.A.</t>
        </is>
      </c>
      <c r="I9" t="inlineStr">
        <is>
          <t>Empresa Eléctrica Carén S.A.</t>
        </is>
      </c>
      <c r="J9" t="inlineStr">
        <is>
          <t>SIC 2013/03_2_BS1C_BB_EMELCA_Empresa Eléctrica Carén S.A.</t>
        </is>
      </c>
      <c r="K9" t="inlineStr">
        <is>
          <t>Casablanca 012</t>
        </is>
      </c>
      <c r="L9" t="inlineStr">
        <is>
          <t>-1</t>
        </is>
      </c>
      <c r="M9" t="n">
        <v>13.11221514480186</v>
      </c>
      <c r="N9" t="n">
        <v>0</v>
      </c>
      <c r="O9" t="inlineStr">
        <is>
          <t>3</t>
        </is>
      </c>
      <c r="P9" s="2" t="n">
        <v>44664.57610616898</v>
      </c>
      <c r="Q9" t="n">
        <v>11</v>
      </c>
      <c r="R9" t="inlineStr">
        <is>
          <t>QUILLOTA 220</t>
        </is>
      </c>
      <c r="S9" t="n">
        <v>0.3217109981286219</v>
      </c>
      <c r="T9" t="n">
        <v>28.52828606611066</v>
      </c>
      <c r="U9" t="n">
        <v>0.002967797270763738</v>
      </c>
      <c r="V9" t="n">
        <v>17.73229724436805</v>
      </c>
      <c r="W9" t="inlineStr">
        <is>
          <t>EMELCA</t>
        </is>
      </c>
      <c r="X9" t="n">
        <v>97.98536019041691</v>
      </c>
      <c r="Y9" t="n">
        <v>0.02852828606611066</v>
      </c>
      <c r="Z9" t="n">
        <v>31.52296802885156</v>
      </c>
      <c r="AA9" t="n">
        <v>23.02895746021825</v>
      </c>
      <c r="AB9" t="n">
        <v>17.73229724436805</v>
      </c>
      <c r="AC9" t="n">
        <v>23.02895746021825</v>
      </c>
      <c r="AD9" s="2" t="n">
        <v>44228</v>
      </c>
    </row>
    <row r="10">
      <c r="A10" t="n">
        <v>-1</v>
      </c>
      <c r="B10" t="inlineStr">
        <is>
          <t>01-03-2021</t>
        </is>
      </c>
      <c r="C10" t="n">
        <v>2021</v>
      </c>
      <c r="D10" t="n">
        <v>3</v>
      </c>
      <c r="E10" t="inlineStr">
        <is>
          <t>Casablanca 012</t>
        </is>
      </c>
      <c r="F10" t="inlineStr">
        <is>
          <t>EMELCA</t>
        </is>
      </c>
      <c r="G10" t="inlineStr">
        <is>
          <t>EMELCA</t>
        </is>
      </c>
      <c r="H10" t="inlineStr">
        <is>
          <t>Empresa Eléctrica Carén S.A.</t>
        </is>
      </c>
      <c r="I10" t="inlineStr">
        <is>
          <t>Empresa Eléctrica Carén S.A.</t>
        </is>
      </c>
      <c r="J10" t="inlineStr">
        <is>
          <t>SIC 2013/03_2_BS1C_BB_EMELCA_Empresa Eléctrica Carén S.A.</t>
        </is>
      </c>
      <c r="K10" t="inlineStr">
        <is>
          <t>Casablanca 012</t>
        </is>
      </c>
      <c r="L10" t="inlineStr">
        <is>
          <t>-1</t>
        </is>
      </c>
      <c r="M10" t="n">
        <v>15.39519787604987</v>
      </c>
      <c r="N10" t="n">
        <v>0</v>
      </c>
      <c r="O10" t="inlineStr">
        <is>
          <t>3</t>
        </is>
      </c>
      <c r="P10" s="2" t="n">
        <v>44664.57610616898</v>
      </c>
      <c r="Q10" t="n">
        <v>31</v>
      </c>
      <c r="R10" t="inlineStr">
        <is>
          <t>LOS MAQUIS 220</t>
        </is>
      </c>
      <c r="S10" t="n">
        <v>0.1172361905546127</v>
      </c>
      <c r="T10" t="n">
        <v>10.72068341301443</v>
      </c>
      <c r="U10" t="n">
        <v>0.0009211297569450046</v>
      </c>
      <c r="V10" t="n">
        <v>5.633823234880412</v>
      </c>
      <c r="W10" t="inlineStr">
        <is>
          <t>EMELCA</t>
        </is>
      </c>
      <c r="X10" t="n">
        <v>101.0443870946757</v>
      </c>
      <c r="Y10" t="n">
        <v>0.01072068341301443</v>
      </c>
      <c r="Z10" t="n">
        <v>11.84605901990545</v>
      </c>
      <c r="AA10" t="n">
        <v>7.316653551792742</v>
      </c>
      <c r="AB10" t="n">
        <v>5.633823234880412</v>
      </c>
      <c r="AC10" t="n">
        <v>7.316653551792742</v>
      </c>
      <c r="AD10" s="2" t="n">
        <v>44256</v>
      </c>
    </row>
    <row r="11">
      <c r="A11" t="n">
        <v>-1</v>
      </c>
      <c r="B11" t="inlineStr">
        <is>
          <t>01-03-2021</t>
        </is>
      </c>
      <c r="C11" t="n">
        <v>2021</v>
      </c>
      <c r="D11" t="n">
        <v>3</v>
      </c>
      <c r="E11" t="inlineStr">
        <is>
          <t>Casablanca 012</t>
        </is>
      </c>
      <c r="F11" t="inlineStr">
        <is>
          <t>EMELCA</t>
        </is>
      </c>
      <c r="G11" t="inlineStr">
        <is>
          <t>EMELCA</t>
        </is>
      </c>
      <c r="H11" t="inlineStr">
        <is>
          <t>Empresa Eléctrica Carén S.A.</t>
        </is>
      </c>
      <c r="I11" t="inlineStr">
        <is>
          <t>Empresa Eléctrica Carén S.A.</t>
        </is>
      </c>
      <c r="J11" t="inlineStr">
        <is>
          <t>SIC 2013/03_2_BS1C_BB_EMELCA_Empresa Eléctrica Carén S.A.</t>
        </is>
      </c>
      <c r="K11" t="inlineStr">
        <is>
          <t>Casablanca 012</t>
        </is>
      </c>
      <c r="L11" t="inlineStr">
        <is>
          <t>-1</t>
        </is>
      </c>
      <c r="M11" t="n">
        <v>15.39519787604987</v>
      </c>
      <c r="N11" t="n">
        <v>0</v>
      </c>
      <c r="O11" t="inlineStr">
        <is>
          <t>3</t>
        </is>
      </c>
      <c r="P11" s="2" t="n">
        <v>44664.57610616898</v>
      </c>
      <c r="Q11" t="n">
        <v>13</v>
      </c>
      <c r="R11" t="inlineStr">
        <is>
          <t>MELIPILLA 220</t>
        </is>
      </c>
      <c r="S11" t="n">
        <v>14.87232516249395</v>
      </c>
      <c r="T11" t="n">
        <v>1290.774800151523</v>
      </c>
      <c r="U11" t="n">
        <v>0.1168524940748011</v>
      </c>
      <c r="V11" t="n">
        <v>702.4321631137864</v>
      </c>
      <c r="W11" t="inlineStr">
        <is>
          <t>EMELCA</t>
        </is>
      </c>
      <c r="X11" t="n">
        <v>95.90097592822033</v>
      </c>
      <c r="Y11" t="n">
        <v>1.290774800151523</v>
      </c>
      <c r="Z11" t="n">
        <v>1426.270497404998</v>
      </c>
      <c r="AA11" t="n">
        <v>912.2495624854369</v>
      </c>
      <c r="AB11" t="n">
        <v>702.4321631137864</v>
      </c>
      <c r="AC11" t="n">
        <v>912.2495624854369</v>
      </c>
      <c r="AD11" s="2" t="n">
        <v>44256</v>
      </c>
    </row>
    <row r="12">
      <c r="A12" t="n">
        <v>-1</v>
      </c>
      <c r="B12" t="inlineStr">
        <is>
          <t>01-03-2021</t>
        </is>
      </c>
      <c r="C12" t="n">
        <v>2021</v>
      </c>
      <c r="D12" t="n">
        <v>3</v>
      </c>
      <c r="E12" t="inlineStr">
        <is>
          <t>Casablanca 012</t>
        </is>
      </c>
      <c r="F12" t="inlineStr">
        <is>
          <t>EMELCA</t>
        </is>
      </c>
      <c r="G12" t="inlineStr">
        <is>
          <t>EMELCA</t>
        </is>
      </c>
      <c r="H12" t="inlineStr">
        <is>
          <t>Empresa Eléctrica Carén S.A.</t>
        </is>
      </c>
      <c r="I12" t="inlineStr">
        <is>
          <t>Empresa Eléctrica Carén S.A.</t>
        </is>
      </c>
      <c r="J12" t="inlineStr">
        <is>
          <t>SIC 2013/03_2_BS1C_BB_EMELCA_Empresa Eléctrica Carén S.A.</t>
        </is>
      </c>
      <c r="K12" t="inlineStr">
        <is>
          <t>Casablanca 012</t>
        </is>
      </c>
      <c r="L12" t="inlineStr">
        <is>
          <t>-1</t>
        </is>
      </c>
      <c r="M12" t="n">
        <v>15.39519787604987</v>
      </c>
      <c r="N12" t="n">
        <v>0</v>
      </c>
      <c r="O12" t="inlineStr">
        <is>
          <t>3</t>
        </is>
      </c>
      <c r="P12" s="2" t="n">
        <v>44664.57610616898</v>
      </c>
      <c r="Q12" t="n">
        <v>5</v>
      </c>
      <c r="R12" t="inlineStr">
        <is>
          <t>NOGALES 220</t>
        </is>
      </c>
      <c r="S12" t="n">
        <v>0.5057015485763079</v>
      </c>
      <c r="T12" t="n">
        <v>41.75691738107145</v>
      </c>
      <c r="U12" t="n">
        <v>0.003973318668264074</v>
      </c>
      <c r="V12" t="n">
        <v>23.36587991336062</v>
      </c>
      <c r="W12" t="inlineStr">
        <is>
          <t>EMELCA</t>
        </is>
      </c>
      <c r="X12" t="n">
        <v>91.24006111900724</v>
      </c>
      <c r="Y12" t="n">
        <v>0.04175691738107145</v>
      </c>
      <c r="Z12" t="n">
        <v>46.14024020007894</v>
      </c>
      <c r="AA12" t="n">
        <v>30.34529858878002</v>
      </c>
      <c r="AB12" t="n">
        <v>23.36587991336062</v>
      </c>
      <c r="AC12" t="n">
        <v>30.34529858878002</v>
      </c>
      <c r="AD12" s="2" t="n">
        <v>44256</v>
      </c>
    </row>
    <row r="13">
      <c r="A13" t="n">
        <v>-1</v>
      </c>
      <c r="B13" t="inlineStr">
        <is>
          <t>01-03-2021</t>
        </is>
      </c>
      <c r="C13" t="n">
        <v>2021</v>
      </c>
      <c r="D13" t="n">
        <v>3</v>
      </c>
      <c r="E13" t="inlineStr">
        <is>
          <t>Casablanca 012</t>
        </is>
      </c>
      <c r="F13" t="inlineStr">
        <is>
          <t>EMELCA</t>
        </is>
      </c>
      <c r="G13" t="inlineStr">
        <is>
          <t>EMELCA</t>
        </is>
      </c>
      <c r="H13" t="inlineStr">
        <is>
          <t>Empresa Eléctrica Carén S.A.</t>
        </is>
      </c>
      <c r="I13" t="inlineStr">
        <is>
          <t>Empresa Eléctrica Carén S.A.</t>
        </is>
      </c>
      <c r="J13" t="inlineStr">
        <is>
          <t>SIC 2013/03_2_BS1C_BB_EMELCA_Empresa Eléctrica Carén S.A.</t>
        </is>
      </c>
      <c r="K13" t="inlineStr">
        <is>
          <t>Casablanca 012</t>
        </is>
      </c>
      <c r="L13" t="inlineStr">
        <is>
          <t>-1</t>
        </is>
      </c>
      <c r="M13" t="n">
        <v>15.39519787604987</v>
      </c>
      <c r="N13" t="n">
        <v>0</v>
      </c>
      <c r="O13" t="inlineStr">
        <is>
          <t>3</t>
        </is>
      </c>
      <c r="P13" s="2" t="n">
        <v>44664.57610616898</v>
      </c>
      <c r="Q13" t="n">
        <v>11</v>
      </c>
      <c r="R13" t="inlineStr">
        <is>
          <t>QUILLOTA 220</t>
        </is>
      </c>
      <c r="S13" t="n">
        <v>0.3777244668727928</v>
      </c>
      <c r="T13" t="n">
        <v>33.49537848503374</v>
      </c>
      <c r="U13" t="n">
        <v>0.002967797270763738</v>
      </c>
      <c r="V13" t="n">
        <v>17.73229724436805</v>
      </c>
      <c r="W13" t="inlineStr">
        <is>
          <t>EMELCA</t>
        </is>
      </c>
      <c r="X13" t="n">
        <v>97.9853601904169</v>
      </c>
      <c r="Y13" t="n">
        <v>0.03349537848503374</v>
      </c>
      <c r="Z13" t="n">
        <v>37.0114679392638</v>
      </c>
      <c r="AA13" t="n">
        <v>23.02895746021825</v>
      </c>
      <c r="AB13" t="n">
        <v>17.73229724436805</v>
      </c>
      <c r="AC13" t="n">
        <v>23.02895746021825</v>
      </c>
      <c r="AD13" s="2" t="n">
        <v>44256</v>
      </c>
    </row>
  </sheetData>
  <pageMargins left="0.7" right="0.7" top="0.75" bottom="0.75" header="0.3" footer="0.3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P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IdContrato</t>
        </is>
      </c>
      <c r="B1" s="1" t="inlineStr">
        <is>
          <t>MesDevengado</t>
        </is>
      </c>
      <c r="C1" s="1" t="inlineStr">
        <is>
          <t>Anho</t>
        </is>
      </c>
      <c r="D1" s="1" t="inlineStr">
        <is>
          <t>Mes</t>
        </is>
      </c>
      <c r="E1" s="1" t="inlineStr">
        <is>
          <t>Codigo</t>
        </is>
      </c>
      <c r="F1" s="1" t="inlineStr">
        <is>
          <t>DX</t>
        </is>
      </c>
      <c r="G1" s="1" t="inlineStr">
        <is>
          <t>NomEmpresaDistribuidora</t>
        </is>
      </c>
      <c r="H1" s="1" t="inlineStr">
        <is>
          <t>GX</t>
        </is>
      </c>
      <c r="I1" s="1" t="inlineStr">
        <is>
          <t>NomSuministrador</t>
        </is>
      </c>
      <c r="J1" s="1" t="inlineStr">
        <is>
          <t>CodigoContrato</t>
        </is>
      </c>
      <c r="K1" s="1" t="inlineStr">
        <is>
          <t>PuntoRetiro</t>
        </is>
      </c>
      <c r="L1" s="1" t="inlineStr">
        <is>
          <t>Contrato</t>
        </is>
      </c>
      <c r="M1" s="1" t="inlineStr">
        <is>
          <t>Energia_kWh</t>
        </is>
      </c>
      <c r="N1" s="1" t="inlineStr">
        <is>
          <t>Potencia_kW</t>
        </is>
      </c>
      <c r="O1" s="1" t="inlineStr">
        <is>
          <t>Sistema</t>
        </is>
      </c>
      <c r="P1" s="1" t="inlineStr">
        <is>
          <t>Fecha</t>
        </is>
      </c>
    </row>
  </sheetData>
  <pageMargins left="0.7" right="0.7" top="0.75" bottom="0.75" header="0.3" footer="0.3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BK2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Num</t>
        </is>
      </c>
      <c r="B1" s="1" t="inlineStr">
        <is>
          <t>MesDevengado</t>
        </is>
      </c>
      <c r="C1" s="1" t="inlineStr">
        <is>
          <t>Anho</t>
        </is>
      </c>
      <c r="D1" s="1" t="inlineStr">
        <is>
          <t>Mes</t>
        </is>
      </c>
      <c r="E1" s="1" t="inlineStr">
        <is>
          <t>Empresa</t>
        </is>
      </c>
      <c r="F1" s="1" t="inlineStr">
        <is>
          <t>Propietario</t>
        </is>
      </c>
      <c r="G1" s="1" t="inlineStr">
        <is>
          <t>Turno</t>
        </is>
      </c>
      <c r="H1" s="1" t="inlineStr">
        <is>
          <t>Distribuidora</t>
        </is>
      </c>
      <c r="I1" s="1" t="inlineStr">
        <is>
          <t>Clave</t>
        </is>
      </c>
      <c r="J1" s="1" t="inlineStr">
        <is>
          <t>PuntoRetiro</t>
        </is>
      </c>
      <c r="K1" s="1" t="inlineStr">
        <is>
          <t>Medida_kWh</t>
        </is>
      </c>
      <c r="L1" s="1" t="inlineStr">
        <is>
          <t>PuntoRetiroBT</t>
        </is>
      </c>
      <c r="M1" s="1" t="inlineStr">
        <is>
          <t>BarraEnAT</t>
        </is>
      </c>
      <c r="N1" s="1" t="inlineStr">
        <is>
          <t>FactorRef_BT_AT</t>
        </is>
      </c>
      <c r="O1" s="1" t="inlineStr">
        <is>
          <t>ValorAT</t>
        </is>
      </c>
      <c r="P1" s="1" t="inlineStr">
        <is>
          <t>Bloque</t>
        </is>
      </c>
      <c r="Q1" s="1" t="inlineStr">
        <is>
          <t>Incremento</t>
        </is>
      </c>
      <c r="R1" s="1" t="inlineStr">
        <is>
          <t>kWhAnho</t>
        </is>
      </c>
      <c r="S1" s="1" t="inlineStr">
        <is>
          <t>PorcenEnergiaAnho</t>
        </is>
      </c>
      <c r="T1" s="1" t="inlineStr">
        <is>
          <t>kWh_AnhoMes</t>
        </is>
      </c>
      <c r="U1" s="1" t="inlineStr">
        <is>
          <t>PorcenBarraAnho</t>
        </is>
      </c>
      <c r="V1" s="1" t="inlineStr">
        <is>
          <t>EnergiaBloqueAnhoMesBarra_kWh</t>
        </is>
      </c>
      <c r="W1" s="1" t="inlineStr">
        <is>
          <t>Amplificacion24h</t>
        </is>
      </c>
      <c r="X1" s="1" t="inlineStr">
        <is>
          <t>Denominador</t>
        </is>
      </c>
      <c r="Y1" s="1" t="inlineStr">
        <is>
          <t>Prorrata</t>
        </is>
      </c>
      <c r="Z1" s="1" t="inlineStr">
        <is>
          <t>EnergiaBloqueTurnoAnhoMesBarra_kWh</t>
        </is>
      </c>
      <c r="AA1" s="1" t="inlineStr">
        <is>
          <t>V_DecretoPNPVigente</t>
        </is>
      </c>
      <c r="AB1" s="1" t="inlineStr">
        <is>
          <t>V_DecretoPNCPAsociado</t>
        </is>
      </c>
      <c r="AC1" s="1" t="inlineStr">
        <is>
          <t>V_DecretoPNCPLicitacion</t>
        </is>
      </c>
      <c r="AD1" s="1" t="inlineStr">
        <is>
          <t>V_Barra</t>
        </is>
      </c>
      <c r="AE1" s="1" t="inlineStr">
        <is>
          <t>V_PrecioOferta_EnergiaPolpaico220</t>
        </is>
      </c>
      <c r="AF1" s="1" t="inlineStr">
        <is>
          <t>V_Indexacion</t>
        </is>
      </c>
      <c r="AG1" s="1" t="inlineStr">
        <is>
          <t>V_PrecioEnergiaIndexado_USDMWh</t>
        </is>
      </c>
      <c r="AH1" s="1" t="inlineStr">
        <is>
          <t>V_DolarPNPVigente</t>
        </is>
      </c>
      <c r="AI1" s="1" t="inlineStr">
        <is>
          <t>V_FactorAjusteEnergia</t>
        </is>
      </c>
      <c r="AJ1" s="1" t="inlineStr">
        <is>
          <t>V_PrecioEnergiaAjustado_CLP_kWh_Polpaico220</t>
        </is>
      </c>
      <c r="AK1" s="1" t="inlineStr">
        <is>
          <t>V_FPEnergia</t>
        </is>
      </c>
      <c r="AL1" s="1" t="inlineStr">
        <is>
          <t>V_PrecioEnergiaAjustado_CLP_kWh</t>
        </is>
      </c>
      <c r="AM1" s="1" t="inlineStr">
        <is>
          <t>V_PrecioPotenciaUSD_kW_Mes</t>
        </is>
      </c>
      <c r="AN1" s="1" t="inlineStr">
        <is>
          <t>V_PrecioPotenciaIndexadoUSD_kW_Mes</t>
        </is>
      </c>
      <c r="AO1" s="1" t="inlineStr">
        <is>
          <t>V_FactorAjustePotencia</t>
        </is>
      </c>
      <c r="AP1" s="1" t="inlineStr">
        <is>
          <t>V_PrecioPotenciaAjustado_CLP_kW_Mes_Polpaico220</t>
        </is>
      </c>
      <c r="AQ1" s="1" t="inlineStr">
        <is>
          <t>V_FPPotencia</t>
        </is>
      </c>
      <c r="AR1" s="1" t="inlineStr">
        <is>
          <t>V_PrecioPotenciaAjustado_CLP_kW_Mes</t>
        </is>
      </c>
      <c r="AS1" s="1" t="inlineStr">
        <is>
          <t>V_TotalEnergiaMesBarraGxDxBloque_CLP_kW_Mes</t>
        </is>
      </c>
      <c r="AT1" s="1" t="inlineStr">
        <is>
          <t>R_DecretoPNPReliquidacion</t>
        </is>
      </c>
      <c r="AU1" s="1" t="inlineStr">
        <is>
          <t>R_DecretoPNCPAsociado</t>
        </is>
      </c>
      <c r="AV1" s="1" t="inlineStr">
        <is>
          <t>R_DecretoPNCPLicitacion</t>
        </is>
      </c>
      <c r="AW1" s="1" t="inlineStr">
        <is>
          <t>R_Barra</t>
        </is>
      </c>
      <c r="AX1" s="1" t="inlineStr">
        <is>
          <t>R_PrecioOfertaEnergiaPolpaico220</t>
        </is>
      </c>
      <c r="AY1" s="1" t="inlineStr">
        <is>
          <t>R_Indexacion</t>
        </is>
      </c>
      <c r="AZ1" s="1" t="inlineStr">
        <is>
          <t>R_PrecioEnergiaIndexado_USDMWh</t>
        </is>
      </c>
      <c r="BA1" s="1" t="inlineStr">
        <is>
          <t>R_DolarPNPReliquidacion</t>
        </is>
      </c>
      <c r="BB1" s="1" t="inlineStr">
        <is>
          <t>R_FactorAjusteEnergia</t>
        </is>
      </c>
      <c r="BC1" s="1" t="inlineStr">
        <is>
          <t>R_PrecioEnergiaAjustado_CLP_kWh_Polpaico220</t>
        </is>
      </c>
      <c r="BD1" s="1" t="inlineStr">
        <is>
          <t>R_FPEnergia</t>
        </is>
      </c>
      <c r="BE1" s="1" t="inlineStr">
        <is>
          <t>R_PrecioEnergiaAjustado_CLP_kWh</t>
        </is>
      </c>
      <c r="BF1" s="1" t="inlineStr">
        <is>
          <t>R_PrecioPotenciaUSD_kW_Mes</t>
        </is>
      </c>
      <c r="BG1" s="1" t="inlineStr">
        <is>
          <t>R_FactorAjustePotencia</t>
        </is>
      </c>
      <c r="BH1" s="1" t="inlineStr">
        <is>
          <t>R_PrecioPotenciaAjustado_CLP_kW_Mes_Polpaico220</t>
        </is>
      </c>
      <c r="BI1" s="1" t="inlineStr">
        <is>
          <t>R_FPPotencia</t>
        </is>
      </c>
      <c r="BJ1" s="1" t="inlineStr">
        <is>
          <t>R_PrecioPotenciaAjustado_CLP_kW_Mes</t>
        </is>
      </c>
      <c r="BK1" s="1" t="inlineStr">
        <is>
          <t>R_TotalEnergiaMesBarraGxDxBloque_CLP_kW_Mes</t>
        </is>
      </c>
    </row>
    <row r="2">
      <c r="A2" t="n">
        <v>5441</v>
      </c>
      <c r="B2" t="inlineStr">
        <is>
          <t>01-01-2021</t>
        </is>
      </c>
      <c r="C2" t="n">
        <v>2021</v>
      </c>
      <c r="D2" t="n">
        <v>1</v>
      </c>
      <c r="E2" t="inlineStr">
        <is>
          <t>CAREN</t>
        </is>
      </c>
      <c r="F2" t="inlineStr">
        <is>
          <t>SUM_EMELCA_C</t>
        </is>
      </c>
      <c r="G2" t="inlineStr">
        <is>
          <t>C</t>
        </is>
      </c>
      <c r="H2" t="inlineStr">
        <is>
          <t>EMELCA</t>
        </is>
      </c>
      <c r="I2" t="inlineStr">
        <is>
          <t>CBLANCAC</t>
        </is>
      </c>
      <c r="J2" t="inlineStr">
        <is>
          <t>CASABLANCA</t>
        </is>
      </c>
      <c r="K2" t="n">
        <v>-79.54368229000001</v>
      </c>
      <c r="L2" t="inlineStr">
        <is>
          <t>CASABLANCA</t>
        </is>
      </c>
      <c r="M2" t="inlineStr">
        <is>
          <t>LOS MAQUIS</t>
        </is>
      </c>
      <c r="N2" t="n">
        <v>0.00865369674352</v>
      </c>
      <c r="O2" t="n">
        <v>0.688347</v>
      </c>
      <c r="P2" t="inlineStr">
        <is>
          <t>BS1C</t>
        </is>
      </c>
      <c r="Q2" t="n">
        <v>2</v>
      </c>
      <c r="W2" t="n">
        <v>2</v>
      </c>
      <c r="X2" t="n">
        <v>0</v>
      </c>
      <c r="AA2" t="inlineStr">
        <is>
          <t>PNP_6T_08-05-2020</t>
        </is>
      </c>
      <c r="AB2" t="inlineStr">
        <is>
          <t>PNCP_9T_12-08-2019</t>
        </is>
      </c>
      <c r="AC2" t="inlineStr">
        <is>
          <t>PNCP_4T_30-04-2013</t>
        </is>
      </c>
      <c r="AD2" t="inlineStr">
        <is>
          <t>LOS MAQUIS 220</t>
        </is>
      </c>
      <c r="AE2" t="n">
        <v>111.133</v>
      </c>
      <c r="AF2" t="n">
        <v>1.072776031070834</v>
      </c>
      <c r="AG2" t="n">
        <v>119.220818660995</v>
      </c>
      <c r="AH2" t="n">
        <v>694.38</v>
      </c>
      <c r="AI2" t="n">
        <v>0.875</v>
      </c>
      <c r="AJ2" t="n">
        <v>72.43648305409401</v>
      </c>
      <c r="AK2" t="n">
        <v>1.0034</v>
      </c>
      <c r="AL2" t="n">
        <v>72.68300000000001</v>
      </c>
      <c r="AM2" t="n">
        <v>8.9176</v>
      </c>
      <c r="AN2" t="n">
        <v>9.566587534677272</v>
      </c>
      <c r="AO2" t="n">
        <v>0.913</v>
      </c>
      <c r="AP2" t="n">
        <v>6064.919358776563</v>
      </c>
      <c r="AQ2" t="n">
        <v>1</v>
      </c>
      <c r="AR2" t="n">
        <v>6064.9194</v>
      </c>
      <c r="AT2" t="inlineStr">
        <is>
          <t>PNP_19T_30-12-2020</t>
        </is>
      </c>
      <c r="AU2" t="inlineStr">
        <is>
          <t>PNCP_12T_10-08-2020</t>
        </is>
      </c>
      <c r="AV2" t="inlineStr">
        <is>
          <t>PNCP_4T_30-04-2013</t>
        </is>
      </c>
      <c r="AW2" t="inlineStr">
        <is>
          <t>LOS MAQUIS 220</t>
        </is>
      </c>
      <c r="AX2" t="n">
        <v>111.133</v>
      </c>
      <c r="AY2" t="n">
        <v>1.083385174100913</v>
      </c>
      <c r="AZ2" t="n">
        <v>120.3998445533567</v>
      </c>
      <c r="BA2" t="n">
        <v>801.49</v>
      </c>
      <c r="BB2" t="n">
        <v>0.905</v>
      </c>
      <c r="BC2" t="n">
        <v>87.33184062701827</v>
      </c>
      <c r="BD2" t="n">
        <v>1.0471</v>
      </c>
      <c r="BE2" t="n">
        <v>91.44499999999999</v>
      </c>
      <c r="BF2" t="n">
        <v>8.9176</v>
      </c>
      <c r="BG2" t="n">
        <v>0.77</v>
      </c>
      <c r="BH2" t="n">
        <v>5962.380796939026</v>
      </c>
      <c r="BI2" t="n">
        <v>1</v>
      </c>
      <c r="BJ2" t="n">
        <v>5962.3808</v>
      </c>
    </row>
    <row r="3">
      <c r="A3" t="n">
        <v>5443</v>
      </c>
      <c r="B3" t="inlineStr">
        <is>
          <t>01-01-2021</t>
        </is>
      </c>
      <c r="C3" t="n">
        <v>2021</v>
      </c>
      <c r="D3" t="n">
        <v>1</v>
      </c>
      <c r="E3" t="inlineStr">
        <is>
          <t>CAREN</t>
        </is>
      </c>
      <c r="F3" t="inlineStr">
        <is>
          <t>SUM_EMELCA_C</t>
        </is>
      </c>
      <c r="G3" t="inlineStr">
        <is>
          <t>C</t>
        </is>
      </c>
      <c r="H3" t="inlineStr">
        <is>
          <t>EMELCA</t>
        </is>
      </c>
      <c r="I3" t="inlineStr">
        <is>
          <t>CBLANCAC</t>
        </is>
      </c>
      <c r="J3" t="inlineStr">
        <is>
          <t>CASABLANCA</t>
        </is>
      </c>
      <c r="K3" t="n">
        <v>-79.54368229000001</v>
      </c>
      <c r="L3" t="inlineStr">
        <is>
          <t>CASABLANCA</t>
        </is>
      </c>
      <c r="M3" t="inlineStr">
        <is>
          <t>MELIPILLA</t>
        </is>
      </c>
      <c r="N3" t="n">
        <v>0.7405044041495999</v>
      </c>
      <c r="O3" t="n">
        <v>58.902447</v>
      </c>
      <c r="P3" t="inlineStr">
        <is>
          <t>BS1C</t>
        </is>
      </c>
      <c r="Q3" t="n">
        <v>2</v>
      </c>
      <c r="W3" t="n">
        <v>2</v>
      </c>
      <c r="X3" t="n">
        <v>0</v>
      </c>
      <c r="AA3" t="inlineStr">
        <is>
          <t>PNP_6T_08-05-2020</t>
        </is>
      </c>
      <c r="AB3" t="inlineStr">
        <is>
          <t>PNCP_9T_12-08-2019</t>
        </is>
      </c>
      <c r="AC3" t="inlineStr">
        <is>
          <t>PNCP_4T_30-04-2013</t>
        </is>
      </c>
      <c r="AD3" t="inlineStr">
        <is>
          <t>MELIPILLA 220</t>
        </is>
      </c>
      <c r="AE3" t="n">
        <v>111.133</v>
      </c>
      <c r="AF3" t="n">
        <v>1.072776031070834</v>
      </c>
      <c r="AG3" t="n">
        <v>119.220818660995</v>
      </c>
      <c r="AH3" t="n">
        <v>694.38</v>
      </c>
      <c r="AI3" t="n">
        <v>0.875</v>
      </c>
      <c r="AJ3" t="n">
        <v>72.43648305409401</v>
      </c>
      <c r="AK3" t="n">
        <v>1.0179</v>
      </c>
      <c r="AL3" t="n">
        <v>73.733</v>
      </c>
      <c r="AM3" t="n">
        <v>8.9176</v>
      </c>
      <c r="AN3" t="n">
        <v>9.566587534677272</v>
      </c>
      <c r="AO3" t="n">
        <v>0.913</v>
      </c>
      <c r="AP3" t="n">
        <v>6064.919358776563</v>
      </c>
      <c r="AQ3" t="n">
        <v>0.9897500976181179</v>
      </c>
      <c r="AR3" t="n">
        <v>6002.7545</v>
      </c>
      <c r="AT3" t="inlineStr">
        <is>
          <t>PNP_19T_30-12-2020</t>
        </is>
      </c>
      <c r="AU3" t="inlineStr">
        <is>
          <t>PNCP_12T_10-08-2020</t>
        </is>
      </c>
      <c r="AV3" t="inlineStr">
        <is>
          <t>PNCP_4T_30-04-2013</t>
        </is>
      </c>
      <c r="AW3" t="inlineStr">
        <is>
          <t>MELIPILLA 220</t>
        </is>
      </c>
      <c r="AX3" t="n">
        <v>111.133</v>
      </c>
      <c r="AY3" t="n">
        <v>1.083385174100913</v>
      </c>
      <c r="AZ3" t="n">
        <v>120.3998445533567</v>
      </c>
      <c r="BA3" t="n">
        <v>801.49</v>
      </c>
      <c r="BB3" t="n">
        <v>0.905</v>
      </c>
      <c r="BC3" t="n">
        <v>87.33184062701827</v>
      </c>
      <c r="BD3" t="n">
        <v>0.9938</v>
      </c>
      <c r="BE3" t="n">
        <v>86.79000000000001</v>
      </c>
      <c r="BF3" t="n">
        <v>8.9176</v>
      </c>
      <c r="BG3" t="n">
        <v>0.77</v>
      </c>
      <c r="BH3" t="n">
        <v>5962.380796939026</v>
      </c>
      <c r="BI3" t="n">
        <v>0.9841858648965248</v>
      </c>
      <c r="BJ3" t="n">
        <v>5868.0909</v>
      </c>
    </row>
    <row r="4">
      <c r="A4" t="n">
        <v>5445</v>
      </c>
      <c r="B4" t="inlineStr">
        <is>
          <t>01-01-2021</t>
        </is>
      </c>
      <c r="C4" t="n">
        <v>2021</v>
      </c>
      <c r="D4" t="n">
        <v>1</v>
      </c>
      <c r="E4" t="inlineStr">
        <is>
          <t>CAREN</t>
        </is>
      </c>
      <c r="F4" t="inlineStr">
        <is>
          <t>SUM_EMELCA_C</t>
        </is>
      </c>
      <c r="G4" t="inlineStr">
        <is>
          <t>C</t>
        </is>
      </c>
      <c r="H4" t="inlineStr">
        <is>
          <t>EMELCA</t>
        </is>
      </c>
      <c r="I4" t="inlineStr">
        <is>
          <t>CBLANCAC</t>
        </is>
      </c>
      <c r="J4" t="inlineStr">
        <is>
          <t>CASABLANCA</t>
        </is>
      </c>
      <c r="K4" t="n">
        <v>-79.54368229000001</v>
      </c>
      <c r="L4" t="inlineStr">
        <is>
          <t>CASABLANCA</t>
        </is>
      </c>
      <c r="M4" t="inlineStr">
        <is>
          <t>NOGALES</t>
        </is>
      </c>
      <c r="N4" t="n">
        <v>0.0174152412888</v>
      </c>
      <c r="O4" t="n">
        <v>1.385272</v>
      </c>
      <c r="P4" t="inlineStr">
        <is>
          <t>BS1C</t>
        </is>
      </c>
      <c r="Q4" t="n">
        <v>2</v>
      </c>
      <c r="W4" t="n">
        <v>2</v>
      </c>
      <c r="X4" t="n">
        <v>0</v>
      </c>
      <c r="AA4" t="inlineStr">
        <is>
          <t>PNP_6T_08-05-2020</t>
        </is>
      </c>
      <c r="AB4" t="inlineStr">
        <is>
          <t>PNCP_9T_12-08-2019</t>
        </is>
      </c>
      <c r="AC4" t="inlineStr">
        <is>
          <t>PNCP_4T_30-04-2013</t>
        </is>
      </c>
      <c r="AD4" t="inlineStr">
        <is>
          <t>NOGALES 220</t>
        </is>
      </c>
      <c r="AE4" t="n">
        <v>111.133</v>
      </c>
      <c r="AF4" t="n">
        <v>1.072776031070834</v>
      </c>
      <c r="AG4" t="n">
        <v>119.220818660995</v>
      </c>
      <c r="AH4" t="n">
        <v>694.38</v>
      </c>
      <c r="AI4" t="n">
        <v>0.875</v>
      </c>
      <c r="AJ4" t="n">
        <v>72.43648305409401</v>
      </c>
      <c r="AK4" t="n">
        <v>0.9666</v>
      </c>
      <c r="AL4" t="n">
        <v>70.017</v>
      </c>
      <c r="AM4" t="n">
        <v>8.9176</v>
      </c>
      <c r="AN4" t="n">
        <v>9.566587534677272</v>
      </c>
      <c r="AO4" t="n">
        <v>0.913</v>
      </c>
      <c r="AP4" t="n">
        <v>6064.919358776563</v>
      </c>
      <c r="AQ4" t="n">
        <v>0.9831643002028398</v>
      </c>
      <c r="AR4" t="n">
        <v>5962.8122</v>
      </c>
      <c r="AT4" t="inlineStr">
        <is>
          <t>PNP_19T_30-12-2020</t>
        </is>
      </c>
      <c r="AU4" t="inlineStr">
        <is>
          <t>PNCP_12T_10-08-2020</t>
        </is>
      </c>
      <c r="AV4" t="inlineStr">
        <is>
          <t>PNCP_4T_30-04-2013</t>
        </is>
      </c>
      <c r="AW4" t="inlineStr">
        <is>
          <t>NOGALES 220</t>
        </is>
      </c>
      <c r="AX4" t="n">
        <v>111.133</v>
      </c>
      <c r="AY4" t="n">
        <v>1.083385174100913</v>
      </c>
      <c r="AZ4" t="n">
        <v>120.3998445533567</v>
      </c>
      <c r="BA4" t="n">
        <v>801.49</v>
      </c>
      <c r="BB4" t="n">
        <v>0.905</v>
      </c>
      <c r="BC4" t="n">
        <v>87.33184062701827</v>
      </c>
      <c r="BD4" t="n">
        <v>0.9455</v>
      </c>
      <c r="BE4" t="n">
        <v>82.572</v>
      </c>
      <c r="BF4" t="n">
        <v>8.9176</v>
      </c>
      <c r="BG4" t="n">
        <v>0.77</v>
      </c>
      <c r="BH4" t="n">
        <v>5962.380796939026</v>
      </c>
      <c r="BI4" t="n">
        <v>1.000304259634888</v>
      </c>
      <c r="BJ4" t="n">
        <v>5964.1949</v>
      </c>
    </row>
    <row r="5">
      <c r="A5" t="n">
        <v>5447</v>
      </c>
      <c r="B5" t="inlineStr">
        <is>
          <t>01-01-2021</t>
        </is>
      </c>
      <c r="C5" t="n">
        <v>2021</v>
      </c>
      <c r="D5" t="n">
        <v>1</v>
      </c>
      <c r="E5" t="inlineStr">
        <is>
          <t>CAREN</t>
        </is>
      </c>
      <c r="F5" t="inlineStr">
        <is>
          <t>SUM_EMELCA_C</t>
        </is>
      </c>
      <c r="G5" t="inlineStr">
        <is>
          <t>C</t>
        </is>
      </c>
      <c r="H5" t="inlineStr">
        <is>
          <t>EMELCA</t>
        </is>
      </c>
      <c r="I5" t="inlineStr">
        <is>
          <t>CBLANCAC</t>
        </is>
      </c>
      <c r="J5" t="inlineStr">
        <is>
          <t>CASABLANCA</t>
        </is>
      </c>
      <c r="K5" t="n">
        <v>-79.54368229000001</v>
      </c>
      <c r="L5" t="inlineStr">
        <is>
          <t>CASABLANCA</t>
        </is>
      </c>
      <c r="M5" t="inlineStr">
        <is>
          <t>QUILLOTA</t>
        </is>
      </c>
      <c r="N5" t="n">
        <v>0.39444071788845</v>
      </c>
      <c r="O5" t="n">
        <v>31.375267</v>
      </c>
      <c r="P5" t="inlineStr">
        <is>
          <t>BS1C</t>
        </is>
      </c>
      <c r="Q5" t="n">
        <v>2</v>
      </c>
      <c r="W5" t="n">
        <v>2</v>
      </c>
      <c r="X5" t="n">
        <v>0</v>
      </c>
      <c r="AA5" t="inlineStr">
        <is>
          <t>PNP_6T_08-05-2020</t>
        </is>
      </c>
      <c r="AB5" t="inlineStr">
        <is>
          <t>PNCP_9T_12-08-2019</t>
        </is>
      </c>
      <c r="AC5" t="inlineStr">
        <is>
          <t>PNCP_4T_30-04-2013</t>
        </is>
      </c>
      <c r="AD5" t="inlineStr">
        <is>
          <t>QUILLOTA 220</t>
        </is>
      </c>
      <c r="AE5" t="n">
        <v>111.133</v>
      </c>
      <c r="AF5" t="n">
        <v>1.072776031070834</v>
      </c>
      <c r="AG5" t="n">
        <v>119.220818660995</v>
      </c>
      <c r="AH5" t="n">
        <v>694.38</v>
      </c>
      <c r="AI5" t="n">
        <v>0.875</v>
      </c>
      <c r="AJ5" t="n">
        <v>72.43648305409401</v>
      </c>
      <c r="AK5" t="n">
        <v>1.0077</v>
      </c>
      <c r="AL5" t="n">
        <v>72.994</v>
      </c>
      <c r="AM5" t="n">
        <v>8.9176</v>
      </c>
      <c r="AN5" t="n">
        <v>9.566587534677272</v>
      </c>
      <c r="AO5" t="n">
        <v>0.913</v>
      </c>
      <c r="AP5" t="n">
        <v>6064.919358776563</v>
      </c>
      <c r="AQ5" t="n">
        <v>1.025526742301459</v>
      </c>
      <c r="AR5" t="n">
        <v>6219.737</v>
      </c>
      <c r="AT5" t="inlineStr">
        <is>
          <t>PNP_19T_30-12-2020</t>
        </is>
      </c>
      <c r="AU5" t="inlineStr">
        <is>
          <t>PNCP_12T_10-08-2020</t>
        </is>
      </c>
      <c r="AV5" t="inlineStr">
        <is>
          <t>PNCP_4T_30-04-2013</t>
        </is>
      </c>
      <c r="AW5" t="inlineStr">
        <is>
          <t>QUILLOTA 220</t>
        </is>
      </c>
      <c r="AX5" t="n">
        <v>111.133</v>
      </c>
      <c r="AY5" t="n">
        <v>1.083385174100913</v>
      </c>
      <c r="AZ5" t="n">
        <v>120.3998445533567</v>
      </c>
      <c r="BA5" t="n">
        <v>801.49</v>
      </c>
      <c r="BB5" t="n">
        <v>0.905</v>
      </c>
      <c r="BC5" t="n">
        <v>87.33184062701827</v>
      </c>
      <c r="BD5" t="n">
        <v>1.0154</v>
      </c>
      <c r="BE5" t="n">
        <v>88.67700000000001</v>
      </c>
      <c r="BF5" t="n">
        <v>8.9176</v>
      </c>
      <c r="BG5" t="n">
        <v>0.77</v>
      </c>
      <c r="BH5" t="n">
        <v>5962.380796939026</v>
      </c>
      <c r="BI5" t="n">
        <v>1.01509319286872</v>
      </c>
      <c r="BJ5" t="n">
        <v>6052.3722</v>
      </c>
    </row>
    <row r="6">
      <c r="A6" t="n">
        <v>5609</v>
      </c>
      <c r="B6" t="inlineStr">
        <is>
          <t>01-02-2021</t>
        </is>
      </c>
      <c r="C6" t="n">
        <v>2021</v>
      </c>
      <c r="D6" t="n">
        <v>1</v>
      </c>
      <c r="E6" t="inlineStr">
        <is>
          <t>CAREN</t>
        </is>
      </c>
      <c r="F6" t="inlineStr">
        <is>
          <t>SUM_EMELCA_C</t>
        </is>
      </c>
      <c r="G6" t="inlineStr">
        <is>
          <t>C</t>
        </is>
      </c>
      <c r="H6" t="inlineStr">
        <is>
          <t>EMELCA</t>
        </is>
      </c>
      <c r="I6" t="inlineStr">
        <is>
          <t>CBLANCAC</t>
        </is>
      </c>
      <c r="J6" t="inlineStr">
        <is>
          <t>CASABLANCA</t>
        </is>
      </c>
      <c r="K6" t="n">
        <v>-126.11766171</v>
      </c>
      <c r="L6" t="inlineStr">
        <is>
          <t>CASABLANCA</t>
        </is>
      </c>
      <c r="M6" t="inlineStr">
        <is>
          <t>LOS MAQUIS</t>
        </is>
      </c>
      <c r="N6" t="n">
        <v>0.00865369674352</v>
      </c>
      <c r="O6" t="n">
        <v>1.091384</v>
      </c>
      <c r="P6" t="inlineStr">
        <is>
          <t>BS1C</t>
        </is>
      </c>
      <c r="Q6" t="n">
        <v>2</v>
      </c>
      <c r="W6" t="n">
        <v>2</v>
      </c>
      <c r="X6" t="n">
        <v>0</v>
      </c>
      <c r="AA6" t="inlineStr">
        <is>
          <t>PNP_6T_08-05-2020</t>
        </is>
      </c>
      <c r="AB6" t="inlineStr">
        <is>
          <t>PNCP_9T_12-08-2019</t>
        </is>
      </c>
      <c r="AC6" t="inlineStr">
        <is>
          <t>PNCP_4T_30-04-2013</t>
        </is>
      </c>
      <c r="AD6" t="inlineStr">
        <is>
          <t>LOS MAQUIS 220</t>
        </is>
      </c>
      <c r="AE6" t="n">
        <v>111.133</v>
      </c>
      <c r="AF6" t="n">
        <v>1.072776031070834</v>
      </c>
      <c r="AG6" t="n">
        <v>119.220818660995</v>
      </c>
      <c r="AH6" t="n">
        <v>694.38</v>
      </c>
      <c r="AI6" t="n">
        <v>0.875</v>
      </c>
      <c r="AJ6" t="n">
        <v>72.43648305409401</v>
      </c>
      <c r="AK6" t="n">
        <v>1.0034</v>
      </c>
      <c r="AL6" t="n">
        <v>72.68300000000001</v>
      </c>
      <c r="AM6" t="n">
        <v>8.9176</v>
      </c>
      <c r="AN6" t="n">
        <v>9.566587534677272</v>
      </c>
      <c r="AO6" t="n">
        <v>0.913</v>
      </c>
      <c r="AP6" t="n">
        <v>6064.919358776563</v>
      </c>
      <c r="AQ6" t="n">
        <v>1</v>
      </c>
      <c r="AR6" t="n">
        <v>6064.9194</v>
      </c>
      <c r="AT6" t="inlineStr">
        <is>
          <t>PNP_19T_30-12-2020</t>
        </is>
      </c>
      <c r="AU6" t="inlineStr">
        <is>
          <t>PNCP_12T_10-08-2020</t>
        </is>
      </c>
      <c r="AV6" t="inlineStr">
        <is>
          <t>PNCP_4T_30-04-2013</t>
        </is>
      </c>
      <c r="AW6" t="inlineStr">
        <is>
          <t>LOS MAQUIS 220</t>
        </is>
      </c>
      <c r="AX6" t="n">
        <v>111.133</v>
      </c>
      <c r="AY6" t="n">
        <v>1.083385174100913</v>
      </c>
      <c r="AZ6" t="n">
        <v>120.3998445533567</v>
      </c>
      <c r="BA6" t="n">
        <v>801.49</v>
      </c>
      <c r="BB6" t="n">
        <v>0.905</v>
      </c>
      <c r="BC6" t="n">
        <v>87.33184062701827</v>
      </c>
      <c r="BD6" t="n">
        <v>1.0471</v>
      </c>
      <c r="BE6" t="n">
        <v>91.44499999999999</v>
      </c>
      <c r="BF6" t="n">
        <v>8.9176</v>
      </c>
      <c r="BG6" t="n">
        <v>0.77</v>
      </c>
      <c r="BH6" t="n">
        <v>5962.380796939026</v>
      </c>
      <c r="BI6" t="n">
        <v>1</v>
      </c>
      <c r="BJ6" t="n">
        <v>5962.3808</v>
      </c>
    </row>
    <row r="7">
      <c r="A7" t="n">
        <v>5611</v>
      </c>
      <c r="B7" t="inlineStr">
        <is>
          <t>01-02-2021</t>
        </is>
      </c>
      <c r="C7" t="n">
        <v>2021</v>
      </c>
      <c r="D7" t="n">
        <v>1</v>
      </c>
      <c r="E7" t="inlineStr">
        <is>
          <t>CAREN</t>
        </is>
      </c>
      <c r="F7" t="inlineStr">
        <is>
          <t>SUM_EMELCA_C</t>
        </is>
      </c>
      <c r="G7" t="inlineStr">
        <is>
          <t>C</t>
        </is>
      </c>
      <c r="H7" t="inlineStr">
        <is>
          <t>EMELCA</t>
        </is>
      </c>
      <c r="I7" t="inlineStr">
        <is>
          <t>CBLANCAC</t>
        </is>
      </c>
      <c r="J7" t="inlineStr">
        <is>
          <t>CASABLANCA</t>
        </is>
      </c>
      <c r="K7" t="n">
        <v>-126.11766171</v>
      </c>
      <c r="L7" t="inlineStr">
        <is>
          <t>CASABLANCA</t>
        </is>
      </c>
      <c r="M7" t="inlineStr">
        <is>
          <t>MELIPILLA</t>
        </is>
      </c>
      <c r="N7" t="n">
        <v>0.7405044041495999</v>
      </c>
      <c r="O7" t="n">
        <v>93.39068399999999</v>
      </c>
      <c r="P7" t="inlineStr">
        <is>
          <t>BS1C</t>
        </is>
      </c>
      <c r="Q7" t="n">
        <v>2</v>
      </c>
      <c r="W7" t="n">
        <v>2</v>
      </c>
      <c r="X7" t="n">
        <v>0</v>
      </c>
      <c r="AA7" t="inlineStr">
        <is>
          <t>PNP_6T_08-05-2020</t>
        </is>
      </c>
      <c r="AB7" t="inlineStr">
        <is>
          <t>PNCP_9T_12-08-2019</t>
        </is>
      </c>
      <c r="AC7" t="inlineStr">
        <is>
          <t>PNCP_4T_30-04-2013</t>
        </is>
      </c>
      <c r="AD7" t="inlineStr">
        <is>
          <t>MELIPILLA 220</t>
        </is>
      </c>
      <c r="AE7" t="n">
        <v>111.133</v>
      </c>
      <c r="AF7" t="n">
        <v>1.072776031070834</v>
      </c>
      <c r="AG7" t="n">
        <v>119.220818660995</v>
      </c>
      <c r="AH7" t="n">
        <v>694.38</v>
      </c>
      <c r="AI7" t="n">
        <v>0.875</v>
      </c>
      <c r="AJ7" t="n">
        <v>72.43648305409401</v>
      </c>
      <c r="AK7" t="n">
        <v>1.0179</v>
      </c>
      <c r="AL7" t="n">
        <v>73.733</v>
      </c>
      <c r="AM7" t="n">
        <v>8.9176</v>
      </c>
      <c r="AN7" t="n">
        <v>9.566587534677272</v>
      </c>
      <c r="AO7" t="n">
        <v>0.913</v>
      </c>
      <c r="AP7" t="n">
        <v>6064.919358776563</v>
      </c>
      <c r="AQ7" t="n">
        <v>0.9897500976181179</v>
      </c>
      <c r="AR7" t="n">
        <v>6002.7545</v>
      </c>
      <c r="AT7" t="inlineStr">
        <is>
          <t>PNP_19T_30-12-2020</t>
        </is>
      </c>
      <c r="AU7" t="inlineStr">
        <is>
          <t>PNCP_12T_10-08-2020</t>
        </is>
      </c>
      <c r="AV7" t="inlineStr">
        <is>
          <t>PNCP_4T_30-04-2013</t>
        </is>
      </c>
      <c r="AW7" t="inlineStr">
        <is>
          <t>MELIPILLA 220</t>
        </is>
      </c>
      <c r="AX7" t="n">
        <v>111.133</v>
      </c>
      <c r="AY7" t="n">
        <v>1.083385174100913</v>
      </c>
      <c r="AZ7" t="n">
        <v>120.3998445533567</v>
      </c>
      <c r="BA7" t="n">
        <v>801.49</v>
      </c>
      <c r="BB7" t="n">
        <v>0.905</v>
      </c>
      <c r="BC7" t="n">
        <v>87.33184062701827</v>
      </c>
      <c r="BD7" t="n">
        <v>0.9938</v>
      </c>
      <c r="BE7" t="n">
        <v>86.79000000000001</v>
      </c>
      <c r="BF7" t="n">
        <v>8.9176</v>
      </c>
      <c r="BG7" t="n">
        <v>0.77</v>
      </c>
      <c r="BH7" t="n">
        <v>5962.380796939026</v>
      </c>
      <c r="BI7" t="n">
        <v>0.9841858648965248</v>
      </c>
      <c r="BJ7" t="n">
        <v>5868.0909</v>
      </c>
    </row>
    <row r="8">
      <c r="A8" t="n">
        <v>5613</v>
      </c>
      <c r="B8" t="inlineStr">
        <is>
          <t>01-02-2021</t>
        </is>
      </c>
      <c r="C8" t="n">
        <v>2021</v>
      </c>
      <c r="D8" t="n">
        <v>1</v>
      </c>
      <c r="E8" t="inlineStr">
        <is>
          <t>CAREN</t>
        </is>
      </c>
      <c r="F8" t="inlineStr">
        <is>
          <t>SUM_EMELCA_C</t>
        </is>
      </c>
      <c r="G8" t="inlineStr">
        <is>
          <t>C</t>
        </is>
      </c>
      <c r="H8" t="inlineStr">
        <is>
          <t>EMELCA</t>
        </is>
      </c>
      <c r="I8" t="inlineStr">
        <is>
          <t>CBLANCAC</t>
        </is>
      </c>
      <c r="J8" t="inlineStr">
        <is>
          <t>CASABLANCA</t>
        </is>
      </c>
      <c r="K8" t="n">
        <v>-126.11766171</v>
      </c>
      <c r="L8" t="inlineStr">
        <is>
          <t>CASABLANCA</t>
        </is>
      </c>
      <c r="M8" t="inlineStr">
        <is>
          <t>NOGALES</t>
        </is>
      </c>
      <c r="N8" t="n">
        <v>0.0174152412888</v>
      </c>
      <c r="O8" t="n">
        <v>2.19637</v>
      </c>
      <c r="P8" t="inlineStr">
        <is>
          <t>BS1C</t>
        </is>
      </c>
      <c r="Q8" t="n">
        <v>2</v>
      </c>
      <c r="W8" t="n">
        <v>2</v>
      </c>
      <c r="X8" t="n">
        <v>0</v>
      </c>
      <c r="AA8" t="inlineStr">
        <is>
          <t>PNP_6T_08-05-2020</t>
        </is>
      </c>
      <c r="AB8" t="inlineStr">
        <is>
          <t>PNCP_9T_12-08-2019</t>
        </is>
      </c>
      <c r="AC8" t="inlineStr">
        <is>
          <t>PNCP_4T_30-04-2013</t>
        </is>
      </c>
      <c r="AD8" t="inlineStr">
        <is>
          <t>NOGALES 220</t>
        </is>
      </c>
      <c r="AE8" t="n">
        <v>111.133</v>
      </c>
      <c r="AF8" t="n">
        <v>1.072776031070834</v>
      </c>
      <c r="AG8" t="n">
        <v>119.220818660995</v>
      </c>
      <c r="AH8" t="n">
        <v>694.38</v>
      </c>
      <c r="AI8" t="n">
        <v>0.875</v>
      </c>
      <c r="AJ8" t="n">
        <v>72.43648305409401</v>
      </c>
      <c r="AK8" t="n">
        <v>0.9666</v>
      </c>
      <c r="AL8" t="n">
        <v>70.017</v>
      </c>
      <c r="AM8" t="n">
        <v>8.9176</v>
      </c>
      <c r="AN8" t="n">
        <v>9.566587534677272</v>
      </c>
      <c r="AO8" t="n">
        <v>0.913</v>
      </c>
      <c r="AP8" t="n">
        <v>6064.919358776563</v>
      </c>
      <c r="AQ8" t="n">
        <v>0.9831643002028398</v>
      </c>
      <c r="AR8" t="n">
        <v>5962.8122</v>
      </c>
      <c r="AT8" t="inlineStr">
        <is>
          <t>PNP_19T_30-12-2020</t>
        </is>
      </c>
      <c r="AU8" t="inlineStr">
        <is>
          <t>PNCP_12T_10-08-2020</t>
        </is>
      </c>
      <c r="AV8" t="inlineStr">
        <is>
          <t>PNCP_4T_30-04-2013</t>
        </is>
      </c>
      <c r="AW8" t="inlineStr">
        <is>
          <t>NOGALES 220</t>
        </is>
      </c>
      <c r="AX8" t="n">
        <v>111.133</v>
      </c>
      <c r="AY8" t="n">
        <v>1.083385174100913</v>
      </c>
      <c r="AZ8" t="n">
        <v>120.3998445533567</v>
      </c>
      <c r="BA8" t="n">
        <v>801.49</v>
      </c>
      <c r="BB8" t="n">
        <v>0.905</v>
      </c>
      <c r="BC8" t="n">
        <v>87.33184062701827</v>
      </c>
      <c r="BD8" t="n">
        <v>0.9455</v>
      </c>
      <c r="BE8" t="n">
        <v>82.572</v>
      </c>
      <c r="BF8" t="n">
        <v>8.9176</v>
      </c>
      <c r="BG8" t="n">
        <v>0.77</v>
      </c>
      <c r="BH8" t="n">
        <v>5962.380796939026</v>
      </c>
      <c r="BI8" t="n">
        <v>1.000304259634888</v>
      </c>
      <c r="BJ8" t="n">
        <v>5964.1949</v>
      </c>
    </row>
    <row r="9">
      <c r="A9" t="n">
        <v>5615</v>
      </c>
      <c r="B9" t="inlineStr">
        <is>
          <t>01-02-2021</t>
        </is>
      </c>
      <c r="C9" t="n">
        <v>2021</v>
      </c>
      <c r="D9" t="n">
        <v>1</v>
      </c>
      <c r="E9" t="inlineStr">
        <is>
          <t>CAREN</t>
        </is>
      </c>
      <c r="F9" t="inlineStr">
        <is>
          <t>SUM_EMELCA_C</t>
        </is>
      </c>
      <c r="G9" t="inlineStr">
        <is>
          <t>C</t>
        </is>
      </c>
      <c r="H9" t="inlineStr">
        <is>
          <t>EMELCA</t>
        </is>
      </c>
      <c r="I9" t="inlineStr">
        <is>
          <t>CBLANCAC</t>
        </is>
      </c>
      <c r="J9" t="inlineStr">
        <is>
          <t>CASABLANCA</t>
        </is>
      </c>
      <c r="K9" t="n">
        <v>-126.11766171</v>
      </c>
      <c r="L9" t="inlineStr">
        <is>
          <t>CASABLANCA</t>
        </is>
      </c>
      <c r="M9" t="inlineStr">
        <is>
          <t>QUILLOTA</t>
        </is>
      </c>
      <c r="N9" t="n">
        <v>0.39444071788845</v>
      </c>
      <c r="O9" t="n">
        <v>49.745941</v>
      </c>
      <c r="P9" t="inlineStr">
        <is>
          <t>BS1C</t>
        </is>
      </c>
      <c r="Q9" t="n">
        <v>2</v>
      </c>
      <c r="W9" t="n">
        <v>2</v>
      </c>
      <c r="X9" t="n">
        <v>0</v>
      </c>
      <c r="AA9" t="inlineStr">
        <is>
          <t>PNP_6T_08-05-2020</t>
        </is>
      </c>
      <c r="AB9" t="inlineStr">
        <is>
          <t>PNCP_9T_12-08-2019</t>
        </is>
      </c>
      <c r="AC9" t="inlineStr">
        <is>
          <t>PNCP_4T_30-04-2013</t>
        </is>
      </c>
      <c r="AD9" t="inlineStr">
        <is>
          <t>QUILLOTA 220</t>
        </is>
      </c>
      <c r="AE9" t="n">
        <v>111.133</v>
      </c>
      <c r="AF9" t="n">
        <v>1.072776031070834</v>
      </c>
      <c r="AG9" t="n">
        <v>119.220818660995</v>
      </c>
      <c r="AH9" t="n">
        <v>694.38</v>
      </c>
      <c r="AI9" t="n">
        <v>0.875</v>
      </c>
      <c r="AJ9" t="n">
        <v>72.43648305409401</v>
      </c>
      <c r="AK9" t="n">
        <v>1.0077</v>
      </c>
      <c r="AL9" t="n">
        <v>72.994</v>
      </c>
      <c r="AM9" t="n">
        <v>8.9176</v>
      </c>
      <c r="AN9" t="n">
        <v>9.566587534677272</v>
      </c>
      <c r="AO9" t="n">
        <v>0.913</v>
      </c>
      <c r="AP9" t="n">
        <v>6064.919358776563</v>
      </c>
      <c r="AQ9" t="n">
        <v>1.025526742301459</v>
      </c>
      <c r="AR9" t="n">
        <v>6219.737</v>
      </c>
      <c r="AT9" t="inlineStr">
        <is>
          <t>PNP_19T_30-12-2020</t>
        </is>
      </c>
      <c r="AU9" t="inlineStr">
        <is>
          <t>PNCP_12T_10-08-2020</t>
        </is>
      </c>
      <c r="AV9" t="inlineStr">
        <is>
          <t>PNCP_4T_30-04-2013</t>
        </is>
      </c>
      <c r="AW9" t="inlineStr">
        <is>
          <t>QUILLOTA 220</t>
        </is>
      </c>
      <c r="AX9" t="n">
        <v>111.133</v>
      </c>
      <c r="AY9" t="n">
        <v>1.083385174100913</v>
      </c>
      <c r="AZ9" t="n">
        <v>120.3998445533567</v>
      </c>
      <c r="BA9" t="n">
        <v>801.49</v>
      </c>
      <c r="BB9" t="n">
        <v>0.905</v>
      </c>
      <c r="BC9" t="n">
        <v>87.33184062701827</v>
      </c>
      <c r="BD9" t="n">
        <v>1.0154</v>
      </c>
      <c r="BE9" t="n">
        <v>88.67700000000001</v>
      </c>
      <c r="BF9" t="n">
        <v>8.9176</v>
      </c>
      <c r="BG9" t="n">
        <v>0.77</v>
      </c>
      <c r="BH9" t="n">
        <v>5962.380796939026</v>
      </c>
      <c r="BI9" t="n">
        <v>1.01509319286872</v>
      </c>
      <c r="BJ9" t="n">
        <v>6052.3722</v>
      </c>
    </row>
    <row r="10">
      <c r="A10" t="n">
        <v>5777</v>
      </c>
      <c r="B10" t="inlineStr">
        <is>
          <t>01-03-2021</t>
        </is>
      </c>
      <c r="C10" t="n">
        <v>2021</v>
      </c>
      <c r="D10" t="n">
        <v>1</v>
      </c>
      <c r="E10" t="inlineStr">
        <is>
          <t>CAREN</t>
        </is>
      </c>
      <c r="F10" t="inlineStr">
        <is>
          <t>SUM_EMELCA_C</t>
        </is>
      </c>
      <c r="G10" t="inlineStr">
        <is>
          <t>C</t>
        </is>
      </c>
      <c r="H10" t="inlineStr">
        <is>
          <t>EMELCA</t>
        </is>
      </c>
      <c r="I10" t="inlineStr">
        <is>
          <t>CBLANCAC</t>
        </is>
      </c>
      <c r="J10" t="inlineStr">
        <is>
          <t>CASABLANCA</t>
        </is>
      </c>
      <c r="K10" t="n">
        <v>-87.61438248</v>
      </c>
      <c r="L10" t="inlineStr">
        <is>
          <t>CASABLANCA</t>
        </is>
      </c>
      <c r="M10" t="inlineStr">
        <is>
          <t>LOS MAQUIS</t>
        </is>
      </c>
      <c r="N10" t="n">
        <v>0.00865369674352</v>
      </c>
      <c r="O10" t="n">
        <v>0.758188</v>
      </c>
      <c r="P10" t="inlineStr">
        <is>
          <t>BS1C</t>
        </is>
      </c>
      <c r="Q10" t="n">
        <v>2</v>
      </c>
      <c r="W10" t="n">
        <v>2</v>
      </c>
      <c r="X10" t="n">
        <v>0</v>
      </c>
      <c r="AA10" t="inlineStr">
        <is>
          <t>PNP_16T_02-11-2020</t>
        </is>
      </c>
      <c r="AB10" t="inlineStr">
        <is>
          <t>PNCP_2T_10-02-2020</t>
        </is>
      </c>
      <c r="AC10" t="inlineStr">
        <is>
          <t>PNCP_4T_30-04-2013</t>
        </is>
      </c>
      <c r="AD10" t="inlineStr">
        <is>
          <t>LOS MAQUIS 220</t>
        </is>
      </c>
      <c r="AE10" t="n">
        <v>111.133</v>
      </c>
      <c r="AF10" t="n">
        <v>1.080821157758461</v>
      </c>
      <c r="AG10" t="n">
        <v>120.1148977251711</v>
      </c>
      <c r="AH10" t="n">
        <v>779.3099999999999</v>
      </c>
      <c r="AI10" t="n">
        <v>0.879</v>
      </c>
      <c r="AJ10" t="n">
        <v>82.2803252917125</v>
      </c>
      <c r="AK10" t="n">
        <v>1.0078</v>
      </c>
      <c r="AL10" t="n">
        <v>82.922</v>
      </c>
      <c r="AM10" t="n">
        <v>8.9176</v>
      </c>
      <c r="AN10" t="n">
        <v>9.638330756426855</v>
      </c>
      <c r="AO10" t="n">
        <v>0.804</v>
      </c>
      <c r="AP10" t="n">
        <v>6039.043023599974</v>
      </c>
      <c r="AQ10" t="n">
        <v>1</v>
      </c>
      <c r="AR10" t="n">
        <v>6039.043</v>
      </c>
      <c r="AT10" t="inlineStr">
        <is>
          <t>PNP_19T_30-12-2020</t>
        </is>
      </c>
      <c r="AU10" t="inlineStr">
        <is>
          <t>PNCP_12T_10-08-2020</t>
        </is>
      </c>
      <c r="AV10" t="inlineStr">
        <is>
          <t>PNCP_4T_30-04-2013</t>
        </is>
      </c>
      <c r="AW10" t="inlineStr">
        <is>
          <t>LOS MAQUIS 220</t>
        </is>
      </c>
      <c r="AX10" t="n">
        <v>111.133</v>
      </c>
      <c r="AY10" t="n">
        <v>1.083385174100913</v>
      </c>
      <c r="AZ10" t="n">
        <v>120.3998445533567</v>
      </c>
      <c r="BA10" t="n">
        <v>801.49</v>
      </c>
      <c r="BB10" t="n">
        <v>0.905</v>
      </c>
      <c r="BC10" t="n">
        <v>87.33184062701827</v>
      </c>
      <c r="BD10" t="n">
        <v>1.0471</v>
      </c>
      <c r="BE10" t="n">
        <v>91.44499999999999</v>
      </c>
      <c r="BF10" t="n">
        <v>8.9176</v>
      </c>
      <c r="BG10" t="n">
        <v>0.77</v>
      </c>
      <c r="BH10" t="n">
        <v>5962.380796939026</v>
      </c>
      <c r="BI10" t="n">
        <v>1</v>
      </c>
      <c r="BJ10" t="n">
        <v>5962.3808</v>
      </c>
    </row>
    <row r="11">
      <c r="A11" t="n">
        <v>5779</v>
      </c>
      <c r="B11" t="inlineStr">
        <is>
          <t>01-03-2021</t>
        </is>
      </c>
      <c r="C11" t="n">
        <v>2021</v>
      </c>
      <c r="D11" t="n">
        <v>1</v>
      </c>
      <c r="E11" t="inlineStr">
        <is>
          <t>CAREN</t>
        </is>
      </c>
      <c r="F11" t="inlineStr">
        <is>
          <t>SUM_EMELCA_C</t>
        </is>
      </c>
      <c r="G11" t="inlineStr">
        <is>
          <t>C</t>
        </is>
      </c>
      <c r="H11" t="inlineStr">
        <is>
          <t>EMELCA</t>
        </is>
      </c>
      <c r="I11" t="inlineStr">
        <is>
          <t>CBLANCAC</t>
        </is>
      </c>
      <c r="J11" t="inlineStr">
        <is>
          <t>CASABLANCA</t>
        </is>
      </c>
      <c r="K11" t="n">
        <v>-87.61438248</v>
      </c>
      <c r="L11" t="inlineStr">
        <is>
          <t>CASABLANCA</t>
        </is>
      </c>
      <c r="M11" t="inlineStr">
        <is>
          <t>MELIPILLA</t>
        </is>
      </c>
      <c r="N11" t="n">
        <v>0.7405044041495999</v>
      </c>
      <c r="O11" t="n">
        <v>64.87883600000001</v>
      </c>
      <c r="P11" t="inlineStr">
        <is>
          <t>BS1C</t>
        </is>
      </c>
      <c r="Q11" t="n">
        <v>2</v>
      </c>
      <c r="W11" t="n">
        <v>2</v>
      </c>
      <c r="X11" t="n">
        <v>0</v>
      </c>
      <c r="AA11" t="inlineStr">
        <is>
          <t>PNP_16T_02-11-2020</t>
        </is>
      </c>
      <c r="AB11" t="inlineStr">
        <is>
          <t>PNCP_2T_10-02-2020</t>
        </is>
      </c>
      <c r="AC11" t="inlineStr">
        <is>
          <t>PNCP_4T_30-04-2013</t>
        </is>
      </c>
      <c r="AD11" t="inlineStr">
        <is>
          <t>MELIPILLA 220</t>
        </is>
      </c>
      <c r="AE11" t="n">
        <v>111.133</v>
      </c>
      <c r="AF11" t="n">
        <v>1.080821157758461</v>
      </c>
      <c r="AG11" t="n">
        <v>120.1148977251711</v>
      </c>
      <c r="AH11" t="n">
        <v>779.3099999999999</v>
      </c>
      <c r="AI11" t="n">
        <v>0.879</v>
      </c>
      <c r="AJ11" t="n">
        <v>82.2803252917125</v>
      </c>
      <c r="AK11" t="n">
        <v>0.9899</v>
      </c>
      <c r="AL11" t="n">
        <v>81.449</v>
      </c>
      <c r="AM11" t="n">
        <v>8.9176</v>
      </c>
      <c r="AN11" t="n">
        <v>9.638330756426855</v>
      </c>
      <c r="AO11" t="n">
        <v>0.804</v>
      </c>
      <c r="AP11" t="n">
        <v>6039.043023599974</v>
      </c>
      <c r="AQ11" t="n">
        <v>0.9919953143303397</v>
      </c>
      <c r="AR11" t="n">
        <v>5990.7024</v>
      </c>
      <c r="AT11" t="inlineStr">
        <is>
          <t>PNP_19T_30-12-2020</t>
        </is>
      </c>
      <c r="AU11" t="inlineStr">
        <is>
          <t>PNCP_12T_10-08-2020</t>
        </is>
      </c>
      <c r="AV11" t="inlineStr">
        <is>
          <t>PNCP_4T_30-04-2013</t>
        </is>
      </c>
      <c r="AW11" t="inlineStr">
        <is>
          <t>MELIPILLA 220</t>
        </is>
      </c>
      <c r="AX11" t="n">
        <v>111.133</v>
      </c>
      <c r="AY11" t="n">
        <v>1.083385174100913</v>
      </c>
      <c r="AZ11" t="n">
        <v>120.3998445533567</v>
      </c>
      <c r="BA11" t="n">
        <v>801.49</v>
      </c>
      <c r="BB11" t="n">
        <v>0.905</v>
      </c>
      <c r="BC11" t="n">
        <v>87.33184062701827</v>
      </c>
      <c r="BD11" t="n">
        <v>0.9938</v>
      </c>
      <c r="BE11" t="n">
        <v>86.79000000000001</v>
      </c>
      <c r="BF11" t="n">
        <v>8.9176</v>
      </c>
      <c r="BG11" t="n">
        <v>0.77</v>
      </c>
      <c r="BH11" t="n">
        <v>5962.380796939026</v>
      </c>
      <c r="BI11" t="n">
        <v>0.9841858648965248</v>
      </c>
      <c r="BJ11" t="n">
        <v>5868.0909</v>
      </c>
    </row>
    <row r="12">
      <c r="A12" t="n">
        <v>5781</v>
      </c>
      <c r="B12" t="inlineStr">
        <is>
          <t>01-03-2021</t>
        </is>
      </c>
      <c r="C12" t="n">
        <v>2021</v>
      </c>
      <c r="D12" t="n">
        <v>1</v>
      </c>
      <c r="E12" t="inlineStr">
        <is>
          <t>CAREN</t>
        </is>
      </c>
      <c r="F12" t="inlineStr">
        <is>
          <t>SUM_EMELCA_C</t>
        </is>
      </c>
      <c r="G12" t="inlineStr">
        <is>
          <t>C</t>
        </is>
      </c>
      <c r="H12" t="inlineStr">
        <is>
          <t>EMELCA</t>
        </is>
      </c>
      <c r="I12" t="inlineStr">
        <is>
          <t>CBLANCAC</t>
        </is>
      </c>
      <c r="J12" t="inlineStr">
        <is>
          <t>CASABLANCA</t>
        </is>
      </c>
      <c r="K12" t="n">
        <v>-87.61438248</v>
      </c>
      <c r="L12" t="inlineStr">
        <is>
          <t>CASABLANCA</t>
        </is>
      </c>
      <c r="M12" t="inlineStr">
        <is>
          <t>NOGALES</t>
        </is>
      </c>
      <c r="N12" t="n">
        <v>0.0174152412888</v>
      </c>
      <c r="O12" t="n">
        <v>1.525826</v>
      </c>
      <c r="P12" t="inlineStr">
        <is>
          <t>BS1C</t>
        </is>
      </c>
      <c r="Q12" t="n">
        <v>2</v>
      </c>
      <c r="W12" t="n">
        <v>2</v>
      </c>
      <c r="X12" t="n">
        <v>0</v>
      </c>
      <c r="AA12" t="inlineStr">
        <is>
          <t>PNP_16T_02-11-2020</t>
        </is>
      </c>
      <c r="AB12" t="inlineStr">
        <is>
          <t>PNCP_2T_10-02-2020</t>
        </is>
      </c>
      <c r="AC12" t="inlineStr">
        <is>
          <t>PNCP_4T_30-04-2013</t>
        </is>
      </c>
      <c r="AD12" t="inlineStr">
        <is>
          <t>NOGALES 220</t>
        </is>
      </c>
      <c r="AE12" t="n">
        <v>111.133</v>
      </c>
      <c r="AF12" t="n">
        <v>1.080821157758461</v>
      </c>
      <c r="AG12" t="n">
        <v>120.1148977251711</v>
      </c>
      <c r="AH12" t="n">
        <v>779.3099999999999</v>
      </c>
      <c r="AI12" t="n">
        <v>0.879</v>
      </c>
      <c r="AJ12" t="n">
        <v>82.2803252917125</v>
      </c>
      <c r="AK12" t="n">
        <v>0.9656</v>
      </c>
      <c r="AL12" t="n">
        <v>79.45</v>
      </c>
      <c r="AM12" t="n">
        <v>8.9176</v>
      </c>
      <c r="AN12" t="n">
        <v>9.638330756426855</v>
      </c>
      <c r="AO12" t="n">
        <v>0.804</v>
      </c>
      <c r="AP12" t="n">
        <v>6039.043023599974</v>
      </c>
      <c r="AQ12" t="n">
        <v>0.9895537525354969</v>
      </c>
      <c r="AR12" t="n">
        <v>5975.9577</v>
      </c>
      <c r="AT12" t="inlineStr">
        <is>
          <t>PNP_19T_30-12-2020</t>
        </is>
      </c>
      <c r="AU12" t="inlineStr">
        <is>
          <t>PNCP_12T_10-08-2020</t>
        </is>
      </c>
      <c r="AV12" t="inlineStr">
        <is>
          <t>PNCP_4T_30-04-2013</t>
        </is>
      </c>
      <c r="AW12" t="inlineStr">
        <is>
          <t>NOGALES 220</t>
        </is>
      </c>
      <c r="AX12" t="n">
        <v>111.133</v>
      </c>
      <c r="AY12" t="n">
        <v>1.083385174100913</v>
      </c>
      <c r="AZ12" t="n">
        <v>120.3998445533567</v>
      </c>
      <c r="BA12" t="n">
        <v>801.49</v>
      </c>
      <c r="BB12" t="n">
        <v>0.905</v>
      </c>
      <c r="BC12" t="n">
        <v>87.33184062701827</v>
      </c>
      <c r="BD12" t="n">
        <v>0.9455</v>
      </c>
      <c r="BE12" t="n">
        <v>82.572</v>
      </c>
      <c r="BF12" t="n">
        <v>8.9176</v>
      </c>
      <c r="BG12" t="n">
        <v>0.77</v>
      </c>
      <c r="BH12" t="n">
        <v>5962.380796939026</v>
      </c>
      <c r="BI12" t="n">
        <v>1.000304259634888</v>
      </c>
      <c r="BJ12" t="n">
        <v>5964.1949</v>
      </c>
    </row>
    <row r="13">
      <c r="A13" t="n">
        <v>5783</v>
      </c>
      <c r="B13" t="inlineStr">
        <is>
          <t>01-03-2021</t>
        </is>
      </c>
      <c r="C13" t="n">
        <v>2021</v>
      </c>
      <c r="D13" t="n">
        <v>1</v>
      </c>
      <c r="E13" t="inlineStr">
        <is>
          <t>CAREN</t>
        </is>
      </c>
      <c r="F13" t="inlineStr">
        <is>
          <t>SUM_EMELCA_C</t>
        </is>
      </c>
      <c r="G13" t="inlineStr">
        <is>
          <t>C</t>
        </is>
      </c>
      <c r="H13" t="inlineStr">
        <is>
          <t>EMELCA</t>
        </is>
      </c>
      <c r="I13" t="inlineStr">
        <is>
          <t>CBLANCAC</t>
        </is>
      </c>
      <c r="J13" t="inlineStr">
        <is>
          <t>CASABLANCA</t>
        </is>
      </c>
      <c r="K13" t="n">
        <v>-87.61438248</v>
      </c>
      <c r="L13" t="inlineStr">
        <is>
          <t>CASABLANCA</t>
        </is>
      </c>
      <c r="M13" t="inlineStr">
        <is>
          <t>QUILLOTA</t>
        </is>
      </c>
      <c r="N13" t="n">
        <v>0.39444071788845</v>
      </c>
      <c r="O13" t="n">
        <v>34.55868</v>
      </c>
      <c r="P13" t="inlineStr">
        <is>
          <t>BS1C</t>
        </is>
      </c>
      <c r="Q13" t="n">
        <v>2</v>
      </c>
      <c r="W13" t="n">
        <v>2</v>
      </c>
      <c r="X13" t="n">
        <v>0</v>
      </c>
      <c r="AA13" t="inlineStr">
        <is>
          <t>PNP_16T_02-11-2020</t>
        </is>
      </c>
      <c r="AB13" t="inlineStr">
        <is>
          <t>PNCP_2T_10-02-2020</t>
        </is>
      </c>
      <c r="AC13" t="inlineStr">
        <is>
          <t>PNCP_4T_30-04-2013</t>
        </is>
      </c>
      <c r="AD13" t="inlineStr">
        <is>
          <t>QUILLOTA 220</t>
        </is>
      </c>
      <c r="AE13" t="n">
        <v>111.133</v>
      </c>
      <c r="AF13" t="n">
        <v>1.080821157758461</v>
      </c>
      <c r="AG13" t="n">
        <v>120.1148977251711</v>
      </c>
      <c r="AH13" t="n">
        <v>779.3099999999999</v>
      </c>
      <c r="AI13" t="n">
        <v>0.879</v>
      </c>
      <c r="AJ13" t="n">
        <v>82.2803252917125</v>
      </c>
      <c r="AK13" t="n">
        <v>1.0097</v>
      </c>
      <c r="AL13" t="n">
        <v>83.078</v>
      </c>
      <c r="AM13" t="n">
        <v>8.9176</v>
      </c>
      <c r="AN13" t="n">
        <v>9.638330756426855</v>
      </c>
      <c r="AO13" t="n">
        <v>0.804</v>
      </c>
      <c r="AP13" t="n">
        <v>6039.043023599974</v>
      </c>
      <c r="AQ13" t="n">
        <v>1.02765397082658</v>
      </c>
      <c r="AR13" t="n">
        <v>6206.0465</v>
      </c>
      <c r="AT13" t="inlineStr">
        <is>
          <t>PNP_19T_30-12-2020</t>
        </is>
      </c>
      <c r="AU13" t="inlineStr">
        <is>
          <t>PNCP_12T_10-08-2020</t>
        </is>
      </c>
      <c r="AV13" t="inlineStr">
        <is>
          <t>PNCP_4T_30-04-2013</t>
        </is>
      </c>
      <c r="AW13" t="inlineStr">
        <is>
          <t>QUILLOTA 220</t>
        </is>
      </c>
      <c r="AX13" t="n">
        <v>111.133</v>
      </c>
      <c r="AY13" t="n">
        <v>1.083385174100913</v>
      </c>
      <c r="AZ13" t="n">
        <v>120.3998445533567</v>
      </c>
      <c r="BA13" t="n">
        <v>801.49</v>
      </c>
      <c r="BB13" t="n">
        <v>0.905</v>
      </c>
      <c r="BC13" t="n">
        <v>87.33184062701827</v>
      </c>
      <c r="BD13" t="n">
        <v>1.0154</v>
      </c>
      <c r="BE13" t="n">
        <v>88.67700000000001</v>
      </c>
      <c r="BF13" t="n">
        <v>8.9176</v>
      </c>
      <c r="BG13" t="n">
        <v>0.77</v>
      </c>
      <c r="BH13" t="n">
        <v>5962.380796939026</v>
      </c>
      <c r="BI13" t="n">
        <v>1.01509319286872</v>
      </c>
      <c r="BJ13" t="n">
        <v>6052.3722</v>
      </c>
    </row>
    <row r="14">
      <c r="A14" t="n">
        <v>4937</v>
      </c>
      <c r="B14" t="inlineStr">
        <is>
          <t>01-10-2020</t>
        </is>
      </c>
      <c r="C14" t="n">
        <v>2020</v>
      </c>
      <c r="D14" t="n">
        <v>1</v>
      </c>
      <c r="E14" t="inlineStr">
        <is>
          <t>CAREN</t>
        </is>
      </c>
      <c r="F14" t="inlineStr">
        <is>
          <t>SUM_EMELCA_C</t>
        </is>
      </c>
      <c r="G14" t="inlineStr">
        <is>
          <t>C</t>
        </is>
      </c>
      <c r="H14" t="inlineStr">
        <is>
          <t>EMELCA</t>
        </is>
      </c>
      <c r="I14" t="inlineStr">
        <is>
          <t>CBLANCAC</t>
        </is>
      </c>
      <c r="J14" t="inlineStr">
        <is>
          <t>CASABLANCA</t>
        </is>
      </c>
      <c r="K14" t="n">
        <v>-108.77820239</v>
      </c>
      <c r="L14" t="inlineStr">
        <is>
          <t>CASABLANCA</t>
        </is>
      </c>
      <c r="M14" t="inlineStr">
        <is>
          <t>LOS MAQUIS</t>
        </is>
      </c>
      <c r="N14" t="n">
        <v>0.00865369674352</v>
      </c>
      <c r="O14" t="n">
        <v>0.941334</v>
      </c>
      <c r="P14" t="inlineStr">
        <is>
          <t>BS1C</t>
        </is>
      </c>
      <c r="Q14" t="n">
        <v>2</v>
      </c>
      <c r="V14" t="n">
        <v>488.192</v>
      </c>
      <c r="W14" t="n">
        <v>2</v>
      </c>
      <c r="X14" t="n">
        <v>0.000146313186</v>
      </c>
      <c r="Y14" t="n">
        <v>0.142858</v>
      </c>
      <c r="Z14" t="n">
        <v>0.134477</v>
      </c>
      <c r="AA14" t="inlineStr">
        <is>
          <t>PNP_6T_08-05-2020</t>
        </is>
      </c>
      <c r="AB14" t="inlineStr">
        <is>
          <t>PNCP_9T_12-08-2019</t>
        </is>
      </c>
      <c r="AC14" t="inlineStr">
        <is>
          <t>PNCP_4T_30-04-2013</t>
        </is>
      </c>
      <c r="AD14" t="inlineStr">
        <is>
          <t>LOS MAQUIS 220</t>
        </is>
      </c>
      <c r="AE14" t="n">
        <v>111.133</v>
      </c>
      <c r="AF14" t="n">
        <v>1.072776031070834</v>
      </c>
      <c r="AG14" t="n">
        <v>119.220818660995</v>
      </c>
      <c r="AH14" t="n">
        <v>694.38</v>
      </c>
      <c r="AI14" t="n">
        <v>0.875</v>
      </c>
      <c r="AJ14" t="n">
        <v>72.43648305409401</v>
      </c>
      <c r="AK14" t="n">
        <v>1.0034</v>
      </c>
      <c r="AL14" t="n">
        <v>72.68300000000001</v>
      </c>
      <c r="AM14" t="n">
        <v>8.9176</v>
      </c>
      <c r="AN14" t="n">
        <v>9.566587534677272</v>
      </c>
      <c r="AO14" t="n">
        <v>0.913</v>
      </c>
      <c r="AP14" t="n">
        <v>6064.919358776563</v>
      </c>
      <c r="AQ14" t="n">
        <v>1</v>
      </c>
      <c r="AR14" t="n">
        <v>6064.9194</v>
      </c>
      <c r="AS14" t="n">
        <v>9.774191791000002</v>
      </c>
      <c r="AT14" t="inlineStr">
        <is>
          <t>PNP_16T_02-11-2020</t>
        </is>
      </c>
      <c r="AU14" t="inlineStr">
        <is>
          <t>PNCP_2T_10-02-2020</t>
        </is>
      </c>
      <c r="AV14" t="inlineStr">
        <is>
          <t>PNCP_4T_30-04-2013</t>
        </is>
      </c>
      <c r="AW14" t="inlineStr">
        <is>
          <t>LOS MAQUIS 220</t>
        </is>
      </c>
      <c r="AX14" t="n">
        <v>111.133</v>
      </c>
      <c r="AY14" t="n">
        <v>1.080821157758461</v>
      </c>
      <c r="AZ14" t="n">
        <v>120.1148977251711</v>
      </c>
      <c r="BA14" t="n">
        <v>779.3099999999999</v>
      </c>
      <c r="BB14" t="n">
        <v>0.879</v>
      </c>
      <c r="BC14" t="n">
        <v>82.2803252917125</v>
      </c>
      <c r="BD14" t="n">
        <v>1.0078</v>
      </c>
      <c r="BE14" t="n">
        <v>82.922</v>
      </c>
      <c r="BF14" t="n">
        <v>8.9176</v>
      </c>
      <c r="BG14" t="n">
        <v>0.804</v>
      </c>
      <c r="BH14" t="n">
        <v>6039.043023599974</v>
      </c>
      <c r="BI14" t="n">
        <v>1</v>
      </c>
      <c r="BJ14" t="n">
        <v>6039.043</v>
      </c>
      <c r="BK14" t="n">
        <v>11.151101794</v>
      </c>
    </row>
    <row r="15">
      <c r="A15" t="n">
        <v>4939</v>
      </c>
      <c r="B15" t="inlineStr">
        <is>
          <t>01-10-2020</t>
        </is>
      </c>
      <c r="C15" t="n">
        <v>2020</v>
      </c>
      <c r="D15" t="n">
        <v>1</v>
      </c>
      <c r="E15" t="inlineStr">
        <is>
          <t>CAREN</t>
        </is>
      </c>
      <c r="F15" t="inlineStr">
        <is>
          <t>SUM_EMELCA_C</t>
        </is>
      </c>
      <c r="G15" t="inlineStr">
        <is>
          <t>C</t>
        </is>
      </c>
      <c r="H15" t="inlineStr">
        <is>
          <t>EMELCA</t>
        </is>
      </c>
      <c r="I15" t="inlineStr">
        <is>
          <t>CBLANCAC</t>
        </is>
      </c>
      <c r="J15" t="inlineStr">
        <is>
          <t>CASABLANCA</t>
        </is>
      </c>
      <c r="K15" t="n">
        <v>-108.77820239</v>
      </c>
      <c r="L15" t="inlineStr">
        <is>
          <t>CASABLANCA</t>
        </is>
      </c>
      <c r="M15" t="inlineStr">
        <is>
          <t>MELIPILLA</t>
        </is>
      </c>
      <c r="N15" t="n">
        <v>0.7405044041495999</v>
      </c>
      <c r="O15" t="n">
        <v>80.550738</v>
      </c>
      <c r="P15" t="inlineStr">
        <is>
          <t>BS1C</t>
        </is>
      </c>
      <c r="Q15" t="n">
        <v>2</v>
      </c>
      <c r="V15" t="n">
        <v>488.192</v>
      </c>
      <c r="W15" t="n">
        <v>2</v>
      </c>
      <c r="X15" t="n">
        <v>0.000146313186</v>
      </c>
      <c r="Y15" t="n">
        <v>0.142858</v>
      </c>
      <c r="Z15" t="n">
        <v>11.507317</v>
      </c>
      <c r="AA15" t="inlineStr">
        <is>
          <t>PNP_6T_08-05-2020</t>
        </is>
      </c>
      <c r="AB15" t="inlineStr">
        <is>
          <t>PNCP_9T_12-08-2019</t>
        </is>
      </c>
      <c r="AC15" t="inlineStr">
        <is>
          <t>PNCP_4T_30-04-2013</t>
        </is>
      </c>
      <c r="AD15" t="inlineStr">
        <is>
          <t>MELIPILLA 220</t>
        </is>
      </c>
      <c r="AE15" t="n">
        <v>111.133</v>
      </c>
      <c r="AF15" t="n">
        <v>1.072776031070834</v>
      </c>
      <c r="AG15" t="n">
        <v>119.220818660995</v>
      </c>
      <c r="AH15" t="n">
        <v>694.38</v>
      </c>
      <c r="AI15" t="n">
        <v>0.875</v>
      </c>
      <c r="AJ15" t="n">
        <v>72.43648305409401</v>
      </c>
      <c r="AK15" t="n">
        <v>1.0179</v>
      </c>
      <c r="AL15" t="n">
        <v>73.733</v>
      </c>
      <c r="AM15" t="n">
        <v>8.9176</v>
      </c>
      <c r="AN15" t="n">
        <v>9.566587534677272</v>
      </c>
      <c r="AO15" t="n">
        <v>0.913</v>
      </c>
      <c r="AP15" t="n">
        <v>6064.919358776563</v>
      </c>
      <c r="AQ15" t="n">
        <v>0.9897500976181179</v>
      </c>
      <c r="AR15" t="n">
        <v>6002.7545</v>
      </c>
      <c r="AS15" t="n">
        <v>848.4690043610001</v>
      </c>
      <c r="AT15" t="inlineStr">
        <is>
          <t>PNP_16T_02-11-2020</t>
        </is>
      </c>
      <c r="AU15" t="inlineStr">
        <is>
          <t>PNCP_2T_10-02-2020</t>
        </is>
      </c>
      <c r="AV15" t="inlineStr">
        <is>
          <t>PNCP_4T_30-04-2013</t>
        </is>
      </c>
      <c r="AW15" t="inlineStr">
        <is>
          <t>MELIPILLA 220</t>
        </is>
      </c>
      <c r="AX15" t="n">
        <v>111.133</v>
      </c>
      <c r="AY15" t="n">
        <v>1.080821157758461</v>
      </c>
      <c r="AZ15" t="n">
        <v>120.1148977251711</v>
      </c>
      <c r="BA15" t="n">
        <v>779.3099999999999</v>
      </c>
      <c r="BB15" t="n">
        <v>0.879</v>
      </c>
      <c r="BC15" t="n">
        <v>82.2803252917125</v>
      </c>
      <c r="BD15" t="n">
        <v>0.9899</v>
      </c>
      <c r="BE15" t="n">
        <v>81.449</v>
      </c>
      <c r="BF15" t="n">
        <v>8.9176</v>
      </c>
      <c r="BG15" t="n">
        <v>0.804</v>
      </c>
      <c r="BH15" t="n">
        <v>6039.043023599974</v>
      </c>
      <c r="BI15" t="n">
        <v>0.9919953143303397</v>
      </c>
      <c r="BJ15" t="n">
        <v>5990.7024</v>
      </c>
      <c r="BK15" t="n">
        <v>937.259462333</v>
      </c>
    </row>
    <row r="16">
      <c r="A16" t="n">
        <v>4941</v>
      </c>
      <c r="B16" t="inlineStr">
        <is>
          <t>01-10-2020</t>
        </is>
      </c>
      <c r="C16" t="n">
        <v>2020</v>
      </c>
      <c r="D16" t="n">
        <v>1</v>
      </c>
      <c r="E16" t="inlineStr">
        <is>
          <t>CAREN</t>
        </is>
      </c>
      <c r="F16" t="inlineStr">
        <is>
          <t>SUM_EMELCA_C</t>
        </is>
      </c>
      <c r="G16" t="inlineStr">
        <is>
          <t>C</t>
        </is>
      </c>
      <c r="H16" t="inlineStr">
        <is>
          <t>EMELCA</t>
        </is>
      </c>
      <c r="I16" t="inlineStr">
        <is>
          <t>CBLANCAC</t>
        </is>
      </c>
      <c r="J16" t="inlineStr">
        <is>
          <t>CASABLANCA</t>
        </is>
      </c>
      <c r="K16" t="n">
        <v>-108.77820239</v>
      </c>
      <c r="L16" t="inlineStr">
        <is>
          <t>CASABLANCA</t>
        </is>
      </c>
      <c r="M16" t="inlineStr">
        <is>
          <t>NOGALES</t>
        </is>
      </c>
      <c r="N16" t="n">
        <v>0.0174152412888</v>
      </c>
      <c r="O16" t="n">
        <v>1.894399</v>
      </c>
      <c r="P16" t="inlineStr">
        <is>
          <t>BS1C</t>
        </is>
      </c>
      <c r="Q16" t="n">
        <v>2</v>
      </c>
      <c r="V16" t="n">
        <v>488.192</v>
      </c>
      <c r="W16" t="n">
        <v>2</v>
      </c>
      <c r="X16" t="n">
        <v>0.000146313186</v>
      </c>
      <c r="Y16" t="n">
        <v>0.142858</v>
      </c>
      <c r="Z16" t="n">
        <v>0.27063</v>
      </c>
      <c r="AA16" t="inlineStr">
        <is>
          <t>PNP_6T_08-05-2020</t>
        </is>
      </c>
      <c r="AB16" t="inlineStr">
        <is>
          <t>PNCP_9T_12-08-2019</t>
        </is>
      </c>
      <c r="AC16" t="inlineStr">
        <is>
          <t>PNCP_4T_30-04-2013</t>
        </is>
      </c>
      <c r="AD16" t="inlineStr">
        <is>
          <t>NOGALES 220</t>
        </is>
      </c>
      <c r="AE16" t="n">
        <v>111.133</v>
      </c>
      <c r="AF16" t="n">
        <v>1.072776031070834</v>
      </c>
      <c r="AG16" t="n">
        <v>119.220818660995</v>
      </c>
      <c r="AH16" t="n">
        <v>694.38</v>
      </c>
      <c r="AI16" t="n">
        <v>0.875</v>
      </c>
      <c r="AJ16" t="n">
        <v>72.43648305409401</v>
      </c>
      <c r="AK16" t="n">
        <v>0.9666</v>
      </c>
      <c r="AL16" t="n">
        <v>70.017</v>
      </c>
      <c r="AM16" t="n">
        <v>8.9176</v>
      </c>
      <c r="AN16" t="n">
        <v>9.566587534677272</v>
      </c>
      <c r="AO16" t="n">
        <v>0.913</v>
      </c>
      <c r="AP16" t="n">
        <v>6064.919358776563</v>
      </c>
      <c r="AQ16" t="n">
        <v>0.9831643002028398</v>
      </c>
      <c r="AR16" t="n">
        <v>5962.8122</v>
      </c>
      <c r="AS16" t="n">
        <v>18.94870071</v>
      </c>
      <c r="AT16" t="inlineStr">
        <is>
          <t>PNP_16T_02-11-2020</t>
        </is>
      </c>
      <c r="AU16" t="inlineStr">
        <is>
          <t>PNCP_2T_10-02-2020</t>
        </is>
      </c>
      <c r="AV16" t="inlineStr">
        <is>
          <t>PNCP_4T_30-04-2013</t>
        </is>
      </c>
      <c r="AW16" t="inlineStr">
        <is>
          <t>NOGALES 220</t>
        </is>
      </c>
      <c r="AX16" t="n">
        <v>111.133</v>
      </c>
      <c r="AY16" t="n">
        <v>1.080821157758461</v>
      </c>
      <c r="AZ16" t="n">
        <v>120.1148977251711</v>
      </c>
      <c r="BA16" t="n">
        <v>779.3099999999999</v>
      </c>
      <c r="BB16" t="n">
        <v>0.879</v>
      </c>
      <c r="BC16" t="n">
        <v>82.2803252917125</v>
      </c>
      <c r="BD16" t="n">
        <v>0.9656</v>
      </c>
      <c r="BE16" t="n">
        <v>79.45</v>
      </c>
      <c r="BF16" t="n">
        <v>8.9176</v>
      </c>
      <c r="BG16" t="n">
        <v>0.804</v>
      </c>
      <c r="BH16" t="n">
        <v>6039.043023599974</v>
      </c>
      <c r="BI16" t="n">
        <v>0.9895537525354969</v>
      </c>
      <c r="BJ16" t="n">
        <v>5975.9577</v>
      </c>
      <c r="BK16" t="n">
        <v>21.5015535</v>
      </c>
    </row>
    <row r="17">
      <c r="A17" t="n">
        <v>4943</v>
      </c>
      <c r="B17" t="inlineStr">
        <is>
          <t>01-10-2020</t>
        </is>
      </c>
      <c r="C17" t="n">
        <v>2020</v>
      </c>
      <c r="D17" t="n">
        <v>1</v>
      </c>
      <c r="E17" t="inlineStr">
        <is>
          <t>CAREN</t>
        </is>
      </c>
      <c r="F17" t="inlineStr">
        <is>
          <t>SUM_EMELCA_C</t>
        </is>
      </c>
      <c r="G17" t="inlineStr">
        <is>
          <t>C</t>
        </is>
      </c>
      <c r="H17" t="inlineStr">
        <is>
          <t>EMELCA</t>
        </is>
      </c>
      <c r="I17" t="inlineStr">
        <is>
          <t>CBLANCAC</t>
        </is>
      </c>
      <c r="J17" t="inlineStr">
        <is>
          <t>CASABLANCA</t>
        </is>
      </c>
      <c r="K17" t="n">
        <v>-108.77820239</v>
      </c>
      <c r="L17" t="inlineStr">
        <is>
          <t>CASABLANCA</t>
        </is>
      </c>
      <c r="M17" t="inlineStr">
        <is>
          <t>QUILLOTA</t>
        </is>
      </c>
      <c r="N17" t="n">
        <v>0.39444071788845</v>
      </c>
      <c r="O17" t="n">
        <v>42.906552</v>
      </c>
      <c r="P17" t="inlineStr">
        <is>
          <t>BS1C</t>
        </is>
      </c>
      <c r="Q17" t="n">
        <v>2</v>
      </c>
      <c r="V17" t="n">
        <v>488.192</v>
      </c>
      <c r="W17" t="n">
        <v>2</v>
      </c>
      <c r="X17" t="n">
        <v>0.000146313186</v>
      </c>
      <c r="Y17" t="n">
        <v>0.142858</v>
      </c>
      <c r="Z17" t="n">
        <v>6.129544</v>
      </c>
      <c r="AA17" t="inlineStr">
        <is>
          <t>PNP_6T_08-05-2020</t>
        </is>
      </c>
      <c r="AB17" t="inlineStr">
        <is>
          <t>PNCP_9T_12-08-2019</t>
        </is>
      </c>
      <c r="AC17" t="inlineStr">
        <is>
          <t>PNCP_4T_30-04-2013</t>
        </is>
      </c>
      <c r="AD17" t="inlineStr">
        <is>
          <t>QUILLOTA 220</t>
        </is>
      </c>
      <c r="AE17" t="n">
        <v>111.133</v>
      </c>
      <c r="AF17" t="n">
        <v>1.072776031070834</v>
      </c>
      <c r="AG17" t="n">
        <v>119.220818660995</v>
      </c>
      <c r="AH17" t="n">
        <v>694.38</v>
      </c>
      <c r="AI17" t="n">
        <v>0.875</v>
      </c>
      <c r="AJ17" t="n">
        <v>72.43648305409401</v>
      </c>
      <c r="AK17" t="n">
        <v>1.0077</v>
      </c>
      <c r="AL17" t="n">
        <v>72.994</v>
      </c>
      <c r="AM17" t="n">
        <v>8.9176</v>
      </c>
      <c r="AN17" t="n">
        <v>9.566587534677272</v>
      </c>
      <c r="AO17" t="n">
        <v>0.913</v>
      </c>
      <c r="AP17" t="n">
        <v>6064.919358776563</v>
      </c>
      <c r="AQ17" t="n">
        <v>1.025526742301459</v>
      </c>
      <c r="AR17" t="n">
        <v>6219.737</v>
      </c>
      <c r="AS17" t="n">
        <v>447.419934736</v>
      </c>
      <c r="AT17" t="inlineStr">
        <is>
          <t>PNP_16T_02-11-2020</t>
        </is>
      </c>
      <c r="AU17" t="inlineStr">
        <is>
          <t>PNCP_2T_10-02-2020</t>
        </is>
      </c>
      <c r="AV17" t="inlineStr">
        <is>
          <t>PNCP_4T_30-04-2013</t>
        </is>
      </c>
      <c r="AW17" t="inlineStr">
        <is>
          <t>QUILLOTA 220</t>
        </is>
      </c>
      <c r="AX17" t="n">
        <v>111.133</v>
      </c>
      <c r="AY17" t="n">
        <v>1.080821157758461</v>
      </c>
      <c r="AZ17" t="n">
        <v>120.1148977251711</v>
      </c>
      <c r="BA17" t="n">
        <v>779.3099999999999</v>
      </c>
      <c r="BB17" t="n">
        <v>0.879</v>
      </c>
      <c r="BC17" t="n">
        <v>82.2803252917125</v>
      </c>
      <c r="BD17" t="n">
        <v>1.0097</v>
      </c>
      <c r="BE17" t="n">
        <v>83.078</v>
      </c>
      <c r="BF17" t="n">
        <v>8.9176</v>
      </c>
      <c r="BG17" t="n">
        <v>0.804</v>
      </c>
      <c r="BH17" t="n">
        <v>6039.043023599974</v>
      </c>
      <c r="BI17" t="n">
        <v>1.02765397082658</v>
      </c>
      <c r="BJ17" t="n">
        <v>6206.0465</v>
      </c>
      <c r="BK17" t="n">
        <v>509.230256432</v>
      </c>
    </row>
    <row r="18">
      <c r="A18" t="n">
        <v>5105</v>
      </c>
      <c r="B18" t="inlineStr">
        <is>
          <t>01-11-2020</t>
        </is>
      </c>
      <c r="C18" t="n">
        <v>2020</v>
      </c>
      <c r="D18" t="n">
        <v>1</v>
      </c>
      <c r="E18" t="inlineStr">
        <is>
          <t>CAREN</t>
        </is>
      </c>
      <c r="F18" t="inlineStr">
        <is>
          <t>SUM_EMELCA_C</t>
        </is>
      </c>
      <c r="G18" t="inlineStr">
        <is>
          <t>C</t>
        </is>
      </c>
      <c r="H18" t="inlineStr">
        <is>
          <t>EMELCA</t>
        </is>
      </c>
      <c r="I18" t="inlineStr">
        <is>
          <t>CBLANCAC</t>
        </is>
      </c>
      <c r="J18" t="inlineStr">
        <is>
          <t>CASABLANCA</t>
        </is>
      </c>
      <c r="K18" t="n">
        <v>-87.52729094</v>
      </c>
      <c r="L18" t="inlineStr">
        <is>
          <t>CASABLANCA</t>
        </is>
      </c>
      <c r="M18" t="inlineStr">
        <is>
          <t>LOS MAQUIS</t>
        </is>
      </c>
      <c r="N18" t="n">
        <v>0.00865369674352</v>
      </c>
      <c r="O18" t="n">
        <v>0.757435</v>
      </c>
      <c r="P18" t="inlineStr">
        <is>
          <t>BS1C</t>
        </is>
      </c>
      <c r="Q18" t="n">
        <v>2</v>
      </c>
      <c r="V18" t="n">
        <v>488.192</v>
      </c>
      <c r="W18" t="n">
        <v>2</v>
      </c>
      <c r="X18" t="n">
        <v>0.000146313186</v>
      </c>
      <c r="Y18" t="n">
        <v>0.142858</v>
      </c>
      <c r="Z18" t="n">
        <v>0.108206</v>
      </c>
      <c r="AA18" t="inlineStr">
        <is>
          <t>PNP_6T_08-05-2020</t>
        </is>
      </c>
      <c r="AB18" t="inlineStr">
        <is>
          <t>PNCP_9T_12-08-2019</t>
        </is>
      </c>
      <c r="AC18" t="inlineStr">
        <is>
          <t>PNCP_4T_30-04-2013</t>
        </is>
      </c>
      <c r="AD18" t="inlineStr">
        <is>
          <t>LOS MAQUIS 220</t>
        </is>
      </c>
      <c r="AE18" t="n">
        <v>111.133</v>
      </c>
      <c r="AF18" t="n">
        <v>1.072776031070834</v>
      </c>
      <c r="AG18" t="n">
        <v>119.220818660995</v>
      </c>
      <c r="AH18" t="n">
        <v>694.38</v>
      </c>
      <c r="AI18" t="n">
        <v>0.875</v>
      </c>
      <c r="AJ18" t="n">
        <v>72.43648305409401</v>
      </c>
      <c r="AK18" t="n">
        <v>1.0034</v>
      </c>
      <c r="AL18" t="n">
        <v>72.68300000000001</v>
      </c>
      <c r="AM18" t="n">
        <v>8.9176</v>
      </c>
      <c r="AN18" t="n">
        <v>9.566587534677272</v>
      </c>
      <c r="AO18" t="n">
        <v>0.913</v>
      </c>
      <c r="AP18" t="n">
        <v>6064.919358776563</v>
      </c>
      <c r="AQ18" t="n">
        <v>1</v>
      </c>
      <c r="AR18" t="n">
        <v>6064.9194</v>
      </c>
      <c r="AS18" t="n">
        <v>7.864736698000001</v>
      </c>
      <c r="AT18" t="inlineStr">
        <is>
          <t>PNP_16T_02-11-2020</t>
        </is>
      </c>
      <c r="AU18" t="inlineStr">
        <is>
          <t>PNCP_2T_10-02-2020</t>
        </is>
      </c>
      <c r="AV18" t="inlineStr">
        <is>
          <t>PNCP_4T_30-04-2013</t>
        </is>
      </c>
      <c r="AW18" t="inlineStr">
        <is>
          <t>LOS MAQUIS 220</t>
        </is>
      </c>
      <c r="AX18" t="n">
        <v>111.133</v>
      </c>
      <c r="AY18" t="n">
        <v>1.080821157758461</v>
      </c>
      <c r="AZ18" t="n">
        <v>120.1148977251711</v>
      </c>
      <c r="BA18" t="n">
        <v>779.3099999999999</v>
      </c>
      <c r="BB18" t="n">
        <v>0.879</v>
      </c>
      <c r="BC18" t="n">
        <v>82.2803252917125</v>
      </c>
      <c r="BD18" t="n">
        <v>1.0078</v>
      </c>
      <c r="BE18" t="n">
        <v>82.922</v>
      </c>
      <c r="BF18" t="n">
        <v>8.9176</v>
      </c>
      <c r="BG18" t="n">
        <v>0.804</v>
      </c>
      <c r="BH18" t="n">
        <v>6039.043023599974</v>
      </c>
      <c r="BI18" t="n">
        <v>1</v>
      </c>
      <c r="BJ18" t="n">
        <v>6039.043</v>
      </c>
      <c r="BK18" t="n">
        <v>8.972657931999999</v>
      </c>
    </row>
    <row r="19">
      <c r="A19" t="n">
        <v>5107</v>
      </c>
      <c r="B19" t="inlineStr">
        <is>
          <t>01-11-2020</t>
        </is>
      </c>
      <c r="C19" t="n">
        <v>2020</v>
      </c>
      <c r="D19" t="n">
        <v>1</v>
      </c>
      <c r="E19" t="inlineStr">
        <is>
          <t>CAREN</t>
        </is>
      </c>
      <c r="F19" t="inlineStr">
        <is>
          <t>SUM_EMELCA_C</t>
        </is>
      </c>
      <c r="G19" t="inlineStr">
        <is>
          <t>C</t>
        </is>
      </c>
      <c r="H19" t="inlineStr">
        <is>
          <t>EMELCA</t>
        </is>
      </c>
      <c r="I19" t="inlineStr">
        <is>
          <t>CBLANCAC</t>
        </is>
      </c>
      <c r="J19" t="inlineStr">
        <is>
          <t>CASABLANCA</t>
        </is>
      </c>
      <c r="K19" t="n">
        <v>-87.52729094</v>
      </c>
      <c r="L19" t="inlineStr">
        <is>
          <t>CASABLANCA</t>
        </is>
      </c>
      <c r="M19" t="inlineStr">
        <is>
          <t>MELIPILLA</t>
        </is>
      </c>
      <c r="N19" t="n">
        <v>0.7405044041495999</v>
      </c>
      <c r="O19" t="n">
        <v>64.81434400000001</v>
      </c>
      <c r="P19" t="inlineStr">
        <is>
          <t>BS1C</t>
        </is>
      </c>
      <c r="Q19" t="n">
        <v>2</v>
      </c>
      <c r="V19" t="n">
        <v>488.192</v>
      </c>
      <c r="W19" t="n">
        <v>2</v>
      </c>
      <c r="X19" t="n">
        <v>0.000146313186</v>
      </c>
      <c r="Y19" t="n">
        <v>0.142858</v>
      </c>
      <c r="Z19" t="n">
        <v>9.259247999999999</v>
      </c>
      <c r="AA19" t="inlineStr">
        <is>
          <t>PNP_6T_08-05-2020</t>
        </is>
      </c>
      <c r="AB19" t="inlineStr">
        <is>
          <t>PNCP_9T_12-08-2019</t>
        </is>
      </c>
      <c r="AC19" t="inlineStr">
        <is>
          <t>PNCP_4T_30-04-2013</t>
        </is>
      </c>
      <c r="AD19" t="inlineStr">
        <is>
          <t>MELIPILLA 220</t>
        </is>
      </c>
      <c r="AE19" t="n">
        <v>111.133</v>
      </c>
      <c r="AF19" t="n">
        <v>1.072776031070834</v>
      </c>
      <c r="AG19" t="n">
        <v>119.220818660995</v>
      </c>
      <c r="AH19" t="n">
        <v>694.38</v>
      </c>
      <c r="AI19" t="n">
        <v>0.875</v>
      </c>
      <c r="AJ19" t="n">
        <v>72.43648305409401</v>
      </c>
      <c r="AK19" t="n">
        <v>1.0179</v>
      </c>
      <c r="AL19" t="n">
        <v>73.733</v>
      </c>
      <c r="AM19" t="n">
        <v>8.9176</v>
      </c>
      <c r="AN19" t="n">
        <v>9.566587534677272</v>
      </c>
      <c r="AO19" t="n">
        <v>0.913</v>
      </c>
      <c r="AP19" t="n">
        <v>6064.919358776563</v>
      </c>
      <c r="AQ19" t="n">
        <v>0.9897500976181179</v>
      </c>
      <c r="AR19" t="n">
        <v>6002.7545</v>
      </c>
      <c r="AS19" t="n">
        <v>682.712132784</v>
      </c>
      <c r="AT19" t="inlineStr">
        <is>
          <t>PNP_16T_02-11-2020</t>
        </is>
      </c>
      <c r="AU19" t="inlineStr">
        <is>
          <t>PNCP_2T_10-02-2020</t>
        </is>
      </c>
      <c r="AV19" t="inlineStr">
        <is>
          <t>PNCP_4T_30-04-2013</t>
        </is>
      </c>
      <c r="AW19" t="inlineStr">
        <is>
          <t>MELIPILLA 220</t>
        </is>
      </c>
      <c r="AX19" t="n">
        <v>111.133</v>
      </c>
      <c r="AY19" t="n">
        <v>1.080821157758461</v>
      </c>
      <c r="AZ19" t="n">
        <v>120.1148977251711</v>
      </c>
      <c r="BA19" t="n">
        <v>779.3099999999999</v>
      </c>
      <c r="BB19" t="n">
        <v>0.879</v>
      </c>
      <c r="BC19" t="n">
        <v>82.2803252917125</v>
      </c>
      <c r="BD19" t="n">
        <v>0.9899</v>
      </c>
      <c r="BE19" t="n">
        <v>81.449</v>
      </c>
      <c r="BF19" t="n">
        <v>8.9176</v>
      </c>
      <c r="BG19" t="n">
        <v>0.804</v>
      </c>
      <c r="BH19" t="n">
        <v>6039.043023599974</v>
      </c>
      <c r="BI19" t="n">
        <v>0.9919953143303397</v>
      </c>
      <c r="BJ19" t="n">
        <v>5990.7024</v>
      </c>
      <c r="BK19" t="n">
        <v>754.156490352</v>
      </c>
    </row>
    <row r="20">
      <c r="A20" t="n">
        <v>5109</v>
      </c>
      <c r="B20" t="inlineStr">
        <is>
          <t>01-11-2020</t>
        </is>
      </c>
      <c r="C20" t="n">
        <v>2020</v>
      </c>
      <c r="D20" t="n">
        <v>1</v>
      </c>
      <c r="E20" t="inlineStr">
        <is>
          <t>CAREN</t>
        </is>
      </c>
      <c r="F20" t="inlineStr">
        <is>
          <t>SUM_EMELCA_C</t>
        </is>
      </c>
      <c r="G20" t="inlineStr">
        <is>
          <t>C</t>
        </is>
      </c>
      <c r="H20" t="inlineStr">
        <is>
          <t>EMELCA</t>
        </is>
      </c>
      <c r="I20" t="inlineStr">
        <is>
          <t>CBLANCAC</t>
        </is>
      </c>
      <c r="J20" t="inlineStr">
        <is>
          <t>CASABLANCA</t>
        </is>
      </c>
      <c r="K20" t="n">
        <v>-87.52729094</v>
      </c>
      <c r="L20" t="inlineStr">
        <is>
          <t>CASABLANCA</t>
        </is>
      </c>
      <c r="M20" t="inlineStr">
        <is>
          <t>NOGALES</t>
        </is>
      </c>
      <c r="N20" t="n">
        <v>0.0174152412888</v>
      </c>
      <c r="O20" t="n">
        <v>1.524309</v>
      </c>
      <c r="P20" t="inlineStr">
        <is>
          <t>BS1C</t>
        </is>
      </c>
      <c r="Q20" t="n">
        <v>2</v>
      </c>
      <c r="V20" t="n">
        <v>488.192</v>
      </c>
      <c r="W20" t="n">
        <v>2</v>
      </c>
      <c r="X20" t="n">
        <v>0.000146313186</v>
      </c>
      <c r="Y20" t="n">
        <v>0.142858</v>
      </c>
      <c r="Z20" t="n">
        <v>0.21776</v>
      </c>
      <c r="AA20" t="inlineStr">
        <is>
          <t>PNP_6T_08-05-2020</t>
        </is>
      </c>
      <c r="AB20" t="inlineStr">
        <is>
          <t>PNCP_9T_12-08-2019</t>
        </is>
      </c>
      <c r="AC20" t="inlineStr">
        <is>
          <t>PNCP_4T_30-04-2013</t>
        </is>
      </c>
      <c r="AD20" t="inlineStr">
        <is>
          <t>NOGALES 220</t>
        </is>
      </c>
      <c r="AE20" t="n">
        <v>111.133</v>
      </c>
      <c r="AF20" t="n">
        <v>1.072776031070834</v>
      </c>
      <c r="AG20" t="n">
        <v>119.220818660995</v>
      </c>
      <c r="AH20" t="n">
        <v>694.38</v>
      </c>
      <c r="AI20" t="n">
        <v>0.875</v>
      </c>
      <c r="AJ20" t="n">
        <v>72.43648305409401</v>
      </c>
      <c r="AK20" t="n">
        <v>0.9666</v>
      </c>
      <c r="AL20" t="n">
        <v>70.017</v>
      </c>
      <c r="AM20" t="n">
        <v>8.9176</v>
      </c>
      <c r="AN20" t="n">
        <v>9.566587534677272</v>
      </c>
      <c r="AO20" t="n">
        <v>0.913</v>
      </c>
      <c r="AP20" t="n">
        <v>6064.919358776563</v>
      </c>
      <c r="AQ20" t="n">
        <v>0.9831643002028398</v>
      </c>
      <c r="AR20" t="n">
        <v>5962.8122</v>
      </c>
      <c r="AS20" t="n">
        <v>15.24690192</v>
      </c>
      <c r="AT20" t="inlineStr">
        <is>
          <t>PNP_16T_02-11-2020</t>
        </is>
      </c>
      <c r="AU20" t="inlineStr">
        <is>
          <t>PNCP_2T_10-02-2020</t>
        </is>
      </c>
      <c r="AV20" t="inlineStr">
        <is>
          <t>PNCP_4T_30-04-2013</t>
        </is>
      </c>
      <c r="AW20" t="inlineStr">
        <is>
          <t>NOGALES 220</t>
        </is>
      </c>
      <c r="AX20" t="n">
        <v>111.133</v>
      </c>
      <c r="AY20" t="n">
        <v>1.080821157758461</v>
      </c>
      <c r="AZ20" t="n">
        <v>120.1148977251711</v>
      </c>
      <c r="BA20" t="n">
        <v>779.3099999999999</v>
      </c>
      <c r="BB20" t="n">
        <v>0.879</v>
      </c>
      <c r="BC20" t="n">
        <v>82.2803252917125</v>
      </c>
      <c r="BD20" t="n">
        <v>0.9656</v>
      </c>
      <c r="BE20" t="n">
        <v>79.45</v>
      </c>
      <c r="BF20" t="n">
        <v>8.9176</v>
      </c>
      <c r="BG20" t="n">
        <v>0.804</v>
      </c>
      <c r="BH20" t="n">
        <v>6039.043023599974</v>
      </c>
      <c r="BI20" t="n">
        <v>0.9895537525354969</v>
      </c>
      <c r="BJ20" t="n">
        <v>5975.9577</v>
      </c>
      <c r="BK20" t="n">
        <v>17.301032</v>
      </c>
    </row>
    <row r="21">
      <c r="A21" t="n">
        <v>5111</v>
      </c>
      <c r="B21" t="inlineStr">
        <is>
          <t>01-11-2020</t>
        </is>
      </c>
      <c r="C21" t="n">
        <v>2020</v>
      </c>
      <c r="D21" t="n">
        <v>1</v>
      </c>
      <c r="E21" t="inlineStr">
        <is>
          <t>CAREN</t>
        </is>
      </c>
      <c r="F21" t="inlineStr">
        <is>
          <t>SUM_EMELCA_C</t>
        </is>
      </c>
      <c r="G21" t="inlineStr">
        <is>
          <t>C</t>
        </is>
      </c>
      <c r="H21" t="inlineStr">
        <is>
          <t>EMELCA</t>
        </is>
      </c>
      <c r="I21" t="inlineStr">
        <is>
          <t>CBLANCAC</t>
        </is>
      </c>
      <c r="J21" t="inlineStr">
        <is>
          <t>CASABLANCA</t>
        </is>
      </c>
      <c r="K21" t="n">
        <v>-87.52729094</v>
      </c>
      <c r="L21" t="inlineStr">
        <is>
          <t>CASABLANCA</t>
        </is>
      </c>
      <c r="M21" t="inlineStr">
        <is>
          <t>QUILLOTA</t>
        </is>
      </c>
      <c r="N21" t="n">
        <v>0.39444071788845</v>
      </c>
      <c r="O21" t="n">
        <v>34.524327</v>
      </c>
      <c r="P21" t="inlineStr">
        <is>
          <t>BS1C</t>
        </is>
      </c>
      <c r="Q21" t="n">
        <v>2</v>
      </c>
      <c r="V21" t="n">
        <v>488.192</v>
      </c>
      <c r="W21" t="n">
        <v>2</v>
      </c>
      <c r="X21" t="n">
        <v>0.000146313186</v>
      </c>
      <c r="Y21" t="n">
        <v>0.142858</v>
      </c>
      <c r="Z21" t="n">
        <v>4.932076</v>
      </c>
      <c r="AA21" t="inlineStr">
        <is>
          <t>PNP_6T_08-05-2020</t>
        </is>
      </c>
      <c r="AB21" t="inlineStr">
        <is>
          <t>PNCP_9T_12-08-2019</t>
        </is>
      </c>
      <c r="AC21" t="inlineStr">
        <is>
          <t>PNCP_4T_30-04-2013</t>
        </is>
      </c>
      <c r="AD21" t="inlineStr">
        <is>
          <t>QUILLOTA 220</t>
        </is>
      </c>
      <c r="AE21" t="n">
        <v>111.133</v>
      </c>
      <c r="AF21" t="n">
        <v>1.072776031070834</v>
      </c>
      <c r="AG21" t="n">
        <v>119.220818660995</v>
      </c>
      <c r="AH21" t="n">
        <v>694.38</v>
      </c>
      <c r="AI21" t="n">
        <v>0.875</v>
      </c>
      <c r="AJ21" t="n">
        <v>72.43648305409401</v>
      </c>
      <c r="AK21" t="n">
        <v>1.0077</v>
      </c>
      <c r="AL21" t="n">
        <v>72.994</v>
      </c>
      <c r="AM21" t="n">
        <v>8.9176</v>
      </c>
      <c r="AN21" t="n">
        <v>9.566587534677272</v>
      </c>
      <c r="AO21" t="n">
        <v>0.913</v>
      </c>
      <c r="AP21" t="n">
        <v>6064.919358776563</v>
      </c>
      <c r="AQ21" t="n">
        <v>1.025526742301459</v>
      </c>
      <c r="AR21" t="n">
        <v>6219.737</v>
      </c>
      <c r="AS21" t="n">
        <v>360.011955544</v>
      </c>
      <c r="AT21" t="inlineStr">
        <is>
          <t>PNP_16T_02-11-2020</t>
        </is>
      </c>
      <c r="AU21" t="inlineStr">
        <is>
          <t>PNCP_2T_10-02-2020</t>
        </is>
      </c>
      <c r="AV21" t="inlineStr">
        <is>
          <t>PNCP_4T_30-04-2013</t>
        </is>
      </c>
      <c r="AW21" t="inlineStr">
        <is>
          <t>QUILLOTA 220</t>
        </is>
      </c>
      <c r="AX21" t="n">
        <v>111.133</v>
      </c>
      <c r="AY21" t="n">
        <v>1.080821157758461</v>
      </c>
      <c r="AZ21" t="n">
        <v>120.1148977251711</v>
      </c>
      <c r="BA21" t="n">
        <v>779.3099999999999</v>
      </c>
      <c r="BB21" t="n">
        <v>0.879</v>
      </c>
      <c r="BC21" t="n">
        <v>82.2803252917125</v>
      </c>
      <c r="BD21" t="n">
        <v>1.0097</v>
      </c>
      <c r="BE21" t="n">
        <v>83.078</v>
      </c>
      <c r="BF21" t="n">
        <v>8.9176</v>
      </c>
      <c r="BG21" t="n">
        <v>0.804</v>
      </c>
      <c r="BH21" t="n">
        <v>6039.043023599974</v>
      </c>
      <c r="BI21" t="n">
        <v>1.02765397082658</v>
      </c>
      <c r="BJ21" t="n">
        <v>6206.0465</v>
      </c>
      <c r="BK21" t="n">
        <v>409.7470099280001</v>
      </c>
    </row>
    <row r="22">
      <c r="A22" t="n">
        <v>5273</v>
      </c>
      <c r="B22" t="inlineStr">
        <is>
          <t>01-12-2020</t>
        </is>
      </c>
      <c r="C22" t="n">
        <v>2020</v>
      </c>
      <c r="D22" t="n">
        <v>1</v>
      </c>
      <c r="E22" t="inlineStr">
        <is>
          <t>CAREN</t>
        </is>
      </c>
      <c r="F22" t="inlineStr">
        <is>
          <t>SUM_EMELCA_C</t>
        </is>
      </c>
      <c r="G22" t="inlineStr">
        <is>
          <t>C</t>
        </is>
      </c>
      <c r="H22" t="inlineStr">
        <is>
          <t>EMELCA</t>
        </is>
      </c>
      <c r="I22" t="inlineStr">
        <is>
          <t>CBLANCAC</t>
        </is>
      </c>
      <c r="J22" t="inlineStr">
        <is>
          <t>CASABLANCA</t>
        </is>
      </c>
      <c r="K22" t="n">
        <v>-90.53513106</v>
      </c>
      <c r="L22" t="inlineStr">
        <is>
          <t>CASABLANCA</t>
        </is>
      </c>
      <c r="M22" t="inlineStr">
        <is>
          <t>LOS MAQUIS</t>
        </is>
      </c>
      <c r="N22" t="n">
        <v>0.00865369674352</v>
      </c>
      <c r="O22" t="n">
        <v>0.783464</v>
      </c>
      <c r="P22" t="inlineStr">
        <is>
          <t>BS1C</t>
        </is>
      </c>
      <c r="Q22" t="n">
        <v>2</v>
      </c>
      <c r="V22" t="n">
        <v>488.192</v>
      </c>
      <c r="W22" t="n">
        <v>2</v>
      </c>
      <c r="X22" t="n">
        <v>0.000146313186</v>
      </c>
      <c r="Y22" t="n">
        <v>0.142858</v>
      </c>
      <c r="Z22" t="n">
        <v>0.111924</v>
      </c>
      <c r="AA22" t="inlineStr">
        <is>
          <t>PNP_6T_08-05-2020</t>
        </is>
      </c>
      <c r="AB22" t="inlineStr">
        <is>
          <t>PNCP_9T_12-08-2019</t>
        </is>
      </c>
      <c r="AC22" t="inlineStr">
        <is>
          <t>PNCP_4T_30-04-2013</t>
        </is>
      </c>
      <c r="AD22" t="inlineStr">
        <is>
          <t>LOS MAQUIS 220</t>
        </is>
      </c>
      <c r="AE22" t="n">
        <v>111.133</v>
      </c>
      <c r="AF22" t="n">
        <v>1.072776031070834</v>
      </c>
      <c r="AG22" t="n">
        <v>119.220818660995</v>
      </c>
      <c r="AH22" t="n">
        <v>694.38</v>
      </c>
      <c r="AI22" t="n">
        <v>0.875</v>
      </c>
      <c r="AJ22" t="n">
        <v>72.43648305409401</v>
      </c>
      <c r="AK22" t="n">
        <v>1.0034</v>
      </c>
      <c r="AL22" t="n">
        <v>72.68300000000001</v>
      </c>
      <c r="AM22" t="n">
        <v>8.9176</v>
      </c>
      <c r="AN22" t="n">
        <v>9.566587534677272</v>
      </c>
      <c r="AO22" t="n">
        <v>0.913</v>
      </c>
      <c r="AP22" t="n">
        <v>6064.919358776563</v>
      </c>
      <c r="AQ22" t="n">
        <v>1</v>
      </c>
      <c r="AR22" t="n">
        <v>6064.9194</v>
      </c>
      <c r="AS22" t="n">
        <v>8.134972092</v>
      </c>
      <c r="AT22" t="inlineStr">
        <is>
          <t>PNP_16T_02-11-2020</t>
        </is>
      </c>
      <c r="AU22" t="inlineStr">
        <is>
          <t>PNCP_2T_10-02-2020</t>
        </is>
      </c>
      <c r="AV22" t="inlineStr">
        <is>
          <t>PNCP_4T_30-04-2013</t>
        </is>
      </c>
      <c r="AW22" t="inlineStr">
        <is>
          <t>LOS MAQUIS 220</t>
        </is>
      </c>
      <c r="AX22" t="n">
        <v>111.133</v>
      </c>
      <c r="AY22" t="n">
        <v>1.080821157758461</v>
      </c>
      <c r="AZ22" t="n">
        <v>120.1148977251711</v>
      </c>
      <c r="BA22" t="n">
        <v>779.3099999999999</v>
      </c>
      <c r="BB22" t="n">
        <v>0.879</v>
      </c>
      <c r="BC22" t="n">
        <v>82.2803252917125</v>
      </c>
      <c r="BD22" t="n">
        <v>1.0078</v>
      </c>
      <c r="BE22" t="n">
        <v>82.922</v>
      </c>
      <c r="BF22" t="n">
        <v>8.9176</v>
      </c>
      <c r="BG22" t="n">
        <v>0.804</v>
      </c>
      <c r="BH22" t="n">
        <v>6039.043023599974</v>
      </c>
      <c r="BI22" t="n">
        <v>1</v>
      </c>
      <c r="BJ22" t="n">
        <v>6039.043</v>
      </c>
      <c r="BK22" t="n">
        <v>9.280961928</v>
      </c>
    </row>
    <row r="23">
      <c r="A23" t="n">
        <v>5275</v>
      </c>
      <c r="B23" t="inlineStr">
        <is>
          <t>01-12-2020</t>
        </is>
      </c>
      <c r="C23" t="n">
        <v>2020</v>
      </c>
      <c r="D23" t="n">
        <v>1</v>
      </c>
      <c r="E23" t="inlineStr">
        <is>
          <t>CAREN</t>
        </is>
      </c>
      <c r="F23" t="inlineStr">
        <is>
          <t>SUM_EMELCA_C</t>
        </is>
      </c>
      <c r="G23" t="inlineStr">
        <is>
          <t>C</t>
        </is>
      </c>
      <c r="H23" t="inlineStr">
        <is>
          <t>EMELCA</t>
        </is>
      </c>
      <c r="I23" t="inlineStr">
        <is>
          <t>CBLANCAC</t>
        </is>
      </c>
      <c r="J23" t="inlineStr">
        <is>
          <t>CASABLANCA</t>
        </is>
      </c>
      <c r="K23" t="n">
        <v>-90.53513106</v>
      </c>
      <c r="L23" t="inlineStr">
        <is>
          <t>CASABLANCA</t>
        </is>
      </c>
      <c r="M23" t="inlineStr">
        <is>
          <t>MELIPILLA</t>
        </is>
      </c>
      <c r="N23" t="n">
        <v>0.7405044041495999</v>
      </c>
      <c r="O23" t="n">
        <v>67.041663</v>
      </c>
      <c r="P23" t="inlineStr">
        <is>
          <t>BS1C</t>
        </is>
      </c>
      <c r="Q23" t="n">
        <v>2</v>
      </c>
      <c r="V23" t="n">
        <v>488.192</v>
      </c>
      <c r="W23" t="n">
        <v>2</v>
      </c>
      <c r="X23" t="n">
        <v>0.000146313186</v>
      </c>
      <c r="Y23" t="n">
        <v>0.142858</v>
      </c>
      <c r="Z23" t="n">
        <v>9.577438000000001</v>
      </c>
      <c r="AA23" t="inlineStr">
        <is>
          <t>PNP_6T_08-05-2020</t>
        </is>
      </c>
      <c r="AB23" t="inlineStr">
        <is>
          <t>PNCP_9T_12-08-2019</t>
        </is>
      </c>
      <c r="AC23" t="inlineStr">
        <is>
          <t>PNCP_4T_30-04-2013</t>
        </is>
      </c>
      <c r="AD23" t="inlineStr">
        <is>
          <t>MELIPILLA 220</t>
        </is>
      </c>
      <c r="AE23" t="n">
        <v>111.133</v>
      </c>
      <c r="AF23" t="n">
        <v>1.072776031070834</v>
      </c>
      <c r="AG23" t="n">
        <v>119.220818660995</v>
      </c>
      <c r="AH23" t="n">
        <v>694.38</v>
      </c>
      <c r="AI23" t="n">
        <v>0.875</v>
      </c>
      <c r="AJ23" t="n">
        <v>72.43648305409401</v>
      </c>
      <c r="AK23" t="n">
        <v>1.0179</v>
      </c>
      <c r="AL23" t="n">
        <v>73.733</v>
      </c>
      <c r="AM23" t="n">
        <v>8.9176</v>
      </c>
      <c r="AN23" t="n">
        <v>9.566587534677272</v>
      </c>
      <c r="AO23" t="n">
        <v>0.913</v>
      </c>
      <c r="AP23" t="n">
        <v>6064.919358776563</v>
      </c>
      <c r="AQ23" t="n">
        <v>0.9897500976181179</v>
      </c>
      <c r="AR23" t="n">
        <v>6002.7545</v>
      </c>
      <c r="AS23" t="n">
        <v>706.1732360540001</v>
      </c>
      <c r="AT23" t="inlineStr">
        <is>
          <t>PNP_16T_02-11-2020</t>
        </is>
      </c>
      <c r="AU23" t="inlineStr">
        <is>
          <t>PNCP_2T_10-02-2020</t>
        </is>
      </c>
      <c r="AV23" t="inlineStr">
        <is>
          <t>PNCP_4T_30-04-2013</t>
        </is>
      </c>
      <c r="AW23" t="inlineStr">
        <is>
          <t>MELIPILLA 220</t>
        </is>
      </c>
      <c r="AX23" t="n">
        <v>111.133</v>
      </c>
      <c r="AY23" t="n">
        <v>1.080821157758461</v>
      </c>
      <c r="AZ23" t="n">
        <v>120.1148977251711</v>
      </c>
      <c r="BA23" t="n">
        <v>779.3099999999999</v>
      </c>
      <c r="BB23" t="n">
        <v>0.879</v>
      </c>
      <c r="BC23" t="n">
        <v>82.2803252917125</v>
      </c>
      <c r="BD23" t="n">
        <v>0.9899</v>
      </c>
      <c r="BE23" t="n">
        <v>81.449</v>
      </c>
      <c r="BF23" t="n">
        <v>8.9176</v>
      </c>
      <c r="BG23" t="n">
        <v>0.804</v>
      </c>
      <c r="BH23" t="n">
        <v>6039.043023599974</v>
      </c>
      <c r="BI23" t="n">
        <v>0.9919953143303397</v>
      </c>
      <c r="BJ23" t="n">
        <v>5990.7024</v>
      </c>
      <c r="BK23" t="n">
        <v>780.0727476620001</v>
      </c>
    </row>
    <row r="24">
      <c r="A24" t="n">
        <v>5277</v>
      </c>
      <c r="B24" t="inlineStr">
        <is>
          <t>01-12-2020</t>
        </is>
      </c>
      <c r="C24" t="n">
        <v>2020</v>
      </c>
      <c r="D24" t="n">
        <v>1</v>
      </c>
      <c r="E24" t="inlineStr">
        <is>
          <t>CAREN</t>
        </is>
      </c>
      <c r="F24" t="inlineStr">
        <is>
          <t>SUM_EMELCA_C</t>
        </is>
      </c>
      <c r="G24" t="inlineStr">
        <is>
          <t>C</t>
        </is>
      </c>
      <c r="H24" t="inlineStr">
        <is>
          <t>EMELCA</t>
        </is>
      </c>
      <c r="I24" t="inlineStr">
        <is>
          <t>CBLANCAC</t>
        </is>
      </c>
      <c r="J24" t="inlineStr">
        <is>
          <t>CASABLANCA</t>
        </is>
      </c>
      <c r="K24" t="n">
        <v>-90.53513106</v>
      </c>
      <c r="L24" t="inlineStr">
        <is>
          <t>CASABLANCA</t>
        </is>
      </c>
      <c r="M24" t="inlineStr">
        <is>
          <t>NOGALES</t>
        </is>
      </c>
      <c r="N24" t="n">
        <v>0.0174152412888</v>
      </c>
      <c r="O24" t="n">
        <v>1.576691</v>
      </c>
      <c r="P24" t="inlineStr">
        <is>
          <t>BS1C</t>
        </is>
      </c>
      <c r="Q24" t="n">
        <v>2</v>
      </c>
      <c r="V24" t="n">
        <v>488.192</v>
      </c>
      <c r="W24" t="n">
        <v>2</v>
      </c>
      <c r="X24" t="n">
        <v>0.000146313186</v>
      </c>
      <c r="Y24" t="n">
        <v>0.142858</v>
      </c>
      <c r="Z24" t="n">
        <v>0.225243</v>
      </c>
      <c r="AA24" t="inlineStr">
        <is>
          <t>PNP_6T_08-05-2020</t>
        </is>
      </c>
      <c r="AB24" t="inlineStr">
        <is>
          <t>PNCP_9T_12-08-2019</t>
        </is>
      </c>
      <c r="AC24" t="inlineStr">
        <is>
          <t>PNCP_4T_30-04-2013</t>
        </is>
      </c>
      <c r="AD24" t="inlineStr">
        <is>
          <t>NOGALES 220</t>
        </is>
      </c>
      <c r="AE24" t="n">
        <v>111.133</v>
      </c>
      <c r="AF24" t="n">
        <v>1.072776031070834</v>
      </c>
      <c r="AG24" t="n">
        <v>119.220818660995</v>
      </c>
      <c r="AH24" t="n">
        <v>694.38</v>
      </c>
      <c r="AI24" t="n">
        <v>0.875</v>
      </c>
      <c r="AJ24" t="n">
        <v>72.43648305409401</v>
      </c>
      <c r="AK24" t="n">
        <v>0.9666</v>
      </c>
      <c r="AL24" t="n">
        <v>70.017</v>
      </c>
      <c r="AM24" t="n">
        <v>8.9176</v>
      </c>
      <c r="AN24" t="n">
        <v>9.566587534677272</v>
      </c>
      <c r="AO24" t="n">
        <v>0.913</v>
      </c>
      <c r="AP24" t="n">
        <v>6064.919358776563</v>
      </c>
      <c r="AQ24" t="n">
        <v>0.9831643002028398</v>
      </c>
      <c r="AR24" t="n">
        <v>5962.8122</v>
      </c>
      <c r="AS24" t="n">
        <v>15.770839131</v>
      </c>
      <c r="AT24" t="inlineStr">
        <is>
          <t>PNP_16T_02-11-2020</t>
        </is>
      </c>
      <c r="AU24" t="inlineStr">
        <is>
          <t>PNCP_2T_10-02-2020</t>
        </is>
      </c>
      <c r="AV24" t="inlineStr">
        <is>
          <t>PNCP_4T_30-04-2013</t>
        </is>
      </c>
      <c r="AW24" t="inlineStr">
        <is>
          <t>NOGALES 220</t>
        </is>
      </c>
      <c r="AX24" t="n">
        <v>111.133</v>
      </c>
      <c r="AY24" t="n">
        <v>1.080821157758461</v>
      </c>
      <c r="AZ24" t="n">
        <v>120.1148977251711</v>
      </c>
      <c r="BA24" t="n">
        <v>779.3099999999999</v>
      </c>
      <c r="BB24" t="n">
        <v>0.879</v>
      </c>
      <c r="BC24" t="n">
        <v>82.2803252917125</v>
      </c>
      <c r="BD24" t="n">
        <v>0.9656</v>
      </c>
      <c r="BE24" t="n">
        <v>79.45</v>
      </c>
      <c r="BF24" t="n">
        <v>8.9176</v>
      </c>
      <c r="BG24" t="n">
        <v>0.804</v>
      </c>
      <c r="BH24" t="n">
        <v>6039.043023599974</v>
      </c>
      <c r="BI24" t="n">
        <v>0.9895537525354969</v>
      </c>
      <c r="BJ24" t="n">
        <v>5975.9577</v>
      </c>
      <c r="BK24" t="n">
        <v>17.89555635</v>
      </c>
    </row>
    <row r="25">
      <c r="A25" t="n">
        <v>5279</v>
      </c>
      <c r="B25" t="inlineStr">
        <is>
          <t>01-12-2020</t>
        </is>
      </c>
      <c r="C25" t="n">
        <v>2020</v>
      </c>
      <c r="D25" t="n">
        <v>1</v>
      </c>
      <c r="E25" t="inlineStr">
        <is>
          <t>CAREN</t>
        </is>
      </c>
      <c r="F25" t="inlineStr">
        <is>
          <t>SUM_EMELCA_C</t>
        </is>
      </c>
      <c r="G25" t="inlineStr">
        <is>
          <t>C</t>
        </is>
      </c>
      <c r="H25" t="inlineStr">
        <is>
          <t>EMELCA</t>
        </is>
      </c>
      <c r="I25" t="inlineStr">
        <is>
          <t>CBLANCAC</t>
        </is>
      </c>
      <c r="J25" t="inlineStr">
        <is>
          <t>CASABLANCA</t>
        </is>
      </c>
      <c r="K25" t="n">
        <v>-90.53513106</v>
      </c>
      <c r="L25" t="inlineStr">
        <is>
          <t>CASABLANCA</t>
        </is>
      </c>
      <c r="M25" t="inlineStr">
        <is>
          <t>QUILLOTA</t>
        </is>
      </c>
      <c r="N25" t="n">
        <v>0.39444071788845</v>
      </c>
      <c r="O25" t="n">
        <v>35.710742</v>
      </c>
      <c r="P25" t="inlineStr">
        <is>
          <t>BS1C</t>
        </is>
      </c>
      <c r="Q25" t="n">
        <v>2</v>
      </c>
      <c r="V25" t="n">
        <v>488.192</v>
      </c>
      <c r="W25" t="n">
        <v>2</v>
      </c>
      <c r="X25" t="n">
        <v>0.000146313186</v>
      </c>
      <c r="Y25" t="n">
        <v>0.142858</v>
      </c>
      <c r="Z25" t="n">
        <v>5.101565</v>
      </c>
      <c r="AA25" t="inlineStr">
        <is>
          <t>PNP_6T_08-05-2020</t>
        </is>
      </c>
      <c r="AB25" t="inlineStr">
        <is>
          <t>PNCP_9T_12-08-2019</t>
        </is>
      </c>
      <c r="AC25" t="inlineStr">
        <is>
          <t>PNCP_4T_30-04-2013</t>
        </is>
      </c>
      <c r="AD25" t="inlineStr">
        <is>
          <t>QUILLOTA 220</t>
        </is>
      </c>
      <c r="AE25" t="n">
        <v>111.133</v>
      </c>
      <c r="AF25" t="n">
        <v>1.072776031070834</v>
      </c>
      <c r="AG25" t="n">
        <v>119.220818660995</v>
      </c>
      <c r="AH25" t="n">
        <v>694.38</v>
      </c>
      <c r="AI25" t="n">
        <v>0.875</v>
      </c>
      <c r="AJ25" t="n">
        <v>72.43648305409401</v>
      </c>
      <c r="AK25" t="n">
        <v>1.0077</v>
      </c>
      <c r="AL25" t="n">
        <v>72.994</v>
      </c>
      <c r="AM25" t="n">
        <v>8.9176</v>
      </c>
      <c r="AN25" t="n">
        <v>9.566587534677272</v>
      </c>
      <c r="AO25" t="n">
        <v>0.913</v>
      </c>
      <c r="AP25" t="n">
        <v>6064.919358776563</v>
      </c>
      <c r="AQ25" t="n">
        <v>1.025526742301459</v>
      </c>
      <c r="AR25" t="n">
        <v>6219.737</v>
      </c>
      <c r="AS25" t="n">
        <v>372.38363561</v>
      </c>
      <c r="AT25" t="inlineStr">
        <is>
          <t>PNP_16T_02-11-2020</t>
        </is>
      </c>
      <c r="AU25" t="inlineStr">
        <is>
          <t>PNCP_2T_10-02-2020</t>
        </is>
      </c>
      <c r="AV25" t="inlineStr">
        <is>
          <t>PNCP_4T_30-04-2013</t>
        </is>
      </c>
      <c r="AW25" t="inlineStr">
        <is>
          <t>QUILLOTA 220</t>
        </is>
      </c>
      <c r="AX25" t="n">
        <v>111.133</v>
      </c>
      <c r="AY25" t="n">
        <v>1.080821157758461</v>
      </c>
      <c r="AZ25" t="n">
        <v>120.1148977251711</v>
      </c>
      <c r="BA25" t="n">
        <v>779.3099999999999</v>
      </c>
      <c r="BB25" t="n">
        <v>0.879</v>
      </c>
      <c r="BC25" t="n">
        <v>82.2803252917125</v>
      </c>
      <c r="BD25" t="n">
        <v>1.0097</v>
      </c>
      <c r="BE25" t="n">
        <v>83.078</v>
      </c>
      <c r="BF25" t="n">
        <v>8.9176</v>
      </c>
      <c r="BG25" t="n">
        <v>0.804</v>
      </c>
      <c r="BH25" t="n">
        <v>6039.043023599974</v>
      </c>
      <c r="BI25" t="n">
        <v>1.02765397082658</v>
      </c>
      <c r="BJ25" t="n">
        <v>6206.0465</v>
      </c>
      <c r="BK25" t="n">
        <v>423.82781707</v>
      </c>
    </row>
  </sheetData>
  <pageMargins left="0.7" right="0.7" top="0.75" bottom="0.75" header="0.3" footer="0.3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BC1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Num</t>
        </is>
      </c>
      <c r="B1" s="1" t="inlineStr">
        <is>
          <t>MesDevengado</t>
        </is>
      </c>
      <c r="C1" s="1" t="inlineStr">
        <is>
          <t>Anho</t>
        </is>
      </c>
      <c r="D1" s="1" t="inlineStr">
        <is>
          <t>Mes</t>
        </is>
      </c>
      <c r="E1" s="1" t="inlineStr">
        <is>
          <t>Empresa</t>
        </is>
      </c>
      <c r="F1" s="1" t="inlineStr">
        <is>
          <t>Cliente</t>
        </is>
      </c>
      <c r="G1" s="1" t="inlineStr">
        <is>
          <t>Distribuidora</t>
        </is>
      </c>
      <c r="H1" s="1" t="inlineStr">
        <is>
          <t>BarraBT</t>
        </is>
      </c>
      <c r="I1" s="1" t="inlineStr">
        <is>
          <t>Turno</t>
        </is>
      </c>
      <c r="J1" s="1" t="inlineStr">
        <is>
          <t>PotenciaConsumo_kW</t>
        </is>
      </c>
      <c r="K1" s="1" t="inlineStr">
        <is>
          <t>BloqueCompleto</t>
        </is>
      </c>
      <c r="L1" s="1" t="inlineStr">
        <is>
          <t>BarraEnAT</t>
        </is>
      </c>
      <c r="M1" s="1" t="inlineStr">
        <is>
          <t>FactorRefPotencia_BT_AT</t>
        </is>
      </c>
      <c r="N1" s="1" t="inlineStr">
        <is>
          <t>Potencia_kW_AT</t>
        </is>
      </c>
      <c r="O1" s="1" t="inlineStr">
        <is>
          <t>MaxPPA</t>
        </is>
      </c>
      <c r="P1" s="1" t="inlineStr">
        <is>
          <t>Denominador</t>
        </is>
      </c>
      <c r="Q1" s="1" t="inlineStr">
        <is>
          <t>Prorrata</t>
        </is>
      </c>
      <c r="R1" s="1" t="inlineStr">
        <is>
          <t>PotenciaBloqueTurnoAnhoMesBarra_kW</t>
        </is>
      </c>
      <c r="S1" s="1" t="inlineStr">
        <is>
          <t>V_DecretoPNPVigente</t>
        </is>
      </c>
      <c r="T1" s="1" t="inlineStr">
        <is>
          <t>V_DecretoPNCPAsociado</t>
        </is>
      </c>
      <c r="U1" s="1" t="inlineStr">
        <is>
          <t>V_DecretoPNCPLicitacion</t>
        </is>
      </c>
      <c r="V1" s="1" t="inlineStr">
        <is>
          <t>V_Barra</t>
        </is>
      </c>
      <c r="W1" s="1" t="inlineStr">
        <is>
          <t>V_PrecioOferta_EnergiaPolpaico220</t>
        </is>
      </c>
      <c r="X1" s="1" t="inlineStr">
        <is>
          <t>V_Indexacion</t>
        </is>
      </c>
      <c r="Y1" s="1" t="inlineStr">
        <is>
          <t>V_PrecioEnergiaIndexado_USDMWh</t>
        </is>
      </c>
      <c r="Z1" s="1" t="inlineStr">
        <is>
          <t>V_DolarPNPVigente</t>
        </is>
      </c>
      <c r="AA1" s="1" t="inlineStr">
        <is>
          <t>V_FactorAjusteEnergia</t>
        </is>
      </c>
      <c r="AB1" s="1" t="inlineStr">
        <is>
          <t>V_PrecioEnergiaAjustado_CLP_kWh_Polpaico220</t>
        </is>
      </c>
      <c r="AC1" s="1" t="inlineStr">
        <is>
          <t>V_FPEnergia</t>
        </is>
      </c>
      <c r="AD1" s="1" t="inlineStr">
        <is>
          <t>V_PrecioEnergiaAjustado_CLP_kWh</t>
        </is>
      </c>
      <c r="AE1" s="1" t="inlineStr">
        <is>
          <t>V_PrecioPotenciaUSD_kW_Mes</t>
        </is>
      </c>
      <c r="AF1" s="1" t="inlineStr">
        <is>
          <t>V_PrecioPotenciaIndexadoUSD_kW_Mes</t>
        </is>
      </c>
      <c r="AG1" s="1" t="inlineStr">
        <is>
          <t>V_FactorAjustePotencia</t>
        </is>
      </c>
      <c r="AH1" s="1" t="inlineStr">
        <is>
          <t>V_PrecioPotenciaAjustado_CLP_kW_Mes_Polpaico220</t>
        </is>
      </c>
      <c r="AI1" s="1" t="inlineStr">
        <is>
          <t>V_FPPotencia</t>
        </is>
      </c>
      <c r="AJ1" s="1" t="inlineStr">
        <is>
          <t>V_PrecioPotenciaAjustado_CLP_kW_Mes</t>
        </is>
      </c>
      <c r="AK1" s="1" t="inlineStr">
        <is>
          <t>V_TotalPotenciaMesBarraGxDxBloque_CLP_kW_Mes</t>
        </is>
      </c>
      <c r="AL1" s="1" t="inlineStr">
        <is>
          <t>R_DecretoPNPReliquidacion</t>
        </is>
      </c>
      <c r="AM1" s="1" t="inlineStr">
        <is>
          <t>R_DecretoPNCPAsociado</t>
        </is>
      </c>
      <c r="AN1" s="1" t="inlineStr">
        <is>
          <t>R_DecretoPNCPLicitacion</t>
        </is>
      </c>
      <c r="AO1" s="1" t="inlineStr">
        <is>
          <t>R_Barra</t>
        </is>
      </c>
      <c r="AP1" s="1" t="inlineStr">
        <is>
          <t>R_PrecioOfertaEnergiaPolpaico220</t>
        </is>
      </c>
      <c r="AQ1" s="1" t="inlineStr">
        <is>
          <t>R_Indexacion</t>
        </is>
      </c>
      <c r="AR1" s="1" t="inlineStr">
        <is>
          <t>R_PrecioEnergiaIndexado_USDMWh</t>
        </is>
      </c>
      <c r="AS1" s="1" t="inlineStr">
        <is>
          <t>R_DolarPNPReliquidacion</t>
        </is>
      </c>
      <c r="AT1" s="1" t="inlineStr">
        <is>
          <t>R_FactorAjusteEnergia</t>
        </is>
      </c>
      <c r="AU1" s="1" t="inlineStr">
        <is>
          <t>R_PrecioEnergiaAjustado_CLP_kWh_Polpaico220</t>
        </is>
      </c>
      <c r="AV1" s="1" t="inlineStr">
        <is>
          <t>R_FPEnergia</t>
        </is>
      </c>
      <c r="AW1" s="1" t="inlineStr">
        <is>
          <t>R_PrecioEnergiaAjustado_CLP_kWh</t>
        </is>
      </c>
      <c r="AX1" s="1" t="inlineStr">
        <is>
          <t>R_PrecioPotenciaUSD_kW_Mes</t>
        </is>
      </c>
      <c r="AY1" s="1" t="inlineStr">
        <is>
          <t>R_FactorAjustePotencia</t>
        </is>
      </c>
      <c r="AZ1" s="1" t="inlineStr">
        <is>
          <t>R_PrecioPotenciaAjustado_CLP_kW_Mes_Polpaico220</t>
        </is>
      </c>
      <c r="BA1" s="1" t="inlineStr">
        <is>
          <t>R_FPPotencia</t>
        </is>
      </c>
      <c r="BB1" s="1" t="inlineStr">
        <is>
          <t>R_PrecioPotenciaAjustado_CLP_kW_Mes</t>
        </is>
      </c>
      <c r="BC1" s="1" t="inlineStr">
        <is>
          <t>R_TotalPotenciaMesBarraGxDxBloque_CLP_kW_Mes</t>
        </is>
      </c>
    </row>
    <row r="2">
      <c r="A2" t="n">
        <v>261471</v>
      </c>
      <c r="B2" t="inlineStr">
        <is>
          <t>01-10-2020</t>
        </is>
      </c>
      <c r="C2" t="n">
        <v>2020</v>
      </c>
      <c r="D2" t="n">
        <v>10</v>
      </c>
      <c r="E2" t="inlineStr">
        <is>
          <t>CAREN</t>
        </is>
      </c>
      <c r="F2" t="inlineStr">
        <is>
          <t>SUM_EMELCA_C</t>
        </is>
      </c>
      <c r="G2" t="inlineStr">
        <is>
          <t>EMELCA</t>
        </is>
      </c>
      <c r="H2" t="inlineStr">
        <is>
          <t>CASABLANCA</t>
        </is>
      </c>
      <c r="I2" t="inlineStr">
        <is>
          <t>C</t>
        </is>
      </c>
      <c r="J2" t="n">
        <v>-0.7247289099999999</v>
      </c>
      <c r="K2" t="inlineStr">
        <is>
          <t>BS1C</t>
        </is>
      </c>
      <c r="L2" t="inlineStr">
        <is>
          <t>LOS MAQUIS</t>
        </is>
      </c>
      <c r="M2" t="n">
        <v>0.00574085785668</v>
      </c>
      <c r="N2" t="n">
        <v>0.004160565651178695</v>
      </c>
      <c r="O2" t="n">
        <v>488.192</v>
      </c>
      <c r="P2" t="n">
        <v>0.000146313186</v>
      </c>
      <c r="Q2" t="n">
        <v>0.142858</v>
      </c>
      <c r="R2" t="n">
        <v>0.000594370087796086</v>
      </c>
      <c r="S2" t="inlineStr">
        <is>
          <t>PNP_6T_08-05-2020</t>
        </is>
      </c>
      <c r="T2" t="inlineStr">
        <is>
          <t>PNCP_9T_12-08-2019</t>
        </is>
      </c>
      <c r="U2" t="inlineStr">
        <is>
          <t>PNCP_4T_30-04-2013</t>
        </is>
      </c>
      <c r="V2" t="inlineStr">
        <is>
          <t>LOS MAQUIS 220</t>
        </is>
      </c>
      <c r="W2" t="n">
        <v>111.133</v>
      </c>
      <c r="X2" t="n">
        <v>1.072776031070834</v>
      </c>
      <c r="Y2" t="n">
        <v>119.220818660995</v>
      </c>
      <c r="Z2" t="n">
        <v>694.38</v>
      </c>
      <c r="AA2" t="n">
        <v>0.875</v>
      </c>
      <c r="AB2" t="n">
        <v>72.43648305409401</v>
      </c>
      <c r="AC2" t="n">
        <v>1.0034</v>
      </c>
      <c r="AD2" t="n">
        <v>72.68300000000001</v>
      </c>
      <c r="AE2" t="n">
        <v>8.9176</v>
      </c>
      <c r="AF2" t="n">
        <v>9.566587534677272</v>
      </c>
      <c r="AG2" t="n">
        <v>0.913</v>
      </c>
      <c r="AH2" t="n">
        <v>6064.919358776563</v>
      </c>
      <c r="AI2" t="n">
        <v>1</v>
      </c>
      <c r="AJ2" t="n">
        <v>6064.9194</v>
      </c>
      <c r="AK2" t="n">
        <v>3.604806676254185</v>
      </c>
      <c r="AL2" t="inlineStr">
        <is>
          <t>PNP_16T_02-11-2020</t>
        </is>
      </c>
      <c r="AM2" t="inlineStr">
        <is>
          <t>PNCP_2T_10-02-2020</t>
        </is>
      </c>
      <c r="AN2" t="inlineStr">
        <is>
          <t>PNCP_4T_30-04-2013</t>
        </is>
      </c>
      <c r="AO2" t="inlineStr">
        <is>
          <t>LOS MAQUIS 220</t>
        </is>
      </c>
      <c r="AP2" t="n">
        <v>111.133</v>
      </c>
      <c r="AQ2" t="n">
        <v>1.080821157758461</v>
      </c>
      <c r="AR2" t="n">
        <v>120.1148977251711</v>
      </c>
      <c r="AS2" t="n">
        <v>779.3099999999999</v>
      </c>
      <c r="AT2" t="n">
        <v>0.879</v>
      </c>
      <c r="AU2" t="n">
        <v>82.2803252917125</v>
      </c>
      <c r="AV2" t="n">
        <v>1.0078</v>
      </c>
      <c r="AW2" t="n">
        <v>82.922</v>
      </c>
      <c r="AX2" t="n">
        <v>8.9176</v>
      </c>
      <c r="AY2" t="n">
        <v>0.804</v>
      </c>
      <c r="AZ2" t="n">
        <v>6039.043023599974</v>
      </c>
      <c r="BA2" t="n">
        <v>1</v>
      </c>
      <c r="BB2" t="n">
        <v>6039.043</v>
      </c>
      <c r="BC2" t="n">
        <v>3.589426518114339</v>
      </c>
    </row>
    <row r="3">
      <c r="A3" t="n">
        <v>261475</v>
      </c>
      <c r="B3" t="inlineStr">
        <is>
          <t>01-10-2020</t>
        </is>
      </c>
      <c r="C3" t="n">
        <v>2020</v>
      </c>
      <c r="D3" t="n">
        <v>10</v>
      </c>
      <c r="E3" t="inlineStr">
        <is>
          <t>CAREN</t>
        </is>
      </c>
      <c r="F3" t="inlineStr">
        <is>
          <t>SUM_EMELCA_C</t>
        </is>
      </c>
      <c r="G3" t="inlineStr">
        <is>
          <t>EMELCA</t>
        </is>
      </c>
      <c r="H3" t="inlineStr">
        <is>
          <t>CASABLANCA</t>
        </is>
      </c>
      <c r="I3" t="inlineStr">
        <is>
          <t>C</t>
        </is>
      </c>
      <c r="J3" t="n">
        <v>-0.7247289099999999</v>
      </c>
      <c r="K3" t="inlineStr">
        <is>
          <t>BS1C</t>
        </is>
      </c>
      <c r="L3" t="inlineStr">
        <is>
          <t>NOGALES</t>
        </is>
      </c>
      <c r="M3" t="n">
        <v>0.01150433518644</v>
      </c>
      <c r="N3" t="n">
        <v>0.008337524288404747</v>
      </c>
      <c r="O3" t="n">
        <v>488.192</v>
      </c>
      <c r="P3" t="n">
        <v>0.000146313186</v>
      </c>
      <c r="Q3" t="n">
        <v>0.142858</v>
      </c>
      <c r="R3" t="n">
        <v>0.001191082044792925</v>
      </c>
      <c r="S3" t="inlineStr">
        <is>
          <t>PNP_6T_08-05-2020</t>
        </is>
      </c>
      <c r="T3" t="inlineStr">
        <is>
          <t>PNCP_9T_12-08-2019</t>
        </is>
      </c>
      <c r="U3" t="inlineStr">
        <is>
          <t>PNCP_4T_30-04-2013</t>
        </is>
      </c>
      <c r="V3" t="inlineStr">
        <is>
          <t>NOGALES 220</t>
        </is>
      </c>
      <c r="W3" t="n">
        <v>111.133</v>
      </c>
      <c r="X3" t="n">
        <v>1.072776031070834</v>
      </c>
      <c r="Y3" t="n">
        <v>119.220818660995</v>
      </c>
      <c r="Z3" t="n">
        <v>694.38</v>
      </c>
      <c r="AA3" t="n">
        <v>0.875</v>
      </c>
      <c r="AB3" t="n">
        <v>72.43648305409401</v>
      </c>
      <c r="AC3" t="n">
        <v>0.9666</v>
      </c>
      <c r="AD3" t="n">
        <v>70.017</v>
      </c>
      <c r="AE3" t="n">
        <v>8.9176</v>
      </c>
      <c r="AF3" t="n">
        <v>9.566587534677272</v>
      </c>
      <c r="AG3" t="n">
        <v>0.913</v>
      </c>
      <c r="AH3" t="n">
        <v>6064.919358776563</v>
      </c>
      <c r="AI3" t="n">
        <v>0.9831643002028398</v>
      </c>
      <c r="AJ3" t="n">
        <v>5962.8122</v>
      </c>
      <c r="AK3" t="n">
        <v>7.102198547892202</v>
      </c>
      <c r="AL3" t="inlineStr">
        <is>
          <t>PNP_16T_02-11-2020</t>
        </is>
      </c>
      <c r="AM3" t="inlineStr">
        <is>
          <t>PNCP_2T_10-02-2020</t>
        </is>
      </c>
      <c r="AN3" t="inlineStr">
        <is>
          <t>PNCP_4T_30-04-2013</t>
        </is>
      </c>
      <c r="AO3" t="inlineStr">
        <is>
          <t>NOGALES 220</t>
        </is>
      </c>
      <c r="AP3" t="n">
        <v>111.133</v>
      </c>
      <c r="AQ3" t="n">
        <v>1.080821157758461</v>
      </c>
      <c r="AR3" t="n">
        <v>120.1148977251711</v>
      </c>
      <c r="AS3" t="n">
        <v>779.3099999999999</v>
      </c>
      <c r="AT3" t="n">
        <v>0.879</v>
      </c>
      <c r="AU3" t="n">
        <v>82.2803252917125</v>
      </c>
      <c r="AV3" t="n">
        <v>0.9656</v>
      </c>
      <c r="AW3" t="n">
        <v>79.45</v>
      </c>
      <c r="AX3" t="n">
        <v>8.9176</v>
      </c>
      <c r="AY3" t="n">
        <v>0.804</v>
      </c>
      <c r="AZ3" t="n">
        <v>6039.043023599974</v>
      </c>
      <c r="BA3" t="n">
        <v>0.9895537525354969</v>
      </c>
      <c r="BB3" t="n">
        <v>5975.9577</v>
      </c>
      <c r="BC3" t="n">
        <v>7.117855916912028</v>
      </c>
    </row>
    <row r="4">
      <c r="A4" t="n">
        <v>261477</v>
      </c>
      <c r="B4" t="inlineStr">
        <is>
          <t>01-10-2020</t>
        </is>
      </c>
      <c r="C4" t="n">
        <v>2020</v>
      </c>
      <c r="D4" t="n">
        <v>10</v>
      </c>
      <c r="E4" t="inlineStr">
        <is>
          <t>CAREN</t>
        </is>
      </c>
      <c r="F4" t="inlineStr">
        <is>
          <t>SUM_EMELCA_C</t>
        </is>
      </c>
      <c r="G4" t="inlineStr">
        <is>
          <t>EMELCA</t>
        </is>
      </c>
      <c r="H4" t="inlineStr">
        <is>
          <t>CASABLANCA</t>
        </is>
      </c>
      <c r="I4" t="inlineStr">
        <is>
          <t>C</t>
        </is>
      </c>
      <c r="J4" t="n">
        <v>-0.7247289099999999</v>
      </c>
      <c r="K4" t="inlineStr">
        <is>
          <t>BS1C</t>
        </is>
      </c>
      <c r="L4" t="inlineStr">
        <is>
          <t>QUILLOTA</t>
        </is>
      </c>
      <c r="M4" t="n">
        <v>0.26051843932976</v>
      </c>
      <c r="N4" t="n">
        <v>0.1888052443090646</v>
      </c>
      <c r="O4" t="n">
        <v>488.192</v>
      </c>
      <c r="P4" t="n">
        <v>0.000146313186</v>
      </c>
      <c r="Q4" t="n">
        <v>0.142858</v>
      </c>
      <c r="R4" t="n">
        <v>0.02697233959150435</v>
      </c>
      <c r="S4" t="inlineStr">
        <is>
          <t>PNP_6T_08-05-2020</t>
        </is>
      </c>
      <c r="T4" t="inlineStr">
        <is>
          <t>PNCP_9T_12-08-2019</t>
        </is>
      </c>
      <c r="U4" t="inlineStr">
        <is>
          <t>PNCP_4T_30-04-2013</t>
        </is>
      </c>
      <c r="V4" t="inlineStr">
        <is>
          <t>QUILLOTA 220</t>
        </is>
      </c>
      <c r="W4" t="n">
        <v>111.133</v>
      </c>
      <c r="X4" t="n">
        <v>1.072776031070834</v>
      </c>
      <c r="Y4" t="n">
        <v>119.220818660995</v>
      </c>
      <c r="Z4" t="n">
        <v>694.38</v>
      </c>
      <c r="AA4" t="n">
        <v>0.875</v>
      </c>
      <c r="AB4" t="n">
        <v>72.43648305409401</v>
      </c>
      <c r="AC4" t="n">
        <v>1.0077</v>
      </c>
      <c r="AD4" t="n">
        <v>72.994</v>
      </c>
      <c r="AE4" t="n">
        <v>8.9176</v>
      </c>
      <c r="AF4" t="n">
        <v>9.566587534677272</v>
      </c>
      <c r="AG4" t="n">
        <v>0.913</v>
      </c>
      <c r="AH4" t="n">
        <v>6064.919358776563</v>
      </c>
      <c r="AI4" t="n">
        <v>1.025526742301459</v>
      </c>
      <c r="AJ4" t="n">
        <v>6219.737</v>
      </c>
      <c r="AK4" t="n">
        <v>167.7608585338445</v>
      </c>
      <c r="AL4" t="inlineStr">
        <is>
          <t>PNP_16T_02-11-2020</t>
        </is>
      </c>
      <c r="AM4" t="inlineStr">
        <is>
          <t>PNCP_2T_10-02-2020</t>
        </is>
      </c>
      <c r="AN4" t="inlineStr">
        <is>
          <t>PNCP_4T_30-04-2013</t>
        </is>
      </c>
      <c r="AO4" t="inlineStr">
        <is>
          <t>QUILLOTA 220</t>
        </is>
      </c>
      <c r="AP4" t="n">
        <v>111.133</v>
      </c>
      <c r="AQ4" t="n">
        <v>1.080821157758461</v>
      </c>
      <c r="AR4" t="n">
        <v>120.1148977251711</v>
      </c>
      <c r="AS4" t="n">
        <v>779.3099999999999</v>
      </c>
      <c r="AT4" t="n">
        <v>0.879</v>
      </c>
      <c r="AU4" t="n">
        <v>82.2803252917125</v>
      </c>
      <c r="AV4" t="n">
        <v>1.0097</v>
      </c>
      <c r="AW4" t="n">
        <v>83.078</v>
      </c>
      <c r="AX4" t="n">
        <v>8.9176</v>
      </c>
      <c r="AY4" t="n">
        <v>0.804</v>
      </c>
      <c r="AZ4" t="n">
        <v>6039.043023599974</v>
      </c>
      <c r="BA4" t="n">
        <v>1.02765397082658</v>
      </c>
      <c r="BB4" t="n">
        <v>6206.0465</v>
      </c>
      <c r="BC4" t="n">
        <v>167.391593718667</v>
      </c>
    </row>
    <row r="5">
      <c r="A5" t="n">
        <v>261473</v>
      </c>
      <c r="B5" t="inlineStr">
        <is>
          <t>01-10-2020</t>
        </is>
      </c>
      <c r="C5" t="n">
        <v>2020</v>
      </c>
      <c r="D5" t="n">
        <v>10</v>
      </c>
      <c r="E5" t="inlineStr">
        <is>
          <t>CAREN</t>
        </is>
      </c>
      <c r="F5" t="inlineStr">
        <is>
          <t>SUM_EMELCA_C</t>
        </is>
      </c>
      <c r="G5" t="inlineStr">
        <is>
          <t>EMELCA</t>
        </is>
      </c>
      <c r="H5" t="inlineStr">
        <is>
          <t>CASABLANCA</t>
        </is>
      </c>
      <c r="I5" t="inlineStr">
        <is>
          <t>C</t>
        </is>
      </c>
      <c r="J5" t="n">
        <v>-0.7247289099999999</v>
      </c>
      <c r="K5" t="inlineStr">
        <is>
          <t>BS1C</t>
        </is>
      </c>
      <c r="L5" t="inlineStr">
        <is>
          <t>MELIPILLA</t>
        </is>
      </c>
      <c r="M5" t="n">
        <v>0.49048315903389</v>
      </c>
      <c r="N5" t="n">
        <v>0.3554673247280454</v>
      </c>
      <c r="O5" t="n">
        <v>488.192</v>
      </c>
      <c r="P5" t="n">
        <v>0.000146313186</v>
      </c>
      <c r="Q5" t="n">
        <v>0.142858</v>
      </c>
      <c r="R5" t="n">
        <v>0.05078135107599911</v>
      </c>
      <c r="S5" t="inlineStr">
        <is>
          <t>PNP_6T_08-05-2020</t>
        </is>
      </c>
      <c r="T5" t="inlineStr">
        <is>
          <t>PNCP_9T_12-08-2019</t>
        </is>
      </c>
      <c r="U5" t="inlineStr">
        <is>
          <t>PNCP_4T_30-04-2013</t>
        </is>
      </c>
      <c r="V5" t="inlineStr">
        <is>
          <t>MELIPILLA 220</t>
        </is>
      </c>
      <c r="W5" t="n">
        <v>111.133</v>
      </c>
      <c r="X5" t="n">
        <v>1.072776031070834</v>
      </c>
      <c r="Y5" t="n">
        <v>119.220818660995</v>
      </c>
      <c r="Z5" t="n">
        <v>694.38</v>
      </c>
      <c r="AA5" t="n">
        <v>0.875</v>
      </c>
      <c r="AB5" t="n">
        <v>72.43648305409401</v>
      </c>
      <c r="AC5" t="n">
        <v>1.0179</v>
      </c>
      <c r="AD5" t="n">
        <v>73.733</v>
      </c>
      <c r="AE5" t="n">
        <v>8.9176</v>
      </c>
      <c r="AF5" t="n">
        <v>9.566587534677272</v>
      </c>
      <c r="AG5" t="n">
        <v>0.913</v>
      </c>
      <c r="AH5" t="n">
        <v>6064.919358776563</v>
      </c>
      <c r="AI5" t="n">
        <v>0.9897500976181179</v>
      </c>
      <c r="AJ5" t="n">
        <v>6002.7545</v>
      </c>
      <c r="AK5" t="n">
        <v>304.8279836875335</v>
      </c>
      <c r="AL5" t="inlineStr">
        <is>
          <t>PNP_16T_02-11-2020</t>
        </is>
      </c>
      <c r="AM5" t="inlineStr">
        <is>
          <t>PNCP_2T_10-02-2020</t>
        </is>
      </c>
      <c r="AN5" t="inlineStr">
        <is>
          <t>PNCP_4T_30-04-2013</t>
        </is>
      </c>
      <c r="AO5" t="inlineStr">
        <is>
          <t>MELIPILLA 220</t>
        </is>
      </c>
      <c r="AP5" t="n">
        <v>111.133</v>
      </c>
      <c r="AQ5" t="n">
        <v>1.080821157758461</v>
      </c>
      <c r="AR5" t="n">
        <v>120.1148977251711</v>
      </c>
      <c r="AS5" t="n">
        <v>779.3099999999999</v>
      </c>
      <c r="AT5" t="n">
        <v>0.879</v>
      </c>
      <c r="AU5" t="n">
        <v>82.2803252917125</v>
      </c>
      <c r="AV5" t="n">
        <v>0.9899</v>
      </c>
      <c r="AW5" t="n">
        <v>81.449</v>
      </c>
      <c r="AX5" t="n">
        <v>8.9176</v>
      </c>
      <c r="AY5" t="n">
        <v>0.804</v>
      </c>
      <c r="AZ5" t="n">
        <v>6039.043023599974</v>
      </c>
      <c r="BA5" t="n">
        <v>0.9919953143303397</v>
      </c>
      <c r="BB5" t="n">
        <v>5990.7024</v>
      </c>
      <c r="BC5" t="n">
        <v>304.2159617662305</v>
      </c>
    </row>
    <row r="6">
      <c r="A6" t="n">
        <v>268716</v>
      </c>
      <c r="B6" t="inlineStr">
        <is>
          <t>01-11-2020</t>
        </is>
      </c>
      <c r="C6" t="n">
        <v>2020</v>
      </c>
      <c r="D6" t="n">
        <v>11</v>
      </c>
      <c r="E6" t="inlineStr">
        <is>
          <t>CAREN</t>
        </is>
      </c>
      <c r="F6" t="inlineStr">
        <is>
          <t>SUM_EMELCA_C</t>
        </is>
      </c>
      <c r="G6" t="inlineStr">
        <is>
          <t>EMELCA</t>
        </is>
      </c>
      <c r="H6" t="inlineStr">
        <is>
          <t>CASABLANCA</t>
        </is>
      </c>
      <c r="I6" t="inlineStr">
        <is>
          <t>C</t>
        </is>
      </c>
      <c r="J6" t="n">
        <v>-0.7247289099999999</v>
      </c>
      <c r="K6" t="inlineStr">
        <is>
          <t>BS1C</t>
        </is>
      </c>
      <c r="L6" t="inlineStr">
        <is>
          <t>LOS MAQUIS</t>
        </is>
      </c>
      <c r="M6" t="n">
        <v>0.00574085785668</v>
      </c>
      <c r="N6" t="n">
        <v>0.004160565651178695</v>
      </c>
      <c r="O6" t="n">
        <v>488.192</v>
      </c>
      <c r="P6" t="n">
        <v>0.000146313186</v>
      </c>
      <c r="Q6" t="n">
        <v>0.142858</v>
      </c>
      <c r="R6" t="n">
        <v>0.000594370087796086</v>
      </c>
      <c r="S6" t="inlineStr">
        <is>
          <t>PNP_6T_08-05-2020</t>
        </is>
      </c>
      <c r="T6" t="inlineStr">
        <is>
          <t>PNCP_9T_12-08-2019</t>
        </is>
      </c>
      <c r="U6" t="inlineStr">
        <is>
          <t>PNCP_4T_30-04-2013</t>
        </is>
      </c>
      <c r="V6" t="inlineStr">
        <is>
          <t>LOS MAQUIS 220</t>
        </is>
      </c>
      <c r="W6" t="n">
        <v>111.133</v>
      </c>
      <c r="X6" t="n">
        <v>1.072776031070834</v>
      </c>
      <c r="Y6" t="n">
        <v>119.220818660995</v>
      </c>
      <c r="Z6" t="n">
        <v>694.38</v>
      </c>
      <c r="AA6" t="n">
        <v>0.875</v>
      </c>
      <c r="AB6" t="n">
        <v>72.43648305409401</v>
      </c>
      <c r="AC6" t="n">
        <v>1.0034</v>
      </c>
      <c r="AD6" t="n">
        <v>72.68300000000001</v>
      </c>
      <c r="AE6" t="n">
        <v>8.9176</v>
      </c>
      <c r="AF6" t="n">
        <v>9.566587534677272</v>
      </c>
      <c r="AG6" t="n">
        <v>0.913</v>
      </c>
      <c r="AH6" t="n">
        <v>6064.919358776563</v>
      </c>
      <c r="AI6" t="n">
        <v>1</v>
      </c>
      <c r="AJ6" t="n">
        <v>6064.9194</v>
      </c>
      <c r="AK6" t="n">
        <v>3.604806676254185</v>
      </c>
      <c r="AL6" t="inlineStr">
        <is>
          <t>PNP_16T_02-11-2020</t>
        </is>
      </c>
      <c r="AM6" t="inlineStr">
        <is>
          <t>PNCP_2T_10-02-2020</t>
        </is>
      </c>
      <c r="AN6" t="inlineStr">
        <is>
          <t>PNCP_4T_30-04-2013</t>
        </is>
      </c>
      <c r="AO6" t="inlineStr">
        <is>
          <t>LOS MAQUIS 220</t>
        </is>
      </c>
      <c r="AP6" t="n">
        <v>111.133</v>
      </c>
      <c r="AQ6" t="n">
        <v>1.080821157758461</v>
      </c>
      <c r="AR6" t="n">
        <v>120.1148977251711</v>
      </c>
      <c r="AS6" t="n">
        <v>779.3099999999999</v>
      </c>
      <c r="AT6" t="n">
        <v>0.879</v>
      </c>
      <c r="AU6" t="n">
        <v>82.2803252917125</v>
      </c>
      <c r="AV6" t="n">
        <v>1.0078</v>
      </c>
      <c r="AW6" t="n">
        <v>82.922</v>
      </c>
      <c r="AX6" t="n">
        <v>8.9176</v>
      </c>
      <c r="AY6" t="n">
        <v>0.804</v>
      </c>
      <c r="AZ6" t="n">
        <v>6039.043023599974</v>
      </c>
      <c r="BA6" t="n">
        <v>1</v>
      </c>
      <c r="BB6" t="n">
        <v>6039.043</v>
      </c>
      <c r="BC6" t="n">
        <v>3.589426518114339</v>
      </c>
    </row>
    <row r="7">
      <c r="A7" t="n">
        <v>268720</v>
      </c>
      <c r="B7" t="inlineStr">
        <is>
          <t>01-11-2020</t>
        </is>
      </c>
      <c r="C7" t="n">
        <v>2020</v>
      </c>
      <c r="D7" t="n">
        <v>11</v>
      </c>
      <c r="E7" t="inlineStr">
        <is>
          <t>CAREN</t>
        </is>
      </c>
      <c r="F7" t="inlineStr">
        <is>
          <t>SUM_EMELCA_C</t>
        </is>
      </c>
      <c r="G7" t="inlineStr">
        <is>
          <t>EMELCA</t>
        </is>
      </c>
      <c r="H7" t="inlineStr">
        <is>
          <t>CASABLANCA</t>
        </is>
      </c>
      <c r="I7" t="inlineStr">
        <is>
          <t>C</t>
        </is>
      </c>
      <c r="J7" t="n">
        <v>-0.7247289099999999</v>
      </c>
      <c r="K7" t="inlineStr">
        <is>
          <t>BS1C</t>
        </is>
      </c>
      <c r="L7" t="inlineStr">
        <is>
          <t>NOGALES</t>
        </is>
      </c>
      <c r="M7" t="n">
        <v>0.01150433518644</v>
      </c>
      <c r="N7" t="n">
        <v>0.008337524288404747</v>
      </c>
      <c r="O7" t="n">
        <v>488.192</v>
      </c>
      <c r="P7" t="n">
        <v>0.000146313186</v>
      </c>
      <c r="Q7" t="n">
        <v>0.142858</v>
      </c>
      <c r="R7" t="n">
        <v>0.001191082044792925</v>
      </c>
      <c r="S7" t="inlineStr">
        <is>
          <t>PNP_6T_08-05-2020</t>
        </is>
      </c>
      <c r="T7" t="inlineStr">
        <is>
          <t>PNCP_9T_12-08-2019</t>
        </is>
      </c>
      <c r="U7" t="inlineStr">
        <is>
          <t>PNCP_4T_30-04-2013</t>
        </is>
      </c>
      <c r="V7" t="inlineStr">
        <is>
          <t>NOGALES 220</t>
        </is>
      </c>
      <c r="W7" t="n">
        <v>111.133</v>
      </c>
      <c r="X7" t="n">
        <v>1.072776031070834</v>
      </c>
      <c r="Y7" t="n">
        <v>119.220818660995</v>
      </c>
      <c r="Z7" t="n">
        <v>694.38</v>
      </c>
      <c r="AA7" t="n">
        <v>0.875</v>
      </c>
      <c r="AB7" t="n">
        <v>72.43648305409401</v>
      </c>
      <c r="AC7" t="n">
        <v>0.9666</v>
      </c>
      <c r="AD7" t="n">
        <v>70.017</v>
      </c>
      <c r="AE7" t="n">
        <v>8.9176</v>
      </c>
      <c r="AF7" t="n">
        <v>9.566587534677272</v>
      </c>
      <c r="AG7" t="n">
        <v>0.913</v>
      </c>
      <c r="AH7" t="n">
        <v>6064.919358776563</v>
      </c>
      <c r="AI7" t="n">
        <v>0.9831643002028398</v>
      </c>
      <c r="AJ7" t="n">
        <v>5962.8122</v>
      </c>
      <c r="AK7" t="n">
        <v>7.102198547892202</v>
      </c>
      <c r="AL7" t="inlineStr">
        <is>
          <t>PNP_16T_02-11-2020</t>
        </is>
      </c>
      <c r="AM7" t="inlineStr">
        <is>
          <t>PNCP_2T_10-02-2020</t>
        </is>
      </c>
      <c r="AN7" t="inlineStr">
        <is>
          <t>PNCP_4T_30-04-2013</t>
        </is>
      </c>
      <c r="AO7" t="inlineStr">
        <is>
          <t>NOGALES 220</t>
        </is>
      </c>
      <c r="AP7" t="n">
        <v>111.133</v>
      </c>
      <c r="AQ7" t="n">
        <v>1.080821157758461</v>
      </c>
      <c r="AR7" t="n">
        <v>120.1148977251711</v>
      </c>
      <c r="AS7" t="n">
        <v>779.3099999999999</v>
      </c>
      <c r="AT7" t="n">
        <v>0.879</v>
      </c>
      <c r="AU7" t="n">
        <v>82.2803252917125</v>
      </c>
      <c r="AV7" t="n">
        <v>0.9656</v>
      </c>
      <c r="AW7" t="n">
        <v>79.45</v>
      </c>
      <c r="AX7" t="n">
        <v>8.9176</v>
      </c>
      <c r="AY7" t="n">
        <v>0.804</v>
      </c>
      <c r="AZ7" t="n">
        <v>6039.043023599974</v>
      </c>
      <c r="BA7" t="n">
        <v>0.9895537525354969</v>
      </c>
      <c r="BB7" t="n">
        <v>5975.9577</v>
      </c>
      <c r="BC7" t="n">
        <v>7.117855916912028</v>
      </c>
    </row>
    <row r="8">
      <c r="A8" t="n">
        <v>268722</v>
      </c>
      <c r="B8" t="inlineStr">
        <is>
          <t>01-11-2020</t>
        </is>
      </c>
      <c r="C8" t="n">
        <v>2020</v>
      </c>
      <c r="D8" t="n">
        <v>11</v>
      </c>
      <c r="E8" t="inlineStr">
        <is>
          <t>CAREN</t>
        </is>
      </c>
      <c r="F8" t="inlineStr">
        <is>
          <t>SUM_EMELCA_C</t>
        </is>
      </c>
      <c r="G8" t="inlineStr">
        <is>
          <t>EMELCA</t>
        </is>
      </c>
      <c r="H8" t="inlineStr">
        <is>
          <t>CASABLANCA</t>
        </is>
      </c>
      <c r="I8" t="inlineStr">
        <is>
          <t>C</t>
        </is>
      </c>
      <c r="J8" t="n">
        <v>-0.7247289099999999</v>
      </c>
      <c r="K8" t="inlineStr">
        <is>
          <t>BS1C</t>
        </is>
      </c>
      <c r="L8" t="inlineStr">
        <is>
          <t>QUILLOTA</t>
        </is>
      </c>
      <c r="M8" t="n">
        <v>0.26051843932976</v>
      </c>
      <c r="N8" t="n">
        <v>0.1888052443090646</v>
      </c>
      <c r="O8" t="n">
        <v>488.192</v>
      </c>
      <c r="P8" t="n">
        <v>0.000146313186</v>
      </c>
      <c r="Q8" t="n">
        <v>0.142858</v>
      </c>
      <c r="R8" t="n">
        <v>0.02697233959150435</v>
      </c>
      <c r="S8" t="inlineStr">
        <is>
          <t>PNP_6T_08-05-2020</t>
        </is>
      </c>
      <c r="T8" t="inlineStr">
        <is>
          <t>PNCP_9T_12-08-2019</t>
        </is>
      </c>
      <c r="U8" t="inlineStr">
        <is>
          <t>PNCP_4T_30-04-2013</t>
        </is>
      </c>
      <c r="V8" t="inlineStr">
        <is>
          <t>QUILLOTA 220</t>
        </is>
      </c>
      <c r="W8" t="n">
        <v>111.133</v>
      </c>
      <c r="X8" t="n">
        <v>1.072776031070834</v>
      </c>
      <c r="Y8" t="n">
        <v>119.220818660995</v>
      </c>
      <c r="Z8" t="n">
        <v>694.38</v>
      </c>
      <c r="AA8" t="n">
        <v>0.875</v>
      </c>
      <c r="AB8" t="n">
        <v>72.43648305409401</v>
      </c>
      <c r="AC8" t="n">
        <v>1.0077</v>
      </c>
      <c r="AD8" t="n">
        <v>72.994</v>
      </c>
      <c r="AE8" t="n">
        <v>8.9176</v>
      </c>
      <c r="AF8" t="n">
        <v>9.566587534677272</v>
      </c>
      <c r="AG8" t="n">
        <v>0.913</v>
      </c>
      <c r="AH8" t="n">
        <v>6064.919358776563</v>
      </c>
      <c r="AI8" t="n">
        <v>1.025526742301459</v>
      </c>
      <c r="AJ8" t="n">
        <v>6219.737</v>
      </c>
      <c r="AK8" t="n">
        <v>167.7608585338445</v>
      </c>
      <c r="AL8" t="inlineStr">
        <is>
          <t>PNP_16T_02-11-2020</t>
        </is>
      </c>
      <c r="AM8" t="inlineStr">
        <is>
          <t>PNCP_2T_10-02-2020</t>
        </is>
      </c>
      <c r="AN8" t="inlineStr">
        <is>
          <t>PNCP_4T_30-04-2013</t>
        </is>
      </c>
      <c r="AO8" t="inlineStr">
        <is>
          <t>QUILLOTA 220</t>
        </is>
      </c>
      <c r="AP8" t="n">
        <v>111.133</v>
      </c>
      <c r="AQ8" t="n">
        <v>1.080821157758461</v>
      </c>
      <c r="AR8" t="n">
        <v>120.1148977251711</v>
      </c>
      <c r="AS8" t="n">
        <v>779.3099999999999</v>
      </c>
      <c r="AT8" t="n">
        <v>0.879</v>
      </c>
      <c r="AU8" t="n">
        <v>82.2803252917125</v>
      </c>
      <c r="AV8" t="n">
        <v>1.0097</v>
      </c>
      <c r="AW8" t="n">
        <v>83.078</v>
      </c>
      <c r="AX8" t="n">
        <v>8.9176</v>
      </c>
      <c r="AY8" t="n">
        <v>0.804</v>
      </c>
      <c r="AZ8" t="n">
        <v>6039.043023599974</v>
      </c>
      <c r="BA8" t="n">
        <v>1.02765397082658</v>
      </c>
      <c r="BB8" t="n">
        <v>6206.0465</v>
      </c>
      <c r="BC8" t="n">
        <v>167.391593718667</v>
      </c>
    </row>
    <row r="9">
      <c r="A9" t="n">
        <v>268718</v>
      </c>
      <c r="B9" t="inlineStr">
        <is>
          <t>01-11-2020</t>
        </is>
      </c>
      <c r="C9" t="n">
        <v>2020</v>
      </c>
      <c r="D9" t="n">
        <v>11</v>
      </c>
      <c r="E9" t="inlineStr">
        <is>
          <t>CAREN</t>
        </is>
      </c>
      <c r="F9" t="inlineStr">
        <is>
          <t>SUM_EMELCA_C</t>
        </is>
      </c>
      <c r="G9" t="inlineStr">
        <is>
          <t>EMELCA</t>
        </is>
      </c>
      <c r="H9" t="inlineStr">
        <is>
          <t>CASABLANCA</t>
        </is>
      </c>
      <c r="I9" t="inlineStr">
        <is>
          <t>C</t>
        </is>
      </c>
      <c r="J9" t="n">
        <v>-0.7247289099999999</v>
      </c>
      <c r="K9" t="inlineStr">
        <is>
          <t>BS1C</t>
        </is>
      </c>
      <c r="L9" t="inlineStr">
        <is>
          <t>MELIPILLA</t>
        </is>
      </c>
      <c r="M9" t="n">
        <v>0.49048315903389</v>
      </c>
      <c r="N9" t="n">
        <v>0.3554673247280454</v>
      </c>
      <c r="O9" t="n">
        <v>488.192</v>
      </c>
      <c r="P9" t="n">
        <v>0.000146313186</v>
      </c>
      <c r="Q9" t="n">
        <v>0.142858</v>
      </c>
      <c r="R9" t="n">
        <v>0.05078135107599911</v>
      </c>
      <c r="S9" t="inlineStr">
        <is>
          <t>PNP_6T_08-05-2020</t>
        </is>
      </c>
      <c r="T9" t="inlineStr">
        <is>
          <t>PNCP_9T_12-08-2019</t>
        </is>
      </c>
      <c r="U9" t="inlineStr">
        <is>
          <t>PNCP_4T_30-04-2013</t>
        </is>
      </c>
      <c r="V9" t="inlineStr">
        <is>
          <t>MELIPILLA 220</t>
        </is>
      </c>
      <c r="W9" t="n">
        <v>111.133</v>
      </c>
      <c r="X9" t="n">
        <v>1.072776031070834</v>
      </c>
      <c r="Y9" t="n">
        <v>119.220818660995</v>
      </c>
      <c r="Z9" t="n">
        <v>694.38</v>
      </c>
      <c r="AA9" t="n">
        <v>0.875</v>
      </c>
      <c r="AB9" t="n">
        <v>72.43648305409401</v>
      </c>
      <c r="AC9" t="n">
        <v>1.0179</v>
      </c>
      <c r="AD9" t="n">
        <v>73.733</v>
      </c>
      <c r="AE9" t="n">
        <v>8.9176</v>
      </c>
      <c r="AF9" t="n">
        <v>9.566587534677272</v>
      </c>
      <c r="AG9" t="n">
        <v>0.913</v>
      </c>
      <c r="AH9" t="n">
        <v>6064.919358776563</v>
      </c>
      <c r="AI9" t="n">
        <v>0.9897500976181179</v>
      </c>
      <c r="AJ9" t="n">
        <v>6002.7545</v>
      </c>
      <c r="AK9" t="n">
        <v>304.8279836875335</v>
      </c>
      <c r="AL9" t="inlineStr">
        <is>
          <t>PNP_16T_02-11-2020</t>
        </is>
      </c>
      <c r="AM9" t="inlineStr">
        <is>
          <t>PNCP_2T_10-02-2020</t>
        </is>
      </c>
      <c r="AN9" t="inlineStr">
        <is>
          <t>PNCP_4T_30-04-2013</t>
        </is>
      </c>
      <c r="AO9" t="inlineStr">
        <is>
          <t>MELIPILLA 220</t>
        </is>
      </c>
      <c r="AP9" t="n">
        <v>111.133</v>
      </c>
      <c r="AQ9" t="n">
        <v>1.080821157758461</v>
      </c>
      <c r="AR9" t="n">
        <v>120.1148977251711</v>
      </c>
      <c r="AS9" t="n">
        <v>779.3099999999999</v>
      </c>
      <c r="AT9" t="n">
        <v>0.879</v>
      </c>
      <c r="AU9" t="n">
        <v>82.2803252917125</v>
      </c>
      <c r="AV9" t="n">
        <v>0.9899</v>
      </c>
      <c r="AW9" t="n">
        <v>81.449</v>
      </c>
      <c r="AX9" t="n">
        <v>8.9176</v>
      </c>
      <c r="AY9" t="n">
        <v>0.804</v>
      </c>
      <c r="AZ9" t="n">
        <v>6039.043023599974</v>
      </c>
      <c r="BA9" t="n">
        <v>0.9919953143303397</v>
      </c>
      <c r="BB9" t="n">
        <v>5990.7024</v>
      </c>
      <c r="BC9" t="n">
        <v>304.2159617662305</v>
      </c>
    </row>
    <row r="10">
      <c r="A10" t="n">
        <v>275961</v>
      </c>
      <c r="B10" t="inlineStr">
        <is>
          <t>01-12-2020</t>
        </is>
      </c>
      <c r="C10" t="n">
        <v>2020</v>
      </c>
      <c r="D10" t="n">
        <v>12</v>
      </c>
      <c r="E10" t="inlineStr">
        <is>
          <t>CAREN</t>
        </is>
      </c>
      <c r="F10" t="inlineStr">
        <is>
          <t>SUM_EMELCA_C</t>
        </is>
      </c>
      <c r="G10" t="inlineStr">
        <is>
          <t>EMELCA</t>
        </is>
      </c>
      <c r="H10" t="inlineStr">
        <is>
          <t>CASABLANCA</t>
        </is>
      </c>
      <c r="I10" t="inlineStr">
        <is>
          <t>C</t>
        </is>
      </c>
      <c r="J10" t="n">
        <v>-0.71331973</v>
      </c>
      <c r="K10" t="inlineStr">
        <is>
          <t>BS1C</t>
        </is>
      </c>
      <c r="L10" t="inlineStr">
        <is>
          <t>LOS MAQUIS</t>
        </is>
      </c>
      <c r="M10" t="n">
        <v>0.00574085785668</v>
      </c>
      <c r="N10" t="n">
        <v>0.004095067162268234</v>
      </c>
      <c r="O10" t="n">
        <v>488.192</v>
      </c>
      <c r="P10" t="n">
        <v>0.000146313186</v>
      </c>
      <c r="Q10" t="n">
        <v>0.142858</v>
      </c>
      <c r="R10" t="n">
        <v>0.0005850131046673155</v>
      </c>
      <c r="S10" t="inlineStr">
        <is>
          <t>PNP_6T_08-05-2020</t>
        </is>
      </c>
      <c r="T10" t="inlineStr">
        <is>
          <t>PNCP_9T_12-08-2019</t>
        </is>
      </c>
      <c r="U10" t="inlineStr">
        <is>
          <t>PNCP_4T_30-04-2013</t>
        </is>
      </c>
      <c r="V10" t="inlineStr">
        <is>
          <t>LOS MAQUIS 220</t>
        </is>
      </c>
      <c r="W10" t="n">
        <v>111.133</v>
      </c>
      <c r="X10" t="n">
        <v>1.072776031070834</v>
      </c>
      <c r="Y10" t="n">
        <v>119.220818660995</v>
      </c>
      <c r="Z10" t="n">
        <v>694.38</v>
      </c>
      <c r="AA10" t="n">
        <v>0.875</v>
      </c>
      <c r="AB10" t="n">
        <v>72.43648305409401</v>
      </c>
      <c r="AC10" t="n">
        <v>1.0034</v>
      </c>
      <c r="AD10" t="n">
        <v>72.68300000000001</v>
      </c>
      <c r="AE10" t="n">
        <v>8.9176</v>
      </c>
      <c r="AF10" t="n">
        <v>9.566587534677272</v>
      </c>
      <c r="AG10" t="n">
        <v>0.913</v>
      </c>
      <c r="AH10" t="n">
        <v>6064.919358776563</v>
      </c>
      <c r="AI10" t="n">
        <v>1</v>
      </c>
      <c r="AJ10" t="n">
        <v>6064.9194</v>
      </c>
      <c r="AK10" t="n">
        <v>3.548057327751032</v>
      </c>
      <c r="AL10" t="inlineStr">
        <is>
          <t>PNP_16T_02-11-2020</t>
        </is>
      </c>
      <c r="AM10" t="inlineStr">
        <is>
          <t>PNCP_2T_10-02-2020</t>
        </is>
      </c>
      <c r="AN10" t="inlineStr">
        <is>
          <t>PNCP_4T_30-04-2013</t>
        </is>
      </c>
      <c r="AO10" t="inlineStr">
        <is>
          <t>LOS MAQUIS 220</t>
        </is>
      </c>
      <c r="AP10" t="n">
        <v>111.133</v>
      </c>
      <c r="AQ10" t="n">
        <v>1.080821157758461</v>
      </c>
      <c r="AR10" t="n">
        <v>120.1148977251711</v>
      </c>
      <c r="AS10" t="n">
        <v>779.3099999999999</v>
      </c>
      <c r="AT10" t="n">
        <v>0.879</v>
      </c>
      <c r="AU10" t="n">
        <v>82.2803252917125</v>
      </c>
      <c r="AV10" t="n">
        <v>1.0078</v>
      </c>
      <c r="AW10" t="n">
        <v>82.922</v>
      </c>
      <c r="AX10" t="n">
        <v>8.9176</v>
      </c>
      <c r="AY10" t="n">
        <v>0.804</v>
      </c>
      <c r="AZ10" t="n">
        <v>6039.043023599974</v>
      </c>
      <c r="BA10" t="n">
        <v>1</v>
      </c>
      <c r="BB10" t="n">
        <v>6039.043</v>
      </c>
      <c r="BC10" t="n">
        <v>3.532919294649419</v>
      </c>
    </row>
    <row r="11">
      <c r="A11" t="n">
        <v>275965</v>
      </c>
      <c r="B11" t="inlineStr">
        <is>
          <t>01-12-2020</t>
        </is>
      </c>
      <c r="C11" t="n">
        <v>2020</v>
      </c>
      <c r="D11" t="n">
        <v>12</v>
      </c>
      <c r="E11" t="inlineStr">
        <is>
          <t>CAREN</t>
        </is>
      </c>
      <c r="F11" t="inlineStr">
        <is>
          <t>SUM_EMELCA_C</t>
        </is>
      </c>
      <c r="G11" t="inlineStr">
        <is>
          <t>EMELCA</t>
        </is>
      </c>
      <c r="H11" t="inlineStr">
        <is>
          <t>CASABLANCA</t>
        </is>
      </c>
      <c r="I11" t="inlineStr">
        <is>
          <t>C</t>
        </is>
      </c>
      <c r="J11" t="n">
        <v>-0.71331973</v>
      </c>
      <c r="K11" t="inlineStr">
        <is>
          <t>BS1C</t>
        </is>
      </c>
      <c r="L11" t="inlineStr">
        <is>
          <t>NOGALES</t>
        </is>
      </c>
      <c r="M11" t="n">
        <v>0.01150433518644</v>
      </c>
      <c r="N11" t="n">
        <v>0.008206269240911369</v>
      </c>
      <c r="O11" t="n">
        <v>488.192</v>
      </c>
      <c r="P11" t="n">
        <v>0.000146313186</v>
      </c>
      <c r="Q11" t="n">
        <v>0.142858</v>
      </c>
      <c r="R11" t="n">
        <v>0.001172331211218117</v>
      </c>
      <c r="S11" t="inlineStr">
        <is>
          <t>PNP_6T_08-05-2020</t>
        </is>
      </c>
      <c r="T11" t="inlineStr">
        <is>
          <t>PNCP_9T_12-08-2019</t>
        </is>
      </c>
      <c r="U11" t="inlineStr">
        <is>
          <t>PNCP_4T_30-04-2013</t>
        </is>
      </c>
      <c r="V11" t="inlineStr">
        <is>
          <t>NOGALES 220</t>
        </is>
      </c>
      <c r="W11" t="n">
        <v>111.133</v>
      </c>
      <c r="X11" t="n">
        <v>1.072776031070834</v>
      </c>
      <c r="Y11" t="n">
        <v>119.220818660995</v>
      </c>
      <c r="Z11" t="n">
        <v>694.38</v>
      </c>
      <c r="AA11" t="n">
        <v>0.875</v>
      </c>
      <c r="AB11" t="n">
        <v>72.43648305409401</v>
      </c>
      <c r="AC11" t="n">
        <v>0.9666</v>
      </c>
      <c r="AD11" t="n">
        <v>70.017</v>
      </c>
      <c r="AE11" t="n">
        <v>8.9176</v>
      </c>
      <c r="AF11" t="n">
        <v>9.566587534677272</v>
      </c>
      <c r="AG11" t="n">
        <v>0.913</v>
      </c>
      <c r="AH11" t="n">
        <v>6064.919358776563</v>
      </c>
      <c r="AI11" t="n">
        <v>0.9831643002028398</v>
      </c>
      <c r="AJ11" t="n">
        <v>5962.8122</v>
      </c>
      <c r="AK11" t="n">
        <v>6.990390848692162</v>
      </c>
      <c r="AL11" t="inlineStr">
        <is>
          <t>PNP_16T_02-11-2020</t>
        </is>
      </c>
      <c r="AM11" t="inlineStr">
        <is>
          <t>PNCP_2T_10-02-2020</t>
        </is>
      </c>
      <c r="AN11" t="inlineStr">
        <is>
          <t>PNCP_4T_30-04-2013</t>
        </is>
      </c>
      <c r="AO11" t="inlineStr">
        <is>
          <t>NOGALES 220</t>
        </is>
      </c>
      <c r="AP11" t="n">
        <v>111.133</v>
      </c>
      <c r="AQ11" t="n">
        <v>1.080821157758461</v>
      </c>
      <c r="AR11" t="n">
        <v>120.1148977251711</v>
      </c>
      <c r="AS11" t="n">
        <v>779.3099999999999</v>
      </c>
      <c r="AT11" t="n">
        <v>0.879</v>
      </c>
      <c r="AU11" t="n">
        <v>82.2803252917125</v>
      </c>
      <c r="AV11" t="n">
        <v>0.9656</v>
      </c>
      <c r="AW11" t="n">
        <v>79.45</v>
      </c>
      <c r="AX11" t="n">
        <v>8.9176</v>
      </c>
      <c r="AY11" t="n">
        <v>0.804</v>
      </c>
      <c r="AZ11" t="n">
        <v>6039.043023599974</v>
      </c>
      <c r="BA11" t="n">
        <v>0.9895537525354969</v>
      </c>
      <c r="BB11" t="n">
        <v>5975.9577</v>
      </c>
      <c r="BC11" t="n">
        <v>7.00580172862923</v>
      </c>
    </row>
    <row r="12">
      <c r="A12" t="n">
        <v>275967</v>
      </c>
      <c r="B12" t="inlineStr">
        <is>
          <t>01-12-2020</t>
        </is>
      </c>
      <c r="C12" t="n">
        <v>2020</v>
      </c>
      <c r="D12" t="n">
        <v>12</v>
      </c>
      <c r="E12" t="inlineStr">
        <is>
          <t>CAREN</t>
        </is>
      </c>
      <c r="F12" t="inlineStr">
        <is>
          <t>SUM_EMELCA_C</t>
        </is>
      </c>
      <c r="G12" t="inlineStr">
        <is>
          <t>EMELCA</t>
        </is>
      </c>
      <c r="H12" t="inlineStr">
        <is>
          <t>CASABLANCA</t>
        </is>
      </c>
      <c r="I12" t="inlineStr">
        <is>
          <t>C</t>
        </is>
      </c>
      <c r="J12" t="n">
        <v>-0.71331973</v>
      </c>
      <c r="K12" t="inlineStr">
        <is>
          <t>BS1C</t>
        </is>
      </c>
      <c r="L12" t="inlineStr">
        <is>
          <t>QUILLOTA</t>
        </is>
      </c>
      <c r="M12" t="n">
        <v>0.26051843932976</v>
      </c>
      <c r="N12" t="n">
        <v>0.1858329421661791</v>
      </c>
      <c r="O12" t="n">
        <v>488.192</v>
      </c>
      <c r="P12" t="n">
        <v>0.000146313186</v>
      </c>
      <c r="Q12" t="n">
        <v>0.142858</v>
      </c>
      <c r="R12" t="n">
        <v>0.02654772245197602</v>
      </c>
      <c r="S12" t="inlineStr">
        <is>
          <t>PNP_6T_08-05-2020</t>
        </is>
      </c>
      <c r="T12" t="inlineStr">
        <is>
          <t>PNCP_9T_12-08-2019</t>
        </is>
      </c>
      <c r="U12" t="inlineStr">
        <is>
          <t>PNCP_4T_30-04-2013</t>
        </is>
      </c>
      <c r="V12" t="inlineStr">
        <is>
          <t>QUILLOTA 220</t>
        </is>
      </c>
      <c r="W12" t="n">
        <v>111.133</v>
      </c>
      <c r="X12" t="n">
        <v>1.072776031070834</v>
      </c>
      <c r="Y12" t="n">
        <v>119.220818660995</v>
      </c>
      <c r="Z12" t="n">
        <v>694.38</v>
      </c>
      <c r="AA12" t="n">
        <v>0.875</v>
      </c>
      <c r="AB12" t="n">
        <v>72.43648305409401</v>
      </c>
      <c r="AC12" t="n">
        <v>1.0077</v>
      </c>
      <c r="AD12" t="n">
        <v>72.994</v>
      </c>
      <c r="AE12" t="n">
        <v>8.9176</v>
      </c>
      <c r="AF12" t="n">
        <v>9.566587534677272</v>
      </c>
      <c r="AG12" t="n">
        <v>0.913</v>
      </c>
      <c r="AH12" t="n">
        <v>6064.919358776563</v>
      </c>
      <c r="AI12" t="n">
        <v>1.025526742301459</v>
      </c>
      <c r="AJ12" t="n">
        <v>6219.737</v>
      </c>
      <c r="AK12" t="n">
        <v>165.119851600286</v>
      </c>
      <c r="AL12" t="inlineStr">
        <is>
          <t>PNP_16T_02-11-2020</t>
        </is>
      </c>
      <c r="AM12" t="inlineStr">
        <is>
          <t>PNCP_2T_10-02-2020</t>
        </is>
      </c>
      <c r="AN12" t="inlineStr">
        <is>
          <t>PNCP_4T_30-04-2013</t>
        </is>
      </c>
      <c r="AO12" t="inlineStr">
        <is>
          <t>QUILLOTA 220</t>
        </is>
      </c>
      <c r="AP12" t="n">
        <v>111.133</v>
      </c>
      <c r="AQ12" t="n">
        <v>1.080821157758461</v>
      </c>
      <c r="AR12" t="n">
        <v>120.1148977251711</v>
      </c>
      <c r="AS12" t="n">
        <v>779.3099999999999</v>
      </c>
      <c r="AT12" t="n">
        <v>0.879</v>
      </c>
      <c r="AU12" t="n">
        <v>82.2803252917125</v>
      </c>
      <c r="AV12" t="n">
        <v>1.0097</v>
      </c>
      <c r="AW12" t="n">
        <v>83.078</v>
      </c>
      <c r="AX12" t="n">
        <v>8.9176</v>
      </c>
      <c r="AY12" t="n">
        <v>0.804</v>
      </c>
      <c r="AZ12" t="n">
        <v>6039.043023599974</v>
      </c>
      <c r="BA12" t="n">
        <v>1.02765397082658</v>
      </c>
      <c r="BB12" t="n">
        <v>6206.0465</v>
      </c>
      <c r="BC12" t="n">
        <v>164.7564000060572</v>
      </c>
    </row>
    <row r="13">
      <c r="A13" t="n">
        <v>275963</v>
      </c>
      <c r="B13" t="inlineStr">
        <is>
          <t>01-12-2020</t>
        </is>
      </c>
      <c r="C13" t="n">
        <v>2020</v>
      </c>
      <c r="D13" t="n">
        <v>12</v>
      </c>
      <c r="E13" t="inlineStr">
        <is>
          <t>CAREN</t>
        </is>
      </c>
      <c r="F13" t="inlineStr">
        <is>
          <t>SUM_EMELCA_C</t>
        </is>
      </c>
      <c r="G13" t="inlineStr">
        <is>
          <t>EMELCA</t>
        </is>
      </c>
      <c r="H13" t="inlineStr">
        <is>
          <t>CASABLANCA</t>
        </is>
      </c>
      <c r="I13" t="inlineStr">
        <is>
          <t>C</t>
        </is>
      </c>
      <c r="J13" t="n">
        <v>-0.71331973</v>
      </c>
      <c r="K13" t="inlineStr">
        <is>
          <t>BS1C</t>
        </is>
      </c>
      <c r="L13" t="inlineStr">
        <is>
          <t>MELIPILLA</t>
        </is>
      </c>
      <c r="M13" t="n">
        <v>0.49048315903389</v>
      </c>
      <c r="N13" t="n">
        <v>0.3498713133731627</v>
      </c>
      <c r="O13" t="n">
        <v>488.192</v>
      </c>
      <c r="P13" t="n">
        <v>0.000146313186</v>
      </c>
      <c r="Q13" t="n">
        <v>0.142858</v>
      </c>
      <c r="R13" t="n">
        <v>0.04998191608586328</v>
      </c>
      <c r="S13" t="inlineStr">
        <is>
          <t>PNP_6T_08-05-2020</t>
        </is>
      </c>
      <c r="T13" t="inlineStr">
        <is>
          <t>PNCP_9T_12-08-2019</t>
        </is>
      </c>
      <c r="U13" t="inlineStr">
        <is>
          <t>PNCP_4T_30-04-2013</t>
        </is>
      </c>
      <c r="V13" t="inlineStr">
        <is>
          <t>MELIPILLA 220</t>
        </is>
      </c>
      <c r="W13" t="n">
        <v>111.133</v>
      </c>
      <c r="X13" t="n">
        <v>1.072776031070834</v>
      </c>
      <c r="Y13" t="n">
        <v>119.220818660995</v>
      </c>
      <c r="Z13" t="n">
        <v>694.38</v>
      </c>
      <c r="AA13" t="n">
        <v>0.875</v>
      </c>
      <c r="AB13" t="n">
        <v>72.43648305409401</v>
      </c>
      <c r="AC13" t="n">
        <v>1.0179</v>
      </c>
      <c r="AD13" t="n">
        <v>73.733</v>
      </c>
      <c r="AE13" t="n">
        <v>8.9176</v>
      </c>
      <c r="AF13" t="n">
        <v>9.566587534677272</v>
      </c>
      <c r="AG13" t="n">
        <v>0.913</v>
      </c>
      <c r="AH13" t="n">
        <v>6064.919358776563</v>
      </c>
      <c r="AI13" t="n">
        <v>0.9897500976181179</v>
      </c>
      <c r="AJ13" t="n">
        <v>6002.7545</v>
      </c>
      <c r="AK13" t="n">
        <v>300.0291717030382</v>
      </c>
      <c r="AL13" t="inlineStr">
        <is>
          <t>PNP_16T_02-11-2020</t>
        </is>
      </c>
      <c r="AM13" t="inlineStr">
        <is>
          <t>PNCP_2T_10-02-2020</t>
        </is>
      </c>
      <c r="AN13" t="inlineStr">
        <is>
          <t>PNCP_4T_30-04-2013</t>
        </is>
      </c>
      <c r="AO13" t="inlineStr">
        <is>
          <t>MELIPILLA 220</t>
        </is>
      </c>
      <c r="AP13" t="n">
        <v>111.133</v>
      </c>
      <c r="AQ13" t="n">
        <v>1.080821157758461</v>
      </c>
      <c r="AR13" t="n">
        <v>120.1148977251711</v>
      </c>
      <c r="AS13" t="n">
        <v>779.3099999999999</v>
      </c>
      <c r="AT13" t="n">
        <v>0.879</v>
      </c>
      <c r="AU13" t="n">
        <v>82.2803252917125</v>
      </c>
      <c r="AV13" t="n">
        <v>0.9899</v>
      </c>
      <c r="AW13" t="n">
        <v>81.449</v>
      </c>
      <c r="AX13" t="n">
        <v>8.9176</v>
      </c>
      <c r="AY13" t="n">
        <v>0.804</v>
      </c>
      <c r="AZ13" t="n">
        <v>6039.043023599974</v>
      </c>
      <c r="BA13" t="n">
        <v>0.9919953143303397</v>
      </c>
      <c r="BB13" t="n">
        <v>5990.7024</v>
      </c>
      <c r="BC13" t="n">
        <v>299.4267846521797</v>
      </c>
    </row>
  </sheetData>
  <pageMargins left="0.7" right="0.7" top="0.75" bottom="0.75" header="0.3" footer="0.3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P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Tipo</t>
        </is>
      </c>
      <c r="B1" s="1" t="inlineStr">
        <is>
          <t>MesDevengado</t>
        </is>
      </c>
      <c r="C1" s="1" t="inlineStr">
        <is>
          <t>Anho</t>
        </is>
      </c>
      <c r="D1" s="1" t="inlineStr">
        <is>
          <t>Mes</t>
        </is>
      </c>
      <c r="E1" s="1" t="inlineStr">
        <is>
          <t>Empresa</t>
        </is>
      </c>
      <c r="F1" s="1" t="inlineStr">
        <is>
          <t>Propietario</t>
        </is>
      </c>
      <c r="G1" s="1" t="inlineStr">
        <is>
          <t>Turno</t>
        </is>
      </c>
      <c r="H1" s="1" t="inlineStr">
        <is>
          <t>Distribuidora</t>
        </is>
      </c>
      <c r="I1" s="1" t="inlineStr">
        <is>
          <t>Clave</t>
        </is>
      </c>
      <c r="J1" s="1" t="inlineStr">
        <is>
          <t>PuntoRetiro</t>
        </is>
      </c>
      <c r="K1" s="1" t="inlineStr">
        <is>
          <t>ConsumoEnergiaBT</t>
        </is>
      </c>
      <c r="L1" s="1" t="inlineStr">
        <is>
          <t>Prorrata</t>
        </is>
      </c>
      <c r="M1" s="1" t="inlineStr">
        <is>
          <t>Medida_kWh</t>
        </is>
      </c>
      <c r="N1" s="1" t="inlineStr">
        <is>
          <t>PuntoRetiroBT</t>
        </is>
      </c>
      <c r="O1" s="1" t="inlineStr">
        <is>
          <t>Bloque</t>
        </is>
      </c>
      <c r="P1" s="1" t="inlineStr">
        <is>
          <t>Incremento</t>
        </is>
      </c>
    </row>
    <row r="2">
      <c r="A2" t="inlineStr">
        <is>
          <t>R_G</t>
        </is>
      </c>
      <c r="B2" t="inlineStr">
        <is>
          <t>01-01-2021</t>
        </is>
      </c>
      <c r="C2" t="n">
        <v>2021</v>
      </c>
      <c r="D2" t="n">
        <v>1</v>
      </c>
      <c r="E2" t="inlineStr">
        <is>
          <t>CAREN</t>
        </is>
      </c>
      <c r="F2" t="inlineStr">
        <is>
          <t>SUM_EMELCA_C</t>
        </is>
      </c>
      <c r="G2" t="inlineStr">
        <is>
          <t>C</t>
        </is>
      </c>
      <c r="H2" t="inlineStr">
        <is>
          <t>EMELCA</t>
        </is>
      </c>
      <c r="I2" t="inlineStr">
        <is>
          <t>CBLANCAC</t>
        </is>
      </c>
      <c r="J2" t="inlineStr">
        <is>
          <t>CASABLANCA</t>
        </is>
      </c>
      <c r="M2" t="n">
        <v>79.54368229000001</v>
      </c>
      <c r="N2" t="inlineStr">
        <is>
          <t>CASABLANCA</t>
        </is>
      </c>
      <c r="O2" t="inlineStr">
        <is>
          <t>BS1C</t>
        </is>
      </c>
      <c r="P2" t="n">
        <v>2</v>
      </c>
    </row>
    <row r="3">
      <c r="A3" t="inlineStr">
        <is>
          <t>R_G</t>
        </is>
      </c>
      <c r="B3" t="inlineStr">
        <is>
          <t>01-02-2021</t>
        </is>
      </c>
      <c r="C3" t="n">
        <v>2021</v>
      </c>
      <c r="D3" t="n">
        <v>1</v>
      </c>
      <c r="E3" t="inlineStr">
        <is>
          <t>CAREN</t>
        </is>
      </c>
      <c r="F3" t="inlineStr">
        <is>
          <t>SUM_EMELCA_C</t>
        </is>
      </c>
      <c r="G3" t="inlineStr">
        <is>
          <t>C</t>
        </is>
      </c>
      <c r="H3" t="inlineStr">
        <is>
          <t>EMELCA</t>
        </is>
      </c>
      <c r="I3" t="inlineStr">
        <is>
          <t>CBLANCAC</t>
        </is>
      </c>
      <c r="J3" t="inlineStr">
        <is>
          <t>CASABLANCA</t>
        </is>
      </c>
      <c r="M3" t="n">
        <v>126.11766171</v>
      </c>
      <c r="N3" t="inlineStr">
        <is>
          <t>CASABLANCA</t>
        </is>
      </c>
      <c r="O3" t="inlineStr">
        <is>
          <t>BS1C</t>
        </is>
      </c>
      <c r="P3" t="n">
        <v>2</v>
      </c>
    </row>
    <row r="4">
      <c r="A4" t="inlineStr">
        <is>
          <t>R_G</t>
        </is>
      </c>
      <c r="B4" t="inlineStr">
        <is>
          <t>01-03-2021</t>
        </is>
      </c>
      <c r="C4" t="n">
        <v>2021</v>
      </c>
      <c r="D4" t="n">
        <v>1</v>
      </c>
      <c r="E4" t="inlineStr">
        <is>
          <t>CAREN</t>
        </is>
      </c>
      <c r="F4" t="inlineStr">
        <is>
          <t>SUM_EMELCA_C</t>
        </is>
      </c>
      <c r="G4" t="inlineStr">
        <is>
          <t>C</t>
        </is>
      </c>
      <c r="H4" t="inlineStr">
        <is>
          <t>EMELCA</t>
        </is>
      </c>
      <c r="I4" t="inlineStr">
        <is>
          <t>CBLANCAC</t>
        </is>
      </c>
      <c r="J4" t="inlineStr">
        <is>
          <t>CASABLANCA</t>
        </is>
      </c>
      <c r="M4" t="n">
        <v>87.61438248</v>
      </c>
      <c r="N4" t="inlineStr">
        <is>
          <t>CASABLANCA</t>
        </is>
      </c>
      <c r="O4" t="inlineStr">
        <is>
          <t>BS1C</t>
        </is>
      </c>
      <c r="P4" t="n">
        <v>2</v>
      </c>
    </row>
    <row r="5">
      <c r="A5" t="inlineStr">
        <is>
          <t>R_G</t>
        </is>
      </c>
      <c r="B5" t="inlineStr">
        <is>
          <t>01-10-2020</t>
        </is>
      </c>
      <c r="C5" t="n">
        <v>2020</v>
      </c>
      <c r="D5" t="n">
        <v>1</v>
      </c>
      <c r="E5" t="inlineStr">
        <is>
          <t>CAREN</t>
        </is>
      </c>
      <c r="F5" t="inlineStr">
        <is>
          <t>SUM_EMELCA_C</t>
        </is>
      </c>
      <c r="G5" t="inlineStr">
        <is>
          <t>C</t>
        </is>
      </c>
      <c r="H5" t="inlineStr">
        <is>
          <t>EMELCA</t>
        </is>
      </c>
      <c r="I5" t="inlineStr">
        <is>
          <t>CBLANCAC</t>
        </is>
      </c>
      <c r="J5" t="inlineStr">
        <is>
          <t>CASABLANCA</t>
        </is>
      </c>
      <c r="K5" t="n">
        <v>15.53983643703062</v>
      </c>
      <c r="L5" t="n">
        <v>0.142858</v>
      </c>
      <c r="M5" t="n">
        <v>108.77820239</v>
      </c>
      <c r="N5" t="inlineStr">
        <is>
          <t>CASABLANCA</t>
        </is>
      </c>
      <c r="O5" t="inlineStr">
        <is>
          <t>BS1C</t>
        </is>
      </c>
      <c r="P5" t="n">
        <v>2</v>
      </c>
    </row>
    <row r="6">
      <c r="A6" t="inlineStr">
        <is>
          <t>R_G</t>
        </is>
      </c>
      <c r="B6" t="inlineStr">
        <is>
          <t>01-11-2020</t>
        </is>
      </c>
      <c r="C6" t="n">
        <v>2020</v>
      </c>
      <c r="D6" t="n">
        <v>1</v>
      </c>
      <c r="E6" t="inlineStr">
        <is>
          <t>CAREN</t>
        </is>
      </c>
      <c r="F6" t="inlineStr">
        <is>
          <t>SUM_EMELCA_C</t>
        </is>
      </c>
      <c r="G6" t="inlineStr">
        <is>
          <t>C</t>
        </is>
      </c>
      <c r="H6" t="inlineStr">
        <is>
          <t>EMELCA</t>
        </is>
      </c>
      <c r="I6" t="inlineStr">
        <is>
          <t>CBLANCAC</t>
        </is>
      </c>
      <c r="J6" t="inlineStr">
        <is>
          <t>CASABLANCA</t>
        </is>
      </c>
      <c r="K6" t="n">
        <v>12.50397372910652</v>
      </c>
      <c r="L6" t="n">
        <v>0.142858</v>
      </c>
      <c r="M6" t="n">
        <v>87.52729094</v>
      </c>
      <c r="N6" t="inlineStr">
        <is>
          <t>CASABLANCA</t>
        </is>
      </c>
      <c r="O6" t="inlineStr">
        <is>
          <t>BS1C</t>
        </is>
      </c>
      <c r="P6" t="n">
        <v>2</v>
      </c>
    </row>
    <row r="7">
      <c r="A7" t="inlineStr">
        <is>
          <t>R_G</t>
        </is>
      </c>
      <c r="B7" t="inlineStr">
        <is>
          <t>01-12-2020</t>
        </is>
      </c>
      <c r="C7" t="n">
        <v>2020</v>
      </c>
      <c r="D7" t="n">
        <v>1</v>
      </c>
      <c r="E7" t="inlineStr">
        <is>
          <t>CAREN</t>
        </is>
      </c>
      <c r="F7" t="inlineStr">
        <is>
          <t>SUM_EMELCA_C</t>
        </is>
      </c>
      <c r="G7" t="inlineStr">
        <is>
          <t>C</t>
        </is>
      </c>
      <c r="H7" t="inlineStr">
        <is>
          <t>EMELCA</t>
        </is>
      </c>
      <c r="I7" t="inlineStr">
        <is>
          <t>CBLANCAC</t>
        </is>
      </c>
      <c r="J7" t="inlineStr">
        <is>
          <t>CASABLANCA</t>
        </is>
      </c>
      <c r="K7" t="n">
        <v>12.93366775296948</v>
      </c>
      <c r="L7" t="n">
        <v>0.142858</v>
      </c>
      <c r="M7" t="n">
        <v>90.53513106</v>
      </c>
      <c r="N7" t="inlineStr">
        <is>
          <t>CASABLANCA</t>
        </is>
      </c>
      <c r="O7" t="inlineStr">
        <is>
          <t>BS1C</t>
        </is>
      </c>
      <c r="P7" t="n">
        <v>2</v>
      </c>
    </row>
  </sheetData>
  <pageMargins left="0.7" right="0.7" top="0.75" bottom="0.75" header="0.3" footer="0.3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AD23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IdContrato</t>
        </is>
      </c>
      <c r="B1" s="1" t="inlineStr">
        <is>
          <t>MesDevengado</t>
        </is>
      </c>
      <c r="C1" s="1" t="inlineStr">
        <is>
          <t>Anho</t>
        </is>
      </c>
      <c r="D1" s="1" t="inlineStr">
        <is>
          <t>Mes</t>
        </is>
      </c>
      <c r="E1" s="1" t="inlineStr">
        <is>
          <t>Codigo</t>
        </is>
      </c>
      <c r="F1" s="1" t="inlineStr">
        <is>
          <t>DX</t>
        </is>
      </c>
      <c r="G1" s="1" t="inlineStr">
        <is>
          <t>NomEmpresaDistribuidora</t>
        </is>
      </c>
      <c r="H1" s="1" t="inlineStr">
        <is>
          <t>GX</t>
        </is>
      </c>
      <c r="I1" s="1" t="inlineStr">
        <is>
          <t>NomSuministrador</t>
        </is>
      </c>
      <c r="J1" s="1" t="inlineStr">
        <is>
          <t>CodigoContrato</t>
        </is>
      </c>
      <c r="K1" s="1" t="inlineStr">
        <is>
          <t>PuntoRetiro</t>
        </is>
      </c>
      <c r="L1" s="1" t="inlineStr">
        <is>
          <t>Contrato</t>
        </is>
      </c>
      <c r="M1" s="1" t="inlineStr">
        <is>
          <t>Energia_kWh</t>
        </is>
      </c>
      <c r="N1" s="1" t="inlineStr">
        <is>
          <t>Potencia_kW</t>
        </is>
      </c>
      <c r="O1" s="1" t="inlineStr">
        <is>
          <t>Sistema</t>
        </is>
      </c>
      <c r="P1" s="1" t="inlineStr">
        <is>
          <t>DataCreated</t>
        </is>
      </c>
      <c r="Q1" s="1" t="inlineStr">
        <is>
          <t>IdBarra</t>
        </is>
      </c>
      <c r="R1" s="1" t="inlineStr">
        <is>
          <t>NomBarra</t>
        </is>
      </c>
      <c r="S1" s="1" t="inlineStr">
        <is>
          <t>Energia</t>
        </is>
      </c>
      <c r="T1" s="1" t="inlineStr">
        <is>
          <t>PrecioEnergia</t>
        </is>
      </c>
      <c r="U1" s="1" t="inlineStr">
        <is>
          <t>PrecioEnergiaAjustado</t>
        </is>
      </c>
      <c r="V1" s="1" t="inlineStr">
        <is>
          <t>TotalEnergia</t>
        </is>
      </c>
      <c r="W1" s="1" t="inlineStr">
        <is>
          <t>TotalEnergiaAjustado</t>
        </is>
      </c>
      <c r="X1" s="1" t="inlineStr">
        <is>
          <t>Potencia</t>
        </is>
      </c>
      <c r="Y1" s="1" t="inlineStr">
        <is>
          <t>PrecioPotencia</t>
        </is>
      </c>
      <c r="Z1" s="1" t="inlineStr">
        <is>
          <t>PrecioPotenciaAjustado</t>
        </is>
      </c>
      <c r="AA1" s="1" t="inlineStr">
        <is>
          <t>TotalPotencia</t>
        </is>
      </c>
      <c r="AB1" s="1" t="inlineStr">
        <is>
          <t>TotalPotenciaAjustado</t>
        </is>
      </c>
      <c r="AC1" s="1" t="inlineStr">
        <is>
          <t>EmpresaDistribuidora</t>
        </is>
      </c>
      <c r="AD1" s="1" t="inlineStr">
        <is>
          <t>Fecha</t>
        </is>
      </c>
    </row>
    <row r="2">
      <c r="B2" s="2" t="n">
        <v>42370</v>
      </c>
    </row>
    <row r="3">
      <c r="B3" s="2" t="n">
        <v>42401</v>
      </c>
    </row>
    <row r="4">
      <c r="B4" s="2" t="n">
        <v>42430</v>
      </c>
    </row>
    <row r="5">
      <c r="B5" s="2" t="n">
        <v>42461</v>
      </c>
    </row>
    <row r="6">
      <c r="B6" s="2" t="n">
        <v>42491</v>
      </c>
    </row>
    <row r="7">
      <c r="B7" s="2" t="n">
        <v>42522</v>
      </c>
    </row>
    <row r="8">
      <c r="B8" s="2" t="n">
        <v>42552</v>
      </c>
    </row>
    <row r="9">
      <c r="B9" s="2" t="n">
        <v>42583</v>
      </c>
    </row>
    <row r="10">
      <c r="B10" s="2" t="n">
        <v>42614</v>
      </c>
    </row>
    <row r="11">
      <c r="B11" s="2" t="n">
        <v>42644</v>
      </c>
    </row>
    <row r="12">
      <c r="B12" s="2" t="n">
        <v>42675</v>
      </c>
    </row>
    <row r="13">
      <c r="B13" s="2" t="n">
        <v>42705</v>
      </c>
    </row>
    <row r="14">
      <c r="B14" s="2" t="n">
        <v>42736</v>
      </c>
    </row>
    <row r="15">
      <c r="B15" s="2" t="n">
        <v>42767</v>
      </c>
    </row>
    <row r="16">
      <c r="B16" s="2" t="n">
        <v>42795</v>
      </c>
    </row>
    <row r="17">
      <c r="B17" s="2" t="n">
        <v>42826</v>
      </c>
    </row>
    <row r="18">
      <c r="B18" s="2" t="n">
        <v>42856</v>
      </c>
    </row>
    <row r="19">
      <c r="B19" s="2" t="n">
        <v>42887</v>
      </c>
    </row>
    <row r="20">
      <c r="B20" s="2" t="n">
        <v>42917</v>
      </c>
    </row>
    <row r="21">
      <c r="B21" s="2" t="n">
        <v>42948</v>
      </c>
    </row>
    <row r="22">
      <c r="B22" s="2" t="n">
        <v>42979</v>
      </c>
    </row>
    <row r="23">
      <c r="B23" s="2" t="n">
        <v>43009</v>
      </c>
    </row>
    <row r="24">
      <c r="B24" s="2" t="n">
        <v>43040</v>
      </c>
    </row>
    <row r="25">
      <c r="B25" s="2" t="n">
        <v>43070</v>
      </c>
    </row>
    <row r="26">
      <c r="B26" s="2" t="n">
        <v>43101</v>
      </c>
    </row>
    <row r="27">
      <c r="B27" s="2" t="n">
        <v>43132</v>
      </c>
    </row>
    <row r="28">
      <c r="B28" s="2" t="n">
        <v>43160</v>
      </c>
    </row>
    <row r="29">
      <c r="B29" s="2" t="n">
        <v>43191</v>
      </c>
    </row>
    <row r="30">
      <c r="B30" s="2" t="n">
        <v>43221</v>
      </c>
    </row>
    <row r="31">
      <c r="B31" s="2" t="n">
        <v>43252</v>
      </c>
    </row>
    <row r="32">
      <c r="B32" s="2" t="n">
        <v>43282</v>
      </c>
    </row>
    <row r="33">
      <c r="B33" s="2" t="n">
        <v>43313</v>
      </c>
    </row>
    <row r="34">
      <c r="B34" s="2" t="n">
        <v>43344</v>
      </c>
    </row>
    <row r="35">
      <c r="B35" s="2" t="n">
        <v>43374</v>
      </c>
    </row>
    <row r="36">
      <c r="B36" s="2" t="n">
        <v>43405</v>
      </c>
    </row>
    <row r="37">
      <c r="B37" s="2" t="n">
        <v>43435</v>
      </c>
    </row>
    <row r="38">
      <c r="B38" s="2" t="n">
        <v>43466</v>
      </c>
    </row>
    <row r="39">
      <c r="B39" s="2" t="n">
        <v>43497</v>
      </c>
    </row>
    <row r="40">
      <c r="B40" s="2" t="n">
        <v>43525</v>
      </c>
    </row>
    <row r="41">
      <c r="B41" s="2" t="n">
        <v>43556</v>
      </c>
    </row>
    <row r="42">
      <c r="B42" s="2" t="n">
        <v>43586</v>
      </c>
    </row>
    <row r="43">
      <c r="B43" s="2" t="n">
        <v>43617</v>
      </c>
    </row>
    <row r="44">
      <c r="B44" s="2" t="n">
        <v>43647</v>
      </c>
    </row>
    <row r="45">
      <c r="B45" s="2" t="n">
        <v>43678</v>
      </c>
    </row>
    <row r="46">
      <c r="B46" s="2" t="n">
        <v>43709</v>
      </c>
    </row>
    <row r="47">
      <c r="B47" s="2" t="n">
        <v>43739</v>
      </c>
    </row>
    <row r="48">
      <c r="B48" s="2" t="n">
        <v>43770</v>
      </c>
    </row>
    <row r="49">
      <c r="B49" s="2" t="n">
        <v>43800</v>
      </c>
    </row>
    <row r="50">
      <c r="B50" s="2" t="n">
        <v>43831</v>
      </c>
    </row>
    <row r="51">
      <c r="B51" s="2" t="n">
        <v>43862</v>
      </c>
    </row>
    <row r="52">
      <c r="B52" s="2" t="n">
        <v>43891</v>
      </c>
    </row>
    <row r="53">
      <c r="B53" s="2" t="n">
        <v>43922</v>
      </c>
    </row>
    <row r="54">
      <c r="B54" s="2" t="n">
        <v>43952</v>
      </c>
    </row>
    <row r="55">
      <c r="B55" s="2" t="n">
        <v>43983</v>
      </c>
    </row>
    <row r="56">
      <c r="B56" s="2" t="n">
        <v>44013</v>
      </c>
    </row>
    <row r="57">
      <c r="B57" s="2" t="n">
        <v>44044</v>
      </c>
    </row>
    <row r="58">
      <c r="B58" s="2" t="n">
        <v>44075</v>
      </c>
    </row>
    <row r="59">
      <c r="B59" s="2" t="n">
        <v>44105</v>
      </c>
    </row>
    <row r="60">
      <c r="B60" s="2" t="n">
        <v>44136</v>
      </c>
    </row>
    <row r="61">
      <c r="B61" s="2" t="n">
        <v>44166</v>
      </c>
    </row>
    <row r="62">
      <c r="B62" s="2" t="n">
        <v>44197</v>
      </c>
    </row>
    <row r="63">
      <c r="B63" s="2" t="n">
        <v>44228</v>
      </c>
    </row>
    <row r="64">
      <c r="B64" s="2" t="n">
        <v>44256</v>
      </c>
    </row>
    <row r="65">
      <c r="B65" s="2" t="n">
        <v>44287</v>
      </c>
    </row>
    <row r="66">
      <c r="B66" s="2" t="n">
        <v>44317</v>
      </c>
    </row>
    <row r="67">
      <c r="B67" s="2" t="n">
        <v>44348</v>
      </c>
    </row>
    <row r="68">
      <c r="B68" s="2" t="n">
        <v>44378</v>
      </c>
    </row>
    <row r="69">
      <c r="B69" s="2" t="n">
        <v>44409</v>
      </c>
    </row>
    <row r="70">
      <c r="B70" s="2" t="n">
        <v>44440</v>
      </c>
    </row>
    <row r="71">
      <c r="B71" s="2" t="n">
        <v>44470</v>
      </c>
    </row>
    <row r="72">
      <c r="B72" s="2" t="n">
        <v>44501</v>
      </c>
    </row>
    <row r="73">
      <c r="B73" s="2" t="n">
        <v>44531</v>
      </c>
    </row>
    <row r="74">
      <c r="B74" s="2" t="n">
        <v>44562</v>
      </c>
    </row>
    <row r="75">
      <c r="B75" s="2" t="n">
        <v>44593</v>
      </c>
    </row>
    <row r="76">
      <c r="B76" s="2" t="n">
        <v>44621</v>
      </c>
    </row>
    <row r="77">
      <c r="B77" s="2" t="n">
        <v>44652</v>
      </c>
    </row>
    <row r="78">
      <c r="B78" s="2" t="n">
        <v>44682</v>
      </c>
    </row>
    <row r="79">
      <c r="B79" s="2" t="n">
        <v>44713</v>
      </c>
    </row>
    <row r="80">
      <c r="B80" s="2" t="n">
        <v>44743</v>
      </c>
    </row>
    <row r="81">
      <c r="B81" s="2" t="n">
        <v>44774</v>
      </c>
    </row>
    <row r="82">
      <c r="B82" s="2" t="n">
        <v>44805</v>
      </c>
    </row>
    <row r="83">
      <c r="B83" s="2" t="n">
        <v>44835</v>
      </c>
    </row>
    <row r="84">
      <c r="B84" s="2" t="n">
        <v>44866</v>
      </c>
    </row>
    <row r="85">
      <c r="B85" s="2" t="n">
        <v>44896</v>
      </c>
    </row>
    <row r="86">
      <c r="B86" s="2" t="n">
        <v>44927</v>
      </c>
    </row>
    <row r="87">
      <c r="B87" s="2" t="n">
        <v>44958</v>
      </c>
    </row>
    <row r="88">
      <c r="B88" s="2" t="n">
        <v>44986</v>
      </c>
    </row>
    <row r="89">
      <c r="B89" s="2" t="n">
        <v>45017</v>
      </c>
    </row>
    <row r="90">
      <c r="B90" s="2" t="n">
        <v>45047</v>
      </c>
    </row>
    <row r="91">
      <c r="B91" s="2" t="n">
        <v>45078</v>
      </c>
    </row>
    <row r="92">
      <c r="B92" s="2" t="n">
        <v>45108</v>
      </c>
    </row>
    <row r="93">
      <c r="B93" s="2" t="n">
        <v>45139</v>
      </c>
    </row>
    <row r="94">
      <c r="B94" s="2" t="n">
        <v>45170</v>
      </c>
    </row>
    <row r="95">
      <c r="B95" s="2" t="n">
        <v>45200</v>
      </c>
    </row>
    <row r="96">
      <c r="B96" s="2" t="n">
        <v>45231</v>
      </c>
    </row>
    <row r="97">
      <c r="B97" s="2" t="n">
        <v>45261</v>
      </c>
    </row>
    <row r="98">
      <c r="B98" s="2" t="n">
        <v>45292</v>
      </c>
    </row>
    <row r="99">
      <c r="B99" s="2" t="n">
        <v>45323</v>
      </c>
    </row>
    <row r="100">
      <c r="B100" s="2" t="n">
        <v>45352</v>
      </c>
    </row>
    <row r="101">
      <c r="B101" s="2" t="n">
        <v>45383</v>
      </c>
    </row>
    <row r="102">
      <c r="B102" s="2" t="n">
        <v>45413</v>
      </c>
    </row>
    <row r="103">
      <c r="B103" s="2" t="n">
        <v>45444</v>
      </c>
    </row>
    <row r="104">
      <c r="B104" s="2" t="n">
        <v>45474</v>
      </c>
    </row>
    <row r="105">
      <c r="B105" s="2" t="n">
        <v>45505</v>
      </c>
    </row>
    <row r="106">
      <c r="B106" s="2" t="n">
        <v>45536</v>
      </c>
    </row>
    <row r="107">
      <c r="B107" s="2" t="n">
        <v>45566</v>
      </c>
    </row>
    <row r="108">
      <c r="B108" s="2" t="n">
        <v>45597</v>
      </c>
    </row>
    <row r="109">
      <c r="B109" s="2" t="n">
        <v>45627</v>
      </c>
    </row>
    <row r="110">
      <c r="B110" s="2" t="n">
        <v>45658</v>
      </c>
    </row>
    <row r="111">
      <c r="B111" s="2" t="n">
        <v>45689</v>
      </c>
    </row>
    <row r="112">
      <c r="B112" s="2" t="n">
        <v>45717</v>
      </c>
    </row>
    <row r="113">
      <c r="B113" s="2" t="n">
        <v>45748</v>
      </c>
    </row>
    <row r="114">
      <c r="B114" s="2" t="n">
        <v>45778</v>
      </c>
    </row>
    <row r="115">
      <c r="B115" s="2" t="n">
        <v>45809</v>
      </c>
    </row>
    <row r="116">
      <c r="B116" s="2" t="n">
        <v>45839</v>
      </c>
    </row>
    <row r="117">
      <c r="B117" s="2" t="n">
        <v>45870</v>
      </c>
    </row>
    <row r="118">
      <c r="B118" s="2" t="n">
        <v>45901</v>
      </c>
    </row>
    <row r="119">
      <c r="B119" s="2" t="n">
        <v>45931</v>
      </c>
    </row>
    <row r="120">
      <c r="B120" s="2" t="n">
        <v>45962</v>
      </c>
    </row>
    <row r="121">
      <c r="B121" s="2" t="n">
        <v>45992</v>
      </c>
    </row>
    <row r="122">
      <c r="B122" s="2" t="n">
        <v>46023</v>
      </c>
    </row>
    <row r="123">
      <c r="B123" s="2" t="n">
        <v>46054</v>
      </c>
    </row>
    <row r="124">
      <c r="B124" s="2" t="n">
        <v>46082</v>
      </c>
    </row>
    <row r="125">
      <c r="B125" s="2" t="n">
        <v>46113</v>
      </c>
    </row>
    <row r="126">
      <c r="B126" s="2" t="n">
        <v>46143</v>
      </c>
    </row>
    <row r="127">
      <c r="B127" s="2" t="n">
        <v>46174</v>
      </c>
    </row>
    <row r="128">
      <c r="B128" s="2" t="n">
        <v>46204</v>
      </c>
    </row>
    <row r="129">
      <c r="B129" s="2" t="n">
        <v>46235</v>
      </c>
    </row>
    <row r="130">
      <c r="B130" s="2" t="n">
        <v>46266</v>
      </c>
    </row>
    <row r="131">
      <c r="B131" s="2" t="n">
        <v>46296</v>
      </c>
    </row>
    <row r="132">
      <c r="B132" s="2" t="n">
        <v>46327</v>
      </c>
    </row>
    <row r="133">
      <c r="B133" s="2" t="n">
        <v>46357</v>
      </c>
    </row>
    <row r="134">
      <c r="B134" s="2" t="n">
        <v>46388</v>
      </c>
    </row>
    <row r="135">
      <c r="B135" s="2" t="n">
        <v>46419</v>
      </c>
    </row>
    <row r="136">
      <c r="B136" s="2" t="n">
        <v>46447</v>
      </c>
    </row>
    <row r="137">
      <c r="B137" s="2" t="n">
        <v>46478</v>
      </c>
    </row>
    <row r="138">
      <c r="B138" s="2" t="n">
        <v>46508</v>
      </c>
    </row>
    <row r="139">
      <c r="B139" s="2" t="n">
        <v>46539</v>
      </c>
    </row>
    <row r="140">
      <c r="B140" s="2" t="n">
        <v>46569</v>
      </c>
    </row>
    <row r="141">
      <c r="B141" s="2" t="n">
        <v>46600</v>
      </c>
    </row>
    <row r="142">
      <c r="B142" s="2" t="n">
        <v>46631</v>
      </c>
    </row>
    <row r="143">
      <c r="B143" s="2" t="n">
        <v>46661</v>
      </c>
    </row>
    <row r="144">
      <c r="B144" s="2" t="n">
        <v>46692</v>
      </c>
    </row>
    <row r="145">
      <c r="B145" s="2" t="n">
        <v>46722</v>
      </c>
    </row>
    <row r="146">
      <c r="B146" s="2" t="n">
        <v>46753</v>
      </c>
    </row>
    <row r="147">
      <c r="B147" s="2" t="n">
        <v>46784</v>
      </c>
    </row>
    <row r="148">
      <c r="B148" s="2" t="n">
        <v>46813</v>
      </c>
    </row>
    <row r="149">
      <c r="B149" s="2" t="n">
        <v>46844</v>
      </c>
    </row>
    <row r="150">
      <c r="B150" s="2" t="n">
        <v>46874</v>
      </c>
    </row>
    <row r="151">
      <c r="B151" s="2" t="n">
        <v>46905</v>
      </c>
    </row>
    <row r="152">
      <c r="B152" s="2" t="n">
        <v>46935</v>
      </c>
    </row>
    <row r="153">
      <c r="B153" s="2" t="n">
        <v>46966</v>
      </c>
    </row>
    <row r="154">
      <c r="B154" s="2" t="n">
        <v>46997</v>
      </c>
    </row>
    <row r="155">
      <c r="B155" s="2" t="n">
        <v>47027</v>
      </c>
    </row>
    <row r="156">
      <c r="B156" s="2" t="n">
        <v>47058</v>
      </c>
    </row>
    <row r="157">
      <c r="B157" s="2" t="n">
        <v>47088</v>
      </c>
    </row>
    <row r="158">
      <c r="B158" s="2" t="n">
        <v>47119</v>
      </c>
    </row>
    <row r="159">
      <c r="B159" s="2" t="n">
        <v>47150</v>
      </c>
    </row>
    <row r="160">
      <c r="B160" s="2" t="n">
        <v>47178</v>
      </c>
    </row>
    <row r="161">
      <c r="B161" s="2" t="n">
        <v>47209</v>
      </c>
    </row>
    <row r="162">
      <c r="B162" s="2" t="n">
        <v>47239</v>
      </c>
    </row>
    <row r="163">
      <c r="B163" s="2" t="n">
        <v>47270</v>
      </c>
    </row>
    <row r="164">
      <c r="B164" s="2" t="n">
        <v>47300</v>
      </c>
    </row>
    <row r="165">
      <c r="B165" s="2" t="n">
        <v>47331</v>
      </c>
    </row>
    <row r="166">
      <c r="B166" s="2" t="n">
        <v>47362</v>
      </c>
    </row>
    <row r="167">
      <c r="B167" s="2" t="n">
        <v>47392</v>
      </c>
    </row>
    <row r="168">
      <c r="B168" s="2" t="n">
        <v>47423</v>
      </c>
    </row>
    <row r="169">
      <c r="B169" s="2" t="n">
        <v>47453</v>
      </c>
    </row>
    <row r="170">
      <c r="B170" s="2" t="n">
        <v>47484</v>
      </c>
    </row>
    <row r="171">
      <c r="B171" s="2" t="n">
        <v>47515</v>
      </c>
    </row>
    <row r="172">
      <c r="B172" s="2" t="n">
        <v>47543</v>
      </c>
    </row>
    <row r="173">
      <c r="B173" s="2" t="n">
        <v>47574</v>
      </c>
    </row>
    <row r="174">
      <c r="B174" s="2" t="n">
        <v>47604</v>
      </c>
    </row>
    <row r="175">
      <c r="B175" s="2" t="n">
        <v>47635</v>
      </c>
    </row>
    <row r="176">
      <c r="B176" s="2" t="n">
        <v>47665</v>
      </c>
    </row>
    <row r="177">
      <c r="B177" s="2" t="n">
        <v>47696</v>
      </c>
    </row>
    <row r="178">
      <c r="B178" s="2" t="n">
        <v>47727</v>
      </c>
    </row>
    <row r="179">
      <c r="B179" s="2" t="n">
        <v>47757</v>
      </c>
    </row>
    <row r="180">
      <c r="B180" s="2" t="n">
        <v>47788</v>
      </c>
    </row>
    <row r="181">
      <c r="B181" s="2" t="n">
        <v>47818</v>
      </c>
    </row>
    <row r="182">
      <c r="B182" s="2" t="n">
        <v>47849</v>
      </c>
    </row>
    <row r="183">
      <c r="B183" s="2" t="n">
        <v>47880</v>
      </c>
    </row>
    <row r="184">
      <c r="B184" s="2" t="n">
        <v>47908</v>
      </c>
    </row>
    <row r="185">
      <c r="B185" s="2" t="n">
        <v>47939</v>
      </c>
    </row>
    <row r="186">
      <c r="B186" s="2" t="n">
        <v>47969</v>
      </c>
    </row>
    <row r="187">
      <c r="B187" s="2" t="n">
        <v>48000</v>
      </c>
    </row>
    <row r="188">
      <c r="B188" s="2" t="n">
        <v>48030</v>
      </c>
    </row>
    <row r="189">
      <c r="B189" s="2" t="n">
        <v>48061</v>
      </c>
    </row>
    <row r="190">
      <c r="B190" s="2" t="n">
        <v>48092</v>
      </c>
    </row>
    <row r="191">
      <c r="B191" s="2" t="n">
        <v>48122</v>
      </c>
    </row>
    <row r="192">
      <c r="B192" s="2" t="n">
        <v>48153</v>
      </c>
    </row>
    <row r="193">
      <c r="B193" s="2" t="n">
        <v>48183</v>
      </c>
    </row>
    <row r="194">
      <c r="B194" s="2" t="n">
        <v>48214</v>
      </c>
    </row>
    <row r="195">
      <c r="B195" s="2" t="n">
        <v>48245</v>
      </c>
    </row>
    <row r="196">
      <c r="B196" s="2" t="n">
        <v>48274</v>
      </c>
    </row>
    <row r="197">
      <c r="B197" s="2" t="n">
        <v>48305</v>
      </c>
    </row>
    <row r="198">
      <c r="B198" s="2" t="n">
        <v>48335</v>
      </c>
    </row>
    <row r="199">
      <c r="B199" s="2" t="n">
        <v>48366</v>
      </c>
    </row>
    <row r="200">
      <c r="B200" s="2" t="n">
        <v>48396</v>
      </c>
    </row>
    <row r="201">
      <c r="B201" s="2" t="n">
        <v>48427</v>
      </c>
    </row>
    <row r="202">
      <c r="B202" s="2" t="n">
        <v>48458</v>
      </c>
    </row>
    <row r="203">
      <c r="B203" s="2" t="n">
        <v>48488</v>
      </c>
    </row>
    <row r="204">
      <c r="B204" s="2" t="n">
        <v>48519</v>
      </c>
    </row>
    <row r="205">
      <c r="B205" s="2" t="n">
        <v>48549</v>
      </c>
    </row>
    <row r="206">
      <c r="B206" s="2" t="n">
        <v>48580</v>
      </c>
    </row>
    <row r="207">
      <c r="B207" s="2" t="n">
        <v>48611</v>
      </c>
    </row>
    <row r="208">
      <c r="B208" s="2" t="n">
        <v>48639</v>
      </c>
    </row>
    <row r="209">
      <c r="B209" s="2" t="n">
        <v>48670</v>
      </c>
    </row>
    <row r="210">
      <c r="B210" s="2" t="n">
        <v>48700</v>
      </c>
    </row>
    <row r="211">
      <c r="B211" s="2" t="n">
        <v>48731</v>
      </c>
    </row>
    <row r="212">
      <c r="B212" s="2" t="n">
        <v>48761</v>
      </c>
    </row>
    <row r="213">
      <c r="B213" s="2" t="n">
        <v>48792</v>
      </c>
    </row>
    <row r="214">
      <c r="B214" s="2" t="n">
        <v>48823</v>
      </c>
    </row>
    <row r="215">
      <c r="B215" s="2" t="n">
        <v>48853</v>
      </c>
    </row>
    <row r="216">
      <c r="B216" s="2" t="n">
        <v>48884</v>
      </c>
    </row>
    <row r="217">
      <c r="B217" s="2" t="n">
        <v>48914</v>
      </c>
    </row>
    <row r="218">
      <c r="B218" s="2" t="n">
        <v>48945</v>
      </c>
    </row>
    <row r="219">
      <c r="B219" s="2" t="n">
        <v>48976</v>
      </c>
    </row>
    <row r="220">
      <c r="B220" s="2" t="n">
        <v>49004</v>
      </c>
    </row>
    <row r="221">
      <c r="B221" s="2" t="n">
        <v>49035</v>
      </c>
    </row>
    <row r="222">
      <c r="B222" s="2" t="n">
        <v>49065</v>
      </c>
    </row>
    <row r="223">
      <c r="B223" s="2" t="n">
        <v>49096</v>
      </c>
    </row>
    <row r="224">
      <c r="B224" s="2" t="n">
        <v>49126</v>
      </c>
    </row>
    <row r="225">
      <c r="B225" s="2" t="n">
        <v>49157</v>
      </c>
    </row>
    <row r="226">
      <c r="B226" s="2" t="n">
        <v>49188</v>
      </c>
    </row>
    <row r="227">
      <c r="B227" s="2" t="n">
        <v>49218</v>
      </c>
    </row>
    <row r="228">
      <c r="B228" s="2" t="n">
        <v>49249</v>
      </c>
    </row>
    <row r="229">
      <c r="B229" s="2" t="n">
        <v>49279</v>
      </c>
    </row>
    <row r="230">
      <c r="B230" s="2" t="n">
        <v>49310</v>
      </c>
    </row>
    <row r="231">
      <c r="B231" s="2" t="n">
        <v>49341</v>
      </c>
    </row>
    <row r="232">
      <c r="B232" s="2" t="n">
        <v>49369</v>
      </c>
    </row>
    <row r="233">
      <c r="B233" s="2" t="n">
        <v>49400</v>
      </c>
    </row>
    <row r="234">
      <c r="B234" s="2" t="n">
        <v>49430</v>
      </c>
    </row>
    <row r="235">
      <c r="B235" s="2" t="n">
        <v>49461</v>
      </c>
    </row>
  </sheetData>
  <pageMargins left="0.7" right="0.7" top="0.75" bottom="0.75" header="0.3" footer="0.3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AD23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IdContrato</t>
        </is>
      </c>
      <c r="B1" s="1" t="inlineStr">
        <is>
          <t>MesDevengado</t>
        </is>
      </c>
      <c r="C1" s="1" t="inlineStr">
        <is>
          <t>Anho</t>
        </is>
      </c>
      <c r="D1" s="1" t="inlineStr">
        <is>
          <t>Mes</t>
        </is>
      </c>
      <c r="E1" s="1" t="inlineStr">
        <is>
          <t>Codigo</t>
        </is>
      </c>
      <c r="F1" s="1" t="inlineStr">
        <is>
          <t>DX</t>
        </is>
      </c>
      <c r="G1" s="1" t="inlineStr">
        <is>
          <t>NomEmpresaDistribuidora</t>
        </is>
      </c>
      <c r="H1" s="1" t="inlineStr">
        <is>
          <t>GX</t>
        </is>
      </c>
      <c r="I1" s="1" t="inlineStr">
        <is>
          <t>NomSuministrador</t>
        </is>
      </c>
      <c r="J1" s="1" t="inlineStr">
        <is>
          <t>CodigoContrato</t>
        </is>
      </c>
      <c r="K1" s="1" t="inlineStr">
        <is>
          <t>PuntoRetiro</t>
        </is>
      </c>
      <c r="L1" s="1" t="inlineStr">
        <is>
          <t>Contrato</t>
        </is>
      </c>
      <c r="M1" s="1" t="inlineStr">
        <is>
          <t>Energia_kWh</t>
        </is>
      </c>
      <c r="N1" s="1" t="inlineStr">
        <is>
          <t>Potencia_kW</t>
        </is>
      </c>
      <c r="O1" s="1" t="inlineStr">
        <is>
          <t>Sistema</t>
        </is>
      </c>
      <c r="P1" s="1" t="inlineStr">
        <is>
          <t>DataCreated</t>
        </is>
      </c>
      <c r="Q1" s="1" t="inlineStr">
        <is>
          <t>IdBarra</t>
        </is>
      </c>
      <c r="R1" s="1" t="inlineStr">
        <is>
          <t>NomBarra</t>
        </is>
      </c>
      <c r="S1" s="1" t="inlineStr">
        <is>
          <t>Energia</t>
        </is>
      </c>
      <c r="T1" s="1" t="inlineStr">
        <is>
          <t>PrecioEnergia</t>
        </is>
      </c>
      <c r="U1" s="1" t="inlineStr">
        <is>
          <t>PrecioEnergiaAjustado</t>
        </is>
      </c>
      <c r="V1" s="1" t="inlineStr">
        <is>
          <t>TotalEnergia</t>
        </is>
      </c>
      <c r="W1" s="1" t="inlineStr">
        <is>
          <t>TotalEnergiaAjustado</t>
        </is>
      </c>
      <c r="X1" s="1" t="inlineStr">
        <is>
          <t>Potencia</t>
        </is>
      </c>
      <c r="Y1" s="1" t="inlineStr">
        <is>
          <t>PrecioPotencia</t>
        </is>
      </c>
      <c r="Z1" s="1" t="inlineStr">
        <is>
          <t>PrecioPotenciaAjustado</t>
        </is>
      </c>
      <c r="AA1" s="1" t="inlineStr">
        <is>
          <t>TotalPotencia</t>
        </is>
      </c>
      <c r="AB1" s="1" t="inlineStr">
        <is>
          <t>TotalPotenciaAjustado</t>
        </is>
      </c>
      <c r="AC1" s="1" t="inlineStr">
        <is>
          <t>EmpresaDistribuidora</t>
        </is>
      </c>
      <c r="AD1" s="1" t="inlineStr">
        <is>
          <t>Fecha</t>
        </is>
      </c>
    </row>
    <row r="2">
      <c r="B2" s="2" t="n">
        <v>42370</v>
      </c>
    </row>
    <row r="3">
      <c r="B3" s="2" t="n">
        <v>42401</v>
      </c>
    </row>
    <row r="4">
      <c r="B4" s="2" t="n">
        <v>42430</v>
      </c>
    </row>
    <row r="5">
      <c r="B5" s="2" t="n">
        <v>42461</v>
      </c>
    </row>
    <row r="6">
      <c r="B6" s="2" t="n">
        <v>42491</v>
      </c>
    </row>
    <row r="7">
      <c r="B7" s="2" t="n">
        <v>42522</v>
      </c>
    </row>
    <row r="8">
      <c r="B8" s="2" t="n">
        <v>42552</v>
      </c>
    </row>
    <row r="9">
      <c r="B9" s="2" t="n">
        <v>42583</v>
      </c>
    </row>
    <row r="10">
      <c r="B10" s="2" t="n">
        <v>42614</v>
      </c>
    </row>
    <row r="11">
      <c r="B11" s="2" t="n">
        <v>42644</v>
      </c>
    </row>
    <row r="12">
      <c r="B12" s="2" t="n">
        <v>42675</v>
      </c>
    </row>
    <row r="13">
      <c r="B13" s="2" t="n">
        <v>42705</v>
      </c>
    </row>
    <row r="14">
      <c r="B14" s="2" t="n">
        <v>42736</v>
      </c>
    </row>
    <row r="15">
      <c r="B15" s="2" t="n">
        <v>42767</v>
      </c>
    </row>
    <row r="16">
      <c r="B16" s="2" t="n">
        <v>42795</v>
      </c>
    </row>
    <row r="17">
      <c r="B17" s="2" t="n">
        <v>42826</v>
      </c>
    </row>
    <row r="18">
      <c r="B18" s="2" t="n">
        <v>42856</v>
      </c>
    </row>
    <row r="19">
      <c r="B19" s="2" t="n">
        <v>42887</v>
      </c>
    </row>
    <row r="20">
      <c r="B20" s="2" t="n">
        <v>42917</v>
      </c>
    </row>
    <row r="21">
      <c r="B21" s="2" t="n">
        <v>42948</v>
      </c>
    </row>
    <row r="22">
      <c r="B22" s="2" t="n">
        <v>42979</v>
      </c>
    </row>
    <row r="23">
      <c r="B23" s="2" t="n">
        <v>43009</v>
      </c>
    </row>
    <row r="24">
      <c r="B24" s="2" t="n">
        <v>43040</v>
      </c>
    </row>
    <row r="25">
      <c r="B25" s="2" t="n">
        <v>43070</v>
      </c>
    </row>
    <row r="26">
      <c r="B26" s="2" t="n">
        <v>43101</v>
      </c>
    </row>
    <row r="27">
      <c r="B27" s="2" t="n">
        <v>43132</v>
      </c>
    </row>
    <row r="28">
      <c r="B28" s="2" t="n">
        <v>43160</v>
      </c>
    </row>
    <row r="29">
      <c r="B29" s="2" t="n">
        <v>43191</v>
      </c>
    </row>
    <row r="30">
      <c r="B30" s="2" t="n">
        <v>43221</v>
      </c>
    </row>
    <row r="31">
      <c r="B31" s="2" t="n">
        <v>43252</v>
      </c>
    </row>
    <row r="32">
      <c r="B32" s="2" t="n">
        <v>43282</v>
      </c>
    </row>
    <row r="33">
      <c r="B33" s="2" t="n">
        <v>43313</v>
      </c>
    </row>
    <row r="34">
      <c r="B34" s="2" t="n">
        <v>43344</v>
      </c>
    </row>
    <row r="35">
      <c r="B35" s="2" t="n">
        <v>43374</v>
      </c>
    </row>
    <row r="36">
      <c r="B36" s="2" t="n">
        <v>43405</v>
      </c>
    </row>
    <row r="37">
      <c r="B37" s="2" t="n">
        <v>43435</v>
      </c>
    </row>
    <row r="38">
      <c r="B38" s="2" t="n">
        <v>43466</v>
      </c>
    </row>
    <row r="39">
      <c r="B39" s="2" t="n">
        <v>43497</v>
      </c>
    </row>
    <row r="40">
      <c r="B40" s="2" t="n">
        <v>43525</v>
      </c>
    </row>
    <row r="41">
      <c r="B41" s="2" t="n">
        <v>43556</v>
      </c>
    </row>
    <row r="42">
      <c r="B42" s="2" t="n">
        <v>43586</v>
      </c>
    </row>
    <row r="43">
      <c r="B43" s="2" t="n">
        <v>43617</v>
      </c>
    </row>
    <row r="44">
      <c r="B44" s="2" t="n">
        <v>43647</v>
      </c>
    </row>
    <row r="45">
      <c r="B45" s="2" t="n">
        <v>43678</v>
      </c>
    </row>
    <row r="46">
      <c r="B46" s="2" t="n">
        <v>43709</v>
      </c>
    </row>
    <row r="47">
      <c r="B47" s="2" t="n">
        <v>43739</v>
      </c>
    </row>
    <row r="48">
      <c r="B48" s="2" t="n">
        <v>43770</v>
      </c>
    </row>
    <row r="49">
      <c r="B49" s="2" t="n">
        <v>43800</v>
      </c>
    </row>
    <row r="50">
      <c r="B50" s="2" t="n">
        <v>43831</v>
      </c>
    </row>
    <row r="51">
      <c r="B51" s="2" t="n">
        <v>43862</v>
      </c>
    </row>
    <row r="52">
      <c r="B52" s="2" t="n">
        <v>43891</v>
      </c>
    </row>
    <row r="53">
      <c r="B53" s="2" t="n">
        <v>43922</v>
      </c>
    </row>
    <row r="54">
      <c r="B54" s="2" t="n">
        <v>43952</v>
      </c>
    </row>
    <row r="55">
      <c r="B55" s="2" t="n">
        <v>43983</v>
      </c>
    </row>
    <row r="56">
      <c r="B56" s="2" t="n">
        <v>44013</v>
      </c>
    </row>
    <row r="57">
      <c r="B57" s="2" t="n">
        <v>44044</v>
      </c>
    </row>
    <row r="58">
      <c r="B58" s="2" t="n">
        <v>44075</v>
      </c>
    </row>
    <row r="59">
      <c r="B59" s="2" t="n">
        <v>44105</v>
      </c>
    </row>
    <row r="60">
      <c r="B60" s="2" t="n">
        <v>44136</v>
      </c>
    </row>
    <row r="61">
      <c r="B61" s="2" t="n">
        <v>44166</v>
      </c>
    </row>
    <row r="62">
      <c r="B62" s="2" t="n">
        <v>44197</v>
      </c>
    </row>
    <row r="63">
      <c r="B63" s="2" t="n">
        <v>44228</v>
      </c>
    </row>
    <row r="64">
      <c r="B64" s="2" t="n">
        <v>44256</v>
      </c>
    </row>
    <row r="65">
      <c r="B65" s="2" t="n">
        <v>44287</v>
      </c>
    </row>
    <row r="66">
      <c r="B66" s="2" t="n">
        <v>44317</v>
      </c>
    </row>
    <row r="67">
      <c r="B67" s="2" t="n">
        <v>44348</v>
      </c>
    </row>
    <row r="68">
      <c r="B68" s="2" t="n">
        <v>44378</v>
      </c>
    </row>
    <row r="69">
      <c r="B69" s="2" t="n">
        <v>44409</v>
      </c>
    </row>
    <row r="70">
      <c r="B70" s="2" t="n">
        <v>44440</v>
      </c>
    </row>
    <row r="71">
      <c r="B71" s="2" t="n">
        <v>44470</v>
      </c>
    </row>
    <row r="72">
      <c r="B72" s="2" t="n">
        <v>44501</v>
      </c>
    </row>
    <row r="73">
      <c r="B73" s="2" t="n">
        <v>44531</v>
      </c>
    </row>
    <row r="74">
      <c r="B74" s="2" t="n">
        <v>44562</v>
      </c>
    </row>
    <row r="75">
      <c r="B75" s="2" t="n">
        <v>44593</v>
      </c>
    </row>
    <row r="76">
      <c r="B76" s="2" t="n">
        <v>44621</v>
      </c>
    </row>
    <row r="77">
      <c r="B77" s="2" t="n">
        <v>44652</v>
      </c>
    </row>
    <row r="78">
      <c r="B78" s="2" t="n">
        <v>44682</v>
      </c>
    </row>
    <row r="79">
      <c r="B79" s="2" t="n">
        <v>44713</v>
      </c>
    </row>
    <row r="80">
      <c r="B80" s="2" t="n">
        <v>44743</v>
      </c>
    </row>
    <row r="81">
      <c r="B81" s="2" t="n">
        <v>44774</v>
      </c>
    </row>
    <row r="82">
      <c r="B82" s="2" t="n">
        <v>44805</v>
      </c>
    </row>
    <row r="83">
      <c r="B83" s="2" t="n">
        <v>44835</v>
      </c>
    </row>
    <row r="84">
      <c r="B84" s="2" t="n">
        <v>44866</v>
      </c>
    </row>
    <row r="85">
      <c r="B85" s="2" t="n">
        <v>44896</v>
      </c>
    </row>
    <row r="86">
      <c r="B86" s="2" t="n">
        <v>44927</v>
      </c>
    </row>
    <row r="87">
      <c r="B87" s="2" t="n">
        <v>44958</v>
      </c>
    </row>
    <row r="88">
      <c r="B88" s="2" t="n">
        <v>44986</v>
      </c>
    </row>
    <row r="89">
      <c r="B89" s="2" t="n">
        <v>45017</v>
      </c>
    </row>
    <row r="90">
      <c r="B90" s="2" t="n">
        <v>45047</v>
      </c>
    </row>
    <row r="91">
      <c r="B91" s="2" t="n">
        <v>45078</v>
      </c>
    </row>
    <row r="92">
      <c r="B92" s="2" t="n">
        <v>45108</v>
      </c>
    </row>
    <row r="93">
      <c r="B93" s="2" t="n">
        <v>45139</v>
      </c>
    </row>
    <row r="94">
      <c r="B94" s="2" t="n">
        <v>45170</v>
      </c>
    </row>
    <row r="95">
      <c r="B95" s="2" t="n">
        <v>45200</v>
      </c>
    </row>
    <row r="96">
      <c r="B96" s="2" t="n">
        <v>45231</v>
      </c>
    </row>
    <row r="97">
      <c r="B97" s="2" t="n">
        <v>45261</v>
      </c>
    </row>
    <row r="98">
      <c r="B98" s="2" t="n">
        <v>45292</v>
      </c>
    </row>
    <row r="99">
      <c r="B99" s="2" t="n">
        <v>45323</v>
      </c>
    </row>
    <row r="100">
      <c r="B100" s="2" t="n">
        <v>45352</v>
      </c>
    </row>
    <row r="101">
      <c r="B101" s="2" t="n">
        <v>45383</v>
      </c>
    </row>
    <row r="102">
      <c r="B102" s="2" t="n">
        <v>45413</v>
      </c>
    </row>
    <row r="103">
      <c r="B103" s="2" t="n">
        <v>45444</v>
      </c>
    </row>
    <row r="104">
      <c r="B104" s="2" t="n">
        <v>45474</v>
      </c>
    </row>
    <row r="105">
      <c r="B105" s="2" t="n">
        <v>45505</v>
      </c>
    </row>
    <row r="106">
      <c r="B106" s="2" t="n">
        <v>45536</v>
      </c>
    </row>
    <row r="107">
      <c r="B107" s="2" t="n">
        <v>45566</v>
      </c>
    </row>
    <row r="108">
      <c r="B108" s="2" t="n">
        <v>45597</v>
      </c>
    </row>
    <row r="109">
      <c r="B109" s="2" t="n">
        <v>45627</v>
      </c>
    </row>
    <row r="110">
      <c r="B110" s="2" t="n">
        <v>45658</v>
      </c>
    </row>
    <row r="111">
      <c r="B111" s="2" t="n">
        <v>45689</v>
      </c>
    </row>
    <row r="112">
      <c r="B112" s="2" t="n">
        <v>45717</v>
      </c>
    </row>
    <row r="113">
      <c r="B113" s="2" t="n">
        <v>45748</v>
      </c>
    </row>
    <row r="114">
      <c r="B114" s="2" t="n">
        <v>45778</v>
      </c>
    </row>
    <row r="115">
      <c r="B115" s="2" t="n">
        <v>45809</v>
      </c>
    </row>
    <row r="116">
      <c r="B116" s="2" t="n">
        <v>45839</v>
      </c>
    </row>
    <row r="117">
      <c r="B117" s="2" t="n">
        <v>45870</v>
      </c>
    </row>
    <row r="118">
      <c r="B118" s="2" t="n">
        <v>45901</v>
      </c>
    </row>
    <row r="119">
      <c r="B119" s="2" t="n">
        <v>45931</v>
      </c>
    </row>
    <row r="120">
      <c r="B120" s="2" t="n">
        <v>45962</v>
      </c>
    </row>
    <row r="121">
      <c r="B121" s="2" t="n">
        <v>45992</v>
      </c>
    </row>
    <row r="122">
      <c r="B122" s="2" t="n">
        <v>46023</v>
      </c>
    </row>
    <row r="123">
      <c r="B123" s="2" t="n">
        <v>46054</v>
      </c>
    </row>
    <row r="124">
      <c r="B124" s="2" t="n">
        <v>46082</v>
      </c>
    </row>
    <row r="125">
      <c r="B125" s="2" t="n">
        <v>46113</v>
      </c>
    </row>
    <row r="126">
      <c r="B126" s="2" t="n">
        <v>46143</v>
      </c>
    </row>
    <row r="127">
      <c r="B127" s="2" t="n">
        <v>46174</v>
      </c>
    </row>
    <row r="128">
      <c r="B128" s="2" t="n">
        <v>46204</v>
      </c>
    </row>
    <row r="129">
      <c r="B129" s="2" t="n">
        <v>46235</v>
      </c>
    </row>
    <row r="130">
      <c r="B130" s="2" t="n">
        <v>46266</v>
      </c>
    </row>
    <row r="131">
      <c r="B131" s="2" t="n">
        <v>46296</v>
      </c>
    </row>
    <row r="132">
      <c r="B132" s="2" t="n">
        <v>46327</v>
      </c>
    </row>
    <row r="133">
      <c r="B133" s="2" t="n">
        <v>46357</v>
      </c>
    </row>
    <row r="134">
      <c r="B134" s="2" t="n">
        <v>46388</v>
      </c>
    </row>
    <row r="135">
      <c r="B135" s="2" t="n">
        <v>46419</v>
      </c>
    </row>
    <row r="136">
      <c r="B136" s="2" t="n">
        <v>46447</v>
      </c>
    </row>
    <row r="137">
      <c r="B137" s="2" t="n">
        <v>46478</v>
      </c>
    </row>
    <row r="138">
      <c r="B138" s="2" t="n">
        <v>46508</v>
      </c>
    </row>
    <row r="139">
      <c r="B139" s="2" t="n">
        <v>46539</v>
      </c>
    </row>
    <row r="140">
      <c r="B140" s="2" t="n">
        <v>46569</v>
      </c>
    </row>
    <row r="141">
      <c r="B141" s="2" t="n">
        <v>46600</v>
      </c>
    </row>
    <row r="142">
      <c r="B142" s="2" t="n">
        <v>46631</v>
      </c>
    </row>
    <row r="143">
      <c r="B143" s="2" t="n">
        <v>46661</v>
      </c>
    </row>
    <row r="144">
      <c r="B144" s="2" t="n">
        <v>46692</v>
      </c>
    </row>
    <row r="145">
      <c r="B145" s="2" t="n">
        <v>46722</v>
      </c>
    </row>
    <row r="146">
      <c r="B146" s="2" t="n">
        <v>46753</v>
      </c>
    </row>
    <row r="147">
      <c r="B147" s="2" t="n">
        <v>46784</v>
      </c>
    </row>
    <row r="148">
      <c r="B148" s="2" t="n">
        <v>46813</v>
      </c>
    </row>
    <row r="149">
      <c r="B149" s="2" t="n">
        <v>46844</v>
      </c>
    </row>
    <row r="150">
      <c r="B150" s="2" t="n">
        <v>46874</v>
      </c>
    </row>
    <row r="151">
      <c r="B151" s="2" t="n">
        <v>46905</v>
      </c>
    </row>
    <row r="152">
      <c r="B152" s="2" t="n">
        <v>46935</v>
      </c>
    </row>
    <row r="153">
      <c r="B153" s="2" t="n">
        <v>46966</v>
      </c>
    </row>
    <row r="154">
      <c r="B154" s="2" t="n">
        <v>46997</v>
      </c>
    </row>
    <row r="155">
      <c r="B155" s="2" t="n">
        <v>47027</v>
      </c>
    </row>
    <row r="156">
      <c r="B156" s="2" t="n">
        <v>47058</v>
      </c>
    </row>
    <row r="157">
      <c r="B157" s="2" t="n">
        <v>47088</v>
      </c>
    </row>
    <row r="158">
      <c r="B158" s="2" t="n">
        <v>47119</v>
      </c>
    </row>
    <row r="159">
      <c r="B159" s="2" t="n">
        <v>47150</v>
      </c>
    </row>
    <row r="160">
      <c r="B160" s="2" t="n">
        <v>47178</v>
      </c>
    </row>
    <row r="161">
      <c r="B161" s="2" t="n">
        <v>47209</v>
      </c>
    </row>
    <row r="162">
      <c r="B162" s="2" t="n">
        <v>47239</v>
      </c>
    </row>
    <row r="163">
      <c r="B163" s="2" t="n">
        <v>47270</v>
      </c>
    </row>
    <row r="164">
      <c r="B164" s="2" t="n">
        <v>47300</v>
      </c>
    </row>
    <row r="165">
      <c r="B165" s="2" t="n">
        <v>47331</v>
      </c>
    </row>
    <row r="166">
      <c r="B166" s="2" t="n">
        <v>47362</v>
      </c>
    </row>
    <row r="167">
      <c r="B167" s="2" t="n">
        <v>47392</v>
      </c>
    </row>
    <row r="168">
      <c r="B168" s="2" t="n">
        <v>47423</v>
      </c>
    </row>
    <row r="169">
      <c r="B169" s="2" t="n">
        <v>47453</v>
      </c>
    </row>
    <row r="170">
      <c r="B170" s="2" t="n">
        <v>47484</v>
      </c>
    </row>
    <row r="171">
      <c r="B171" s="2" t="n">
        <v>47515</v>
      </c>
    </row>
    <row r="172">
      <c r="B172" s="2" t="n">
        <v>47543</v>
      </c>
    </row>
    <row r="173">
      <c r="B173" s="2" t="n">
        <v>47574</v>
      </c>
    </row>
    <row r="174">
      <c r="B174" s="2" t="n">
        <v>47604</v>
      </c>
    </row>
    <row r="175">
      <c r="B175" s="2" t="n">
        <v>47635</v>
      </c>
    </row>
    <row r="176">
      <c r="B176" s="2" t="n">
        <v>47665</v>
      </c>
    </row>
    <row r="177">
      <c r="B177" s="2" t="n">
        <v>47696</v>
      </c>
    </row>
    <row r="178">
      <c r="B178" s="2" t="n">
        <v>47727</v>
      </c>
    </row>
    <row r="179">
      <c r="B179" s="2" t="n">
        <v>47757</v>
      </c>
    </row>
    <row r="180">
      <c r="B180" s="2" t="n">
        <v>47788</v>
      </c>
    </row>
    <row r="181">
      <c r="B181" s="2" t="n">
        <v>47818</v>
      </c>
    </row>
    <row r="182">
      <c r="B182" s="2" t="n">
        <v>47849</v>
      </c>
    </row>
    <row r="183">
      <c r="B183" s="2" t="n">
        <v>47880</v>
      </c>
    </row>
    <row r="184">
      <c r="B184" s="2" t="n">
        <v>47908</v>
      </c>
    </row>
    <row r="185">
      <c r="B185" s="2" t="n">
        <v>47939</v>
      </c>
    </row>
    <row r="186">
      <c r="B186" s="2" t="n">
        <v>47969</v>
      </c>
    </row>
    <row r="187">
      <c r="B187" s="2" t="n">
        <v>48000</v>
      </c>
    </row>
    <row r="188">
      <c r="B188" s="2" t="n">
        <v>48030</v>
      </c>
    </row>
    <row r="189">
      <c r="B189" s="2" t="n">
        <v>48061</v>
      </c>
    </row>
    <row r="190">
      <c r="B190" s="2" t="n">
        <v>48092</v>
      </c>
    </row>
    <row r="191">
      <c r="B191" s="2" t="n">
        <v>48122</v>
      </c>
    </row>
    <row r="192">
      <c r="B192" s="2" t="n">
        <v>48153</v>
      </c>
    </row>
    <row r="193">
      <c r="B193" s="2" t="n">
        <v>48183</v>
      </c>
    </row>
    <row r="194">
      <c r="B194" s="2" t="n">
        <v>48214</v>
      </c>
    </row>
    <row r="195">
      <c r="B195" s="2" t="n">
        <v>48245</v>
      </c>
    </row>
    <row r="196">
      <c r="B196" s="2" t="n">
        <v>48274</v>
      </c>
    </row>
    <row r="197">
      <c r="B197" s="2" t="n">
        <v>48305</v>
      </c>
    </row>
    <row r="198">
      <c r="B198" s="2" t="n">
        <v>48335</v>
      </c>
    </row>
    <row r="199">
      <c r="B199" s="2" t="n">
        <v>48366</v>
      </c>
    </row>
    <row r="200">
      <c r="B200" s="2" t="n">
        <v>48396</v>
      </c>
    </row>
    <row r="201">
      <c r="B201" s="2" t="n">
        <v>48427</v>
      </c>
    </row>
    <row r="202">
      <c r="B202" s="2" t="n">
        <v>48458</v>
      </c>
    </row>
    <row r="203">
      <c r="B203" s="2" t="n">
        <v>48488</v>
      </c>
    </row>
    <row r="204">
      <c r="B204" s="2" t="n">
        <v>48519</v>
      </c>
    </row>
    <row r="205">
      <c r="B205" s="2" t="n">
        <v>48549</v>
      </c>
    </row>
    <row r="206">
      <c r="B206" s="2" t="n">
        <v>48580</v>
      </c>
    </row>
    <row r="207">
      <c r="B207" s="2" t="n">
        <v>48611</v>
      </c>
    </row>
    <row r="208">
      <c r="B208" s="2" t="n">
        <v>48639</v>
      </c>
    </row>
    <row r="209">
      <c r="B209" s="2" t="n">
        <v>48670</v>
      </c>
    </row>
    <row r="210">
      <c r="B210" s="2" t="n">
        <v>48700</v>
      </c>
    </row>
    <row r="211">
      <c r="B211" s="2" t="n">
        <v>48731</v>
      </c>
    </row>
    <row r="212">
      <c r="B212" s="2" t="n">
        <v>48761</v>
      </c>
    </row>
    <row r="213">
      <c r="B213" s="2" t="n">
        <v>48792</v>
      </c>
    </row>
    <row r="214">
      <c r="B214" s="2" t="n">
        <v>48823</v>
      </c>
    </row>
    <row r="215">
      <c r="B215" s="2" t="n">
        <v>48853</v>
      </c>
    </row>
    <row r="216">
      <c r="B216" s="2" t="n">
        <v>48884</v>
      </c>
    </row>
    <row r="217">
      <c r="B217" s="2" t="n">
        <v>48914</v>
      </c>
    </row>
    <row r="218">
      <c r="B218" s="2" t="n">
        <v>48945</v>
      </c>
    </row>
    <row r="219">
      <c r="B219" s="2" t="n">
        <v>48976</v>
      </c>
    </row>
    <row r="220">
      <c r="B220" s="2" t="n">
        <v>49004</v>
      </c>
    </row>
    <row r="221">
      <c r="B221" s="2" t="n">
        <v>49035</v>
      </c>
    </row>
    <row r="222">
      <c r="B222" s="2" t="n">
        <v>49065</v>
      </c>
    </row>
    <row r="223">
      <c r="B223" s="2" t="n">
        <v>49096</v>
      </c>
    </row>
    <row r="224">
      <c r="B224" s="2" t="n">
        <v>49126</v>
      </c>
    </row>
    <row r="225">
      <c r="B225" s="2" t="n">
        <v>49157</v>
      </c>
    </row>
    <row r="226">
      <c r="B226" s="2" t="n">
        <v>49188</v>
      </c>
    </row>
    <row r="227">
      <c r="B227" s="2" t="n">
        <v>49218</v>
      </c>
    </row>
    <row r="228">
      <c r="B228" s="2" t="n">
        <v>49249</v>
      </c>
    </row>
    <row r="229">
      <c r="B229" s="2" t="n">
        <v>49279</v>
      </c>
    </row>
    <row r="230">
      <c r="B230" s="2" t="n">
        <v>49310</v>
      </c>
    </row>
    <row r="231">
      <c r="B231" s="2" t="n">
        <v>49341</v>
      </c>
    </row>
    <row r="232">
      <c r="B232" s="2" t="n">
        <v>49369</v>
      </c>
    </row>
    <row r="233">
      <c r="B233" s="2" t="n">
        <v>49400</v>
      </c>
    </row>
    <row r="234">
      <c r="B234" s="2" t="n">
        <v>49430</v>
      </c>
    </row>
    <row r="235">
      <c r="B235" s="2" t="n">
        <v>49461</v>
      </c>
    </row>
  </sheetData>
  <pageMargins left="0.7" right="0.7" top="0.75" bottom="0.75" header="0.3" footer="0.3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G1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Decreto</t>
        </is>
      </c>
      <c r="B1" s="1" t="inlineStr">
        <is>
          <t>Fecha Publicación</t>
        </is>
      </c>
      <c r="C1" s="1" t="inlineStr">
        <is>
          <t>Interés vigente</t>
        </is>
      </c>
      <c r="D1" s="1" t="inlineStr">
        <is>
          <t>Desde</t>
        </is>
      </c>
      <c r="E1" s="1" t="inlineStr">
        <is>
          <t>Hasta</t>
        </is>
      </c>
      <c r="F1" s="1" t="inlineStr">
        <is>
          <t>Interés anual</t>
        </is>
      </c>
      <c r="G1" s="1" t="inlineStr">
        <is>
          <t>Link</t>
        </is>
      </c>
    </row>
    <row r="2">
      <c r="A2" t="inlineStr">
        <is>
          <t>PNP_8T_11-07-2016</t>
        </is>
      </c>
      <c r="B2" s="2" t="n">
        <v>42588</v>
      </c>
      <c r="C2" t="inlineStr">
        <is>
          <t>Certicado N°7/2016</t>
        </is>
      </c>
      <c r="D2" s="2" t="n">
        <v>42566</v>
      </c>
      <c r="E2" s="2" t="n">
        <v>42594</v>
      </c>
      <c r="F2" t="n">
        <v>0.0546</v>
      </c>
      <c r="G2" s="3" t="inlineStr">
        <is>
          <t>https://www.bcn.cl/leychile/navegar?idNorma=1092549</t>
        </is>
      </c>
    </row>
    <row r="3">
      <c r="A3" t="inlineStr">
        <is>
          <t>PNP_9T_25-07-2016</t>
        </is>
      </c>
      <c r="B3" s="2" t="n">
        <v>42614</v>
      </c>
      <c r="C3" t="inlineStr">
        <is>
          <t>Certificado N°8/2016</t>
        </is>
      </c>
      <c r="D3" s="2" t="n">
        <v>42595</v>
      </c>
      <c r="E3" s="2" t="n">
        <v>42627</v>
      </c>
      <c r="F3" t="n">
        <v>0.0542</v>
      </c>
      <c r="G3" s="3" t="inlineStr">
        <is>
          <t>https://www.bcn.cl/leychile/navegar?idNorma=1093605</t>
        </is>
      </c>
    </row>
    <row r="4">
      <c r="A4" t="inlineStr">
        <is>
          <t>PNP_12T_20-12-2016</t>
        </is>
      </c>
      <c r="B4" s="2" t="n">
        <v>43018</v>
      </c>
      <c r="C4" t="inlineStr">
        <is>
          <t>Certificado N°9/2017</t>
        </is>
      </c>
      <c r="D4" s="2" t="n">
        <v>42993</v>
      </c>
      <c r="E4" s="2" t="n">
        <v>43021</v>
      </c>
      <c r="F4" t="n">
        <v>0.0416</v>
      </c>
      <c r="G4" s="3" t="inlineStr">
        <is>
          <t>https://www.diariooficial.interior.gob.cl/publicaciones/2017/09/15/41861/01/1272697.pdf</t>
        </is>
      </c>
    </row>
    <row r="5">
      <c r="A5" t="inlineStr">
        <is>
          <t>PNP_3T_15-05-2017</t>
        </is>
      </c>
      <c r="B5" s="2" t="n">
        <v>43018</v>
      </c>
      <c r="C5" t="inlineStr">
        <is>
          <t>Certificado N°9/2017</t>
        </is>
      </c>
      <c r="D5" s="2" t="n">
        <v>42993</v>
      </c>
      <c r="E5" s="2" t="n">
        <v>43021</v>
      </c>
      <c r="F5" t="n">
        <v>0.0416</v>
      </c>
      <c r="G5" s="3" t="inlineStr">
        <is>
          <t>https://www.diariooficial.interior.gob.cl/publicaciones/2017/09/15/41861/01/1272697.pdf</t>
        </is>
      </c>
    </row>
    <row r="6">
      <c r="A6" t="inlineStr">
        <is>
          <t>PNP_12T_28-11-2017</t>
        </is>
      </c>
      <c r="B6" s="2" t="n">
        <v>43183</v>
      </c>
      <c r="C6" t="inlineStr">
        <is>
          <t>Certificado N°3/2018</t>
        </is>
      </c>
      <c r="D6" s="2" t="n">
        <v>43174</v>
      </c>
      <c r="E6" s="2" t="n">
        <v>43203</v>
      </c>
      <c r="F6" t="n">
        <v>0.042</v>
      </c>
      <c r="G6" s="3" t="inlineStr">
        <is>
          <t>https://www.diariooficial.interior.gob.cl/publicaciones/2018/03/15/42008/01/1366088.pdf</t>
        </is>
      </c>
    </row>
    <row r="7">
      <c r="A7" t="inlineStr">
        <is>
          <t>PNP_7T_18-05-2018</t>
        </is>
      </c>
      <c r="B7" s="2" t="n">
        <v>43371</v>
      </c>
      <c r="C7" t="inlineStr">
        <is>
          <t>Certificado N°9/2018</t>
        </is>
      </c>
      <c r="D7" s="2" t="n">
        <v>43358</v>
      </c>
      <c r="E7" s="2" t="n">
        <v>43385</v>
      </c>
      <c r="F7" t="n">
        <v>0.0438</v>
      </c>
      <c r="G7" s="3" t="inlineStr">
        <is>
          <t>https://www.diariooficial.interior.gob.cl/publicaciones/2018/09/15/42159/01/1465375.pdf</t>
        </is>
      </c>
    </row>
    <row r="8">
      <c r="A8" t="inlineStr">
        <is>
          <t>PNP_20T_13-12-2018</t>
        </is>
      </c>
      <c r="B8" s="2" t="n">
        <v>43591</v>
      </c>
      <c r="C8" t="inlineStr">
        <is>
          <t>Certificado N°4/2019</t>
        </is>
      </c>
      <c r="D8" s="2" t="n">
        <v>43570</v>
      </c>
      <c r="E8" s="2" t="n">
        <v>43599</v>
      </c>
      <c r="F8" t="n">
        <v>0.0446</v>
      </c>
      <c r="G8" s="3" t="inlineStr">
        <is>
          <t>https://www.diariooficial.interior.gob.cl/publicaciones/2019/04/15/42331/01/1576341.pdf</t>
        </is>
      </c>
    </row>
    <row r="9">
      <c r="A9" t="inlineStr">
        <is>
          <t>PNP_6T_08-05-2020</t>
        </is>
      </c>
      <c r="B9" s="2" t="n">
        <v>44137</v>
      </c>
      <c r="C9" t="inlineStr">
        <is>
          <t>Certificado N° 10/2020</t>
        </is>
      </c>
      <c r="D9" s="2" t="n">
        <v>44119</v>
      </c>
      <c r="E9" s="2" t="n">
        <v>44148</v>
      </c>
      <c r="F9" t="n">
        <v>0.0361</v>
      </c>
      <c r="G9" s="3" t="inlineStr">
        <is>
          <t>https://www.diariooficial.interior.gob.cl/publicaciones/2020/10/15/42780/01/1830437.pdf</t>
        </is>
      </c>
    </row>
    <row r="10">
      <c r="A10" t="inlineStr">
        <is>
          <t>PNP_16T_02-11-2020</t>
        </is>
      </c>
      <c r="B10" s="2" t="n">
        <v>44275</v>
      </c>
      <c r="C10" t="inlineStr">
        <is>
          <t>Certificado N° 3/2021</t>
        </is>
      </c>
      <c r="D10" s="2" t="n">
        <v>44270</v>
      </c>
      <c r="E10" s="2" t="n">
        <v>44300</v>
      </c>
      <c r="F10" t="n">
        <v>0.0391</v>
      </c>
      <c r="G10" s="3" t="inlineStr">
        <is>
          <t>https://www.diariooficial.interior.gob.cl/publicaciones/2021/03/15/42905/01/1910115.pdf</t>
        </is>
      </c>
    </row>
    <row r="11">
      <c r="A11" t="inlineStr">
        <is>
          <t>PNP_19T_30-12-2020</t>
        </is>
      </c>
      <c r="B11" s="2" t="n">
        <v>44336</v>
      </c>
      <c r="C11" t="inlineStr">
        <is>
          <t>Certificado N° 05/2021</t>
        </is>
      </c>
      <c r="D11" s="2" t="n">
        <v>44330</v>
      </c>
      <c r="F11" t="n">
        <v>0.0328</v>
      </c>
      <c r="G11" s="3" t="inlineStr">
        <is>
          <t>https://www.diariooficial.interior.gob.cl/publicaciones/2021/05/14/42954/01/1943780.pdf</t>
        </is>
      </c>
    </row>
    <row r="13">
      <c r="A13" t="inlineStr">
        <is>
          <t>Interés ResEx 703 (06-nov.2018), Artículo 13</t>
        </is>
      </c>
    </row>
    <row r="14">
      <c r="A14" t="inlineStr">
        <is>
          <t>Operaciones no reajustables en moneda nacional de menos de 90 días, superiores al equivalente de 5.000 unidades de fomento</t>
        </is>
      </c>
    </row>
  </sheetData>
  <hyperlinks>
    <hyperlink xmlns:r="http://schemas.openxmlformats.org/officeDocument/2006/relationships" ref="G2" r:id="rId1"/>
    <hyperlink xmlns:r="http://schemas.openxmlformats.org/officeDocument/2006/relationships" ref="G3" r:id="rId2"/>
    <hyperlink xmlns:r="http://schemas.openxmlformats.org/officeDocument/2006/relationships" ref="G4" r:id="rId3"/>
    <hyperlink xmlns:r="http://schemas.openxmlformats.org/officeDocument/2006/relationships" ref="G5" r:id="rId4"/>
    <hyperlink xmlns:r="http://schemas.openxmlformats.org/officeDocument/2006/relationships" ref="G6" r:id="rId5"/>
    <hyperlink xmlns:r="http://schemas.openxmlformats.org/officeDocument/2006/relationships" ref="G7" r:id="rId6"/>
    <hyperlink xmlns:r="http://schemas.openxmlformats.org/officeDocument/2006/relationships" ref="G8" r:id="rId7"/>
    <hyperlink xmlns:r="http://schemas.openxmlformats.org/officeDocument/2006/relationships" ref="G9" r:id="rId8"/>
    <hyperlink xmlns:r="http://schemas.openxmlformats.org/officeDocument/2006/relationships" ref="G10" r:id="rId9"/>
    <hyperlink xmlns:r="http://schemas.openxmlformats.org/officeDocument/2006/relationships" ref="G11" r:id="rId10"/>
  </hyperlinks>
  <pageMargins left="0.7" right="0.7" top="0.75" bottom="0.75" header="0.3" footer="0.3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terms:created xmlns:dcterms="http://purl.org/dc/terms/" xmlns:xsi="http://www.w3.org/2001/XMLSchema-instance" xsi:type="dcterms:W3CDTF">2022-04-13T17:49:36Z</dcterms:created>
  <dcterms:modified xmlns:dcterms="http://purl.org/dc/terms/" xmlns:xsi="http://www.w3.org/2001/XMLSchema-instance" xsi:type="dcterms:W3CDTF">2022-04-13T17:49:36Z</dcterms:modified>
</cp:coreProperties>
</file>