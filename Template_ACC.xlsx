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8856E48C-7B65-4C8A-B8A0-11978EFAC2EA}" xr6:coauthVersionLast="47" xr6:coauthVersionMax="47" xr10:uidLastSave="{00000000-0000-0000-0000-000000000000}"/>
  <bookViews>
    <workbookView xWindow="-120" yWindow="-120" windowWidth="29040" windowHeight="15840" tabRatio="646" activeTab="3" xr2:uid="{00000000-000D-0000-FFFF-FFFF00000000}"/>
  </bookViews>
  <sheets>
    <sheet name="README" sheetId="18" r:id="rId1"/>
    <sheet name="MAPA_DATA" sheetId="12" r:id="rId2"/>
    <sheet name="ReliquidacionEFACT" sheetId="7" r:id="rId3"/>
    <sheet name="ResumenRetiros" sheetId="19" r:id="rId4"/>
    <sheet name="FACT_EMITIDA" sheetId="2" r:id="rId5"/>
    <sheet name="SIGGE_E" sheetId="14" r:id="rId6"/>
    <sheet name="SIGGE_P" sheetId="15" r:id="rId7"/>
    <sheet name="EFACT_CNE" sheetId="1" r:id="rId8"/>
    <sheet name="EfactCNE_BT" sheetId="24" r:id="rId9"/>
    <sheet name="FACT_EST_EFACT" sheetId="22" r:id="rId10"/>
    <sheet name="CEN_Energia" sheetId="20" r:id="rId11"/>
    <sheet name="CEN_EnergiaBT" sheetId="23" r:id="rId12"/>
    <sheet name="CEN_Potencia" sheetId="21" r:id="rId13"/>
    <sheet name="SIN_DATA" sheetId="16" r:id="rId14"/>
    <sheet name="INTERESES" sheetId="17" r:id="rId15"/>
  </sheets>
  <definedNames>
    <definedName name="_xlnm._FilterDatabase" localSheetId="7" hidden="1">EFACT_CNE!$A$1:$Y$415</definedName>
    <definedName name="_xlnm._FilterDatabase" localSheetId="4" hidden="1">FACT_EMITIDA!$A$1:$U$604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19" l="1"/>
  <c r="G33" i="19"/>
  <c r="F33" i="19"/>
  <c r="E33" i="19"/>
  <c r="D33" i="19"/>
  <c r="H32" i="19"/>
  <c r="G32" i="19"/>
  <c r="F32" i="19"/>
  <c r="E32" i="19"/>
  <c r="D32" i="19"/>
  <c r="H31" i="19"/>
  <c r="G31" i="19"/>
  <c r="F31" i="19"/>
  <c r="E31" i="19"/>
  <c r="D31" i="19"/>
  <c r="H30" i="19"/>
  <c r="G30" i="19"/>
  <c r="F30" i="19"/>
  <c r="E30" i="19"/>
  <c r="D30" i="19"/>
  <c r="H29" i="19"/>
  <c r="G29" i="19"/>
  <c r="F29" i="19"/>
  <c r="E29" i="19"/>
  <c r="D29" i="19"/>
  <c r="H28" i="19"/>
  <c r="G28" i="19"/>
  <c r="F28" i="19"/>
  <c r="E28" i="19"/>
  <c r="D28" i="19"/>
  <c r="H27" i="19"/>
  <c r="G27" i="19"/>
  <c r="F27" i="19"/>
  <c r="E27" i="19"/>
  <c r="D27" i="19"/>
  <c r="H26" i="19"/>
  <c r="G26" i="19"/>
  <c r="F26" i="19"/>
  <c r="E26" i="19"/>
  <c r="D26" i="19"/>
  <c r="H25" i="19"/>
  <c r="G25" i="19"/>
  <c r="F25" i="19"/>
  <c r="E25" i="19"/>
  <c r="D25" i="19"/>
  <c r="H24" i="19"/>
  <c r="G24" i="19"/>
  <c r="F24" i="19"/>
  <c r="E24" i="19"/>
  <c r="D24" i="19"/>
  <c r="H23" i="19"/>
  <c r="G23" i="19"/>
  <c r="F23" i="19"/>
  <c r="E23" i="19"/>
  <c r="D23" i="19"/>
  <c r="H22" i="19"/>
  <c r="G22" i="19"/>
  <c r="F22" i="19"/>
  <c r="E22" i="19"/>
  <c r="D22" i="19"/>
  <c r="H21" i="19"/>
  <c r="G21" i="19"/>
  <c r="F21" i="19"/>
  <c r="E21" i="19"/>
  <c r="D21" i="19"/>
  <c r="H20" i="19"/>
  <c r="G20" i="19"/>
  <c r="F20" i="19"/>
  <c r="E20" i="19"/>
  <c r="D20" i="19"/>
  <c r="H19" i="19"/>
  <c r="G19" i="19"/>
  <c r="F19" i="19"/>
  <c r="E19" i="19"/>
  <c r="D19" i="19"/>
  <c r="H18" i="19"/>
  <c r="G18" i="19"/>
  <c r="F18" i="19"/>
  <c r="E18" i="19"/>
  <c r="D18" i="19"/>
  <c r="H17" i="19"/>
  <c r="G17" i="19"/>
  <c r="F17" i="19"/>
  <c r="E17" i="19"/>
  <c r="D17" i="19"/>
  <c r="H16" i="19"/>
  <c r="G16" i="19"/>
  <c r="F16" i="19"/>
  <c r="E16" i="19"/>
  <c r="D16" i="19"/>
  <c r="H15" i="19"/>
  <c r="G15" i="19"/>
  <c r="F15" i="19"/>
  <c r="E15" i="19"/>
  <c r="D15" i="19"/>
  <c r="H14" i="19"/>
  <c r="G14" i="19"/>
  <c r="F14" i="19"/>
  <c r="E14" i="19"/>
  <c r="D14" i="19"/>
  <c r="H13" i="19"/>
  <c r="G13" i="19"/>
  <c r="F13" i="19"/>
  <c r="E13" i="19"/>
  <c r="D13" i="19"/>
  <c r="H12" i="19"/>
  <c r="G12" i="19"/>
  <c r="F12" i="19"/>
  <c r="E12" i="19"/>
  <c r="D12" i="19"/>
  <c r="H11" i="19"/>
  <c r="G11" i="19"/>
  <c r="F11" i="19"/>
  <c r="E11" i="19"/>
  <c r="D11" i="19"/>
  <c r="H10" i="19"/>
  <c r="G10" i="19"/>
  <c r="F10" i="19"/>
  <c r="E10" i="19"/>
  <c r="D10" i="19"/>
  <c r="H9" i="19"/>
  <c r="G9" i="19"/>
  <c r="F9" i="19"/>
  <c r="E9" i="19"/>
  <c r="D9" i="19"/>
  <c r="D34" i="19"/>
  <c r="H34" i="19" l="1"/>
  <c r="G34" i="19"/>
  <c r="F34" i="19"/>
  <c r="E34" i="19" l="1"/>
  <c r="A9" i="19" l="1"/>
  <c r="Q33" i="7"/>
  <c r="P33" i="7"/>
  <c r="N33" i="7"/>
  <c r="M33" i="7"/>
  <c r="H33" i="7"/>
  <c r="G33" i="7"/>
  <c r="E33" i="7"/>
  <c r="D33" i="7"/>
  <c r="Q32" i="7"/>
  <c r="P32" i="7"/>
  <c r="N32" i="7"/>
  <c r="M32" i="7"/>
  <c r="H32" i="7"/>
  <c r="G32" i="7"/>
  <c r="E32" i="7"/>
  <c r="D32" i="7"/>
  <c r="Q31" i="7"/>
  <c r="P31" i="7"/>
  <c r="N31" i="7"/>
  <c r="M31" i="7"/>
  <c r="H31" i="7"/>
  <c r="G31" i="7"/>
  <c r="E31" i="7"/>
  <c r="D31" i="7"/>
  <c r="Q30" i="7"/>
  <c r="P30" i="7"/>
  <c r="N30" i="7"/>
  <c r="M30" i="7"/>
  <c r="H30" i="7"/>
  <c r="G30" i="7"/>
  <c r="E30" i="7"/>
  <c r="D30" i="7"/>
  <c r="Q29" i="7"/>
  <c r="P29" i="7"/>
  <c r="N29" i="7"/>
  <c r="M29" i="7"/>
  <c r="H29" i="7"/>
  <c r="G29" i="7"/>
  <c r="E29" i="7"/>
  <c r="D29" i="7"/>
  <c r="Q28" i="7"/>
  <c r="P28" i="7"/>
  <c r="N28" i="7"/>
  <c r="M28" i="7"/>
  <c r="H28" i="7"/>
  <c r="G28" i="7"/>
  <c r="E28" i="7"/>
  <c r="D28" i="7"/>
  <c r="Q27" i="7"/>
  <c r="P27" i="7"/>
  <c r="N27" i="7"/>
  <c r="M27" i="7"/>
  <c r="H27" i="7"/>
  <c r="G27" i="7"/>
  <c r="E27" i="7"/>
  <c r="D27" i="7"/>
  <c r="Q26" i="7"/>
  <c r="P26" i="7"/>
  <c r="N26" i="7"/>
  <c r="M26" i="7"/>
  <c r="H26" i="7"/>
  <c r="G26" i="7"/>
  <c r="E26" i="7"/>
  <c r="D26" i="7"/>
  <c r="Q25" i="7"/>
  <c r="P25" i="7"/>
  <c r="N25" i="7"/>
  <c r="M25" i="7"/>
  <c r="H25" i="7"/>
  <c r="G25" i="7"/>
  <c r="E25" i="7"/>
  <c r="D25" i="7"/>
  <c r="Q24" i="7"/>
  <c r="P24" i="7"/>
  <c r="N24" i="7"/>
  <c r="M24" i="7"/>
  <c r="H24" i="7"/>
  <c r="G24" i="7"/>
  <c r="E24" i="7"/>
  <c r="D24" i="7"/>
  <c r="Q23" i="7"/>
  <c r="P23" i="7"/>
  <c r="N23" i="7"/>
  <c r="M23" i="7"/>
  <c r="H23" i="7"/>
  <c r="G23" i="7"/>
  <c r="E23" i="7"/>
  <c r="D23" i="7"/>
  <c r="Q22" i="7"/>
  <c r="P22" i="7"/>
  <c r="N22" i="7"/>
  <c r="M22" i="7"/>
  <c r="H22" i="7"/>
  <c r="G22" i="7"/>
  <c r="E22" i="7"/>
  <c r="D22" i="7"/>
  <c r="Q21" i="7"/>
  <c r="P21" i="7"/>
  <c r="N21" i="7"/>
  <c r="M21" i="7"/>
  <c r="H21" i="7"/>
  <c r="G21" i="7"/>
  <c r="E21" i="7"/>
  <c r="D21" i="7"/>
  <c r="Q20" i="7"/>
  <c r="P20" i="7"/>
  <c r="N20" i="7"/>
  <c r="M20" i="7"/>
  <c r="H20" i="7"/>
  <c r="G20" i="7"/>
  <c r="E20" i="7"/>
  <c r="D20" i="7"/>
  <c r="Q19" i="7"/>
  <c r="P19" i="7"/>
  <c r="N19" i="7"/>
  <c r="M19" i="7"/>
  <c r="H19" i="7"/>
  <c r="G19" i="7"/>
  <c r="E19" i="7"/>
  <c r="D19" i="7"/>
  <c r="Q18" i="7"/>
  <c r="P18" i="7"/>
  <c r="N18" i="7"/>
  <c r="M18" i="7"/>
  <c r="H18" i="7"/>
  <c r="G18" i="7"/>
  <c r="E18" i="7"/>
  <c r="D18" i="7"/>
  <c r="Q17" i="7"/>
  <c r="P17" i="7"/>
  <c r="N17" i="7"/>
  <c r="M17" i="7"/>
  <c r="H17" i="7"/>
  <c r="G17" i="7"/>
  <c r="E17" i="7"/>
  <c r="D17" i="7"/>
  <c r="Q16" i="7"/>
  <c r="P16" i="7"/>
  <c r="N16" i="7"/>
  <c r="M16" i="7"/>
  <c r="H16" i="7"/>
  <c r="G16" i="7"/>
  <c r="E16" i="7"/>
  <c r="D16" i="7"/>
  <c r="Q15" i="7"/>
  <c r="P15" i="7"/>
  <c r="N15" i="7"/>
  <c r="M15" i="7"/>
  <c r="H15" i="7"/>
  <c r="G15" i="7"/>
  <c r="E15" i="7"/>
  <c r="D15" i="7"/>
  <c r="Q14" i="7"/>
  <c r="P14" i="7"/>
  <c r="N14" i="7"/>
  <c r="M14" i="7"/>
  <c r="H14" i="7"/>
  <c r="G14" i="7"/>
  <c r="E14" i="7"/>
  <c r="D14" i="7"/>
  <c r="Q13" i="7"/>
  <c r="P13" i="7"/>
  <c r="N13" i="7"/>
  <c r="M13" i="7"/>
  <c r="H13" i="7"/>
  <c r="G13" i="7"/>
  <c r="E13" i="7"/>
  <c r="D13" i="7"/>
  <c r="Q12" i="7"/>
  <c r="P12" i="7"/>
  <c r="N12" i="7"/>
  <c r="M12" i="7"/>
  <c r="H12" i="7"/>
  <c r="G12" i="7"/>
  <c r="E12" i="7"/>
  <c r="D12" i="7"/>
  <c r="Q11" i="7"/>
  <c r="P11" i="7"/>
  <c r="N11" i="7"/>
  <c r="M11" i="7"/>
  <c r="H11" i="7"/>
  <c r="G11" i="7"/>
  <c r="E11" i="7"/>
  <c r="D11" i="7"/>
  <c r="Q10" i="7"/>
  <c r="P10" i="7"/>
  <c r="N10" i="7"/>
  <c r="M10" i="7"/>
  <c r="H10" i="7"/>
  <c r="G10" i="7"/>
  <c r="E10" i="7"/>
  <c r="D10" i="7"/>
  <c r="Q9" i="7"/>
  <c r="P9" i="7"/>
  <c r="N9" i="7"/>
  <c r="M9" i="7"/>
  <c r="H9" i="7"/>
  <c r="G9" i="7"/>
  <c r="E9" i="7"/>
  <c r="D9" i="7"/>
  <c r="AE34" i="7"/>
  <c r="A9" i="7"/>
  <c r="A10" i="19" l="1"/>
  <c r="AA10" i="7"/>
  <c r="AA11" i="7" s="1"/>
  <c r="AA12" i="7" s="1"/>
  <c r="AA13" i="7" s="1"/>
  <c r="AA14" i="7" s="1"/>
  <c r="AA15" i="7" s="1"/>
  <c r="AA16" i="7" s="1"/>
  <c r="AA17" i="7" s="1"/>
  <c r="AA18" i="7" s="1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AA33" i="7" s="1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A11" i="19" l="1"/>
  <c r="AE9" i="7"/>
  <c r="V9" i="7"/>
  <c r="I9" i="7"/>
  <c r="J9" i="7"/>
  <c r="AD9" i="7"/>
  <c r="R9" i="7"/>
  <c r="F9" i="7"/>
  <c r="AC9" i="7"/>
  <c r="AB9" i="7"/>
  <c r="A10" i="7"/>
  <c r="O9" i="7"/>
  <c r="S9" i="7"/>
  <c r="A12" i="19" l="1"/>
  <c r="R10" i="7"/>
  <c r="AC10" i="7"/>
  <c r="J10" i="7"/>
  <c r="O10" i="7"/>
  <c r="AB10" i="7"/>
  <c r="I10" i="7"/>
  <c r="F10" i="7"/>
  <c r="A11" i="7"/>
  <c r="V10" i="7"/>
  <c r="AD10" i="7"/>
  <c r="AE10" i="7"/>
  <c r="S10" i="7"/>
  <c r="A13" i="19" l="1"/>
  <c r="AC11" i="7"/>
  <c r="S11" i="7"/>
  <c r="F11" i="7"/>
  <c r="R11" i="7"/>
  <c r="AE11" i="7"/>
  <c r="J11" i="7"/>
  <c r="AD11" i="7"/>
  <c r="A12" i="7"/>
  <c r="AB11" i="7"/>
  <c r="O11" i="7"/>
  <c r="V11" i="7"/>
  <c r="I11" i="7"/>
  <c r="A14" i="19" l="1"/>
  <c r="AE12" i="7"/>
  <c r="F12" i="7"/>
  <c r="R12" i="7"/>
  <c r="V12" i="7"/>
  <c r="S12" i="7"/>
  <c r="AC12" i="7"/>
  <c r="I12" i="7"/>
  <c r="J12" i="7"/>
  <c r="A13" i="7"/>
  <c r="AD12" i="7"/>
  <c r="O12" i="7"/>
  <c r="AB12" i="7"/>
  <c r="A15" i="19" l="1"/>
  <c r="J13" i="7"/>
  <c r="F13" i="7"/>
  <c r="AC13" i="7"/>
  <c r="S13" i="7"/>
  <c r="O13" i="7"/>
  <c r="R13" i="7"/>
  <c r="V13" i="7"/>
  <c r="A14" i="7"/>
  <c r="AB13" i="7"/>
  <c r="I13" i="7"/>
  <c r="AE13" i="7"/>
  <c r="AD13" i="7"/>
  <c r="A16" i="19" l="1"/>
  <c r="S14" i="7"/>
  <c r="O14" i="7"/>
  <c r="R14" i="7"/>
  <c r="A15" i="7"/>
  <c r="J14" i="7"/>
  <c r="I14" i="7"/>
  <c r="F14" i="7"/>
  <c r="AB14" i="7"/>
  <c r="AD14" i="7"/>
  <c r="AC14" i="7"/>
  <c r="V14" i="7"/>
  <c r="AE14" i="7"/>
  <c r="A17" i="19" l="1"/>
  <c r="AE15" i="7"/>
  <c r="O15" i="7"/>
  <c r="AC15" i="7"/>
  <c r="F15" i="7"/>
  <c r="J15" i="7"/>
  <c r="V15" i="7"/>
  <c r="AD15" i="7"/>
  <c r="I15" i="7"/>
  <c r="S15" i="7"/>
  <c r="AB15" i="7"/>
  <c r="R15" i="7"/>
  <c r="A16" i="7"/>
  <c r="A18" i="19" l="1"/>
  <c r="AB16" i="7"/>
  <c r="F16" i="7"/>
  <c r="AD16" i="7"/>
  <c r="V16" i="7"/>
  <c r="O16" i="7"/>
  <c r="J16" i="7"/>
  <c r="I16" i="7"/>
  <c r="R16" i="7"/>
  <c r="S16" i="7"/>
  <c r="AC16" i="7"/>
  <c r="AE16" i="7"/>
  <c r="A17" i="7"/>
  <c r="A19" i="19" l="1"/>
  <c r="AE17" i="7"/>
  <c r="V17" i="7"/>
  <c r="I17" i="7"/>
  <c r="J17" i="7"/>
  <c r="AD17" i="7"/>
  <c r="R17" i="7"/>
  <c r="F17" i="7"/>
  <c r="AB17" i="7"/>
  <c r="S17" i="7"/>
  <c r="O17" i="7"/>
  <c r="A18" i="7"/>
  <c r="AC17" i="7"/>
  <c r="A20" i="19" l="1"/>
  <c r="R18" i="7"/>
  <c r="AC18" i="7"/>
  <c r="J18" i="7"/>
  <c r="AB18" i="7"/>
  <c r="AE18" i="7"/>
  <c r="V18" i="7"/>
  <c r="AD18" i="7"/>
  <c r="A19" i="7"/>
  <c r="O18" i="7"/>
  <c r="F18" i="7"/>
  <c r="I18" i="7"/>
  <c r="S18" i="7"/>
  <c r="A21" i="19" l="1"/>
  <c r="AC19" i="7"/>
  <c r="S19" i="7"/>
  <c r="J19" i="7"/>
  <c r="AB19" i="7"/>
  <c r="V19" i="7"/>
  <c r="R19" i="7"/>
  <c r="AE19" i="7"/>
  <c r="O19" i="7"/>
  <c r="AD19" i="7"/>
  <c r="A20" i="7"/>
  <c r="I19" i="7"/>
  <c r="F19" i="7"/>
  <c r="A22" i="19" l="1"/>
  <c r="R20" i="7"/>
  <c r="V20" i="7"/>
  <c r="S20" i="7"/>
  <c r="AD20" i="7"/>
  <c r="J20" i="7"/>
  <c r="O20" i="7"/>
  <c r="AC20" i="7"/>
  <c r="I20" i="7"/>
  <c r="AB20" i="7"/>
  <c r="AE20" i="7"/>
  <c r="A21" i="7"/>
  <c r="F20" i="7"/>
  <c r="A23" i="19" l="1"/>
  <c r="J21" i="7"/>
  <c r="F21" i="7"/>
  <c r="AC21" i="7"/>
  <c r="R21" i="7"/>
  <c r="V21" i="7"/>
  <c r="AD21" i="7"/>
  <c r="A22" i="7"/>
  <c r="S21" i="7"/>
  <c r="O21" i="7"/>
  <c r="AB21" i="7"/>
  <c r="AE21" i="7"/>
  <c r="I21" i="7"/>
  <c r="A24" i="19" l="1"/>
  <c r="S22" i="7"/>
  <c r="I22" i="7"/>
  <c r="AD22" i="7"/>
  <c r="F22" i="7"/>
  <c r="AC22" i="7"/>
  <c r="J22" i="7"/>
  <c r="AE22" i="7"/>
  <c r="A23" i="7"/>
  <c r="AB22" i="7"/>
  <c r="V22" i="7"/>
  <c r="R22" i="7"/>
  <c r="O22" i="7"/>
  <c r="A25" i="19" l="1"/>
  <c r="AE23" i="7"/>
  <c r="O23" i="7"/>
  <c r="J23" i="7"/>
  <c r="V23" i="7"/>
  <c r="AD23" i="7"/>
  <c r="I23" i="7"/>
  <c r="AC23" i="7"/>
  <c r="R23" i="7"/>
  <c r="F23" i="7"/>
  <c r="S23" i="7"/>
  <c r="AB23" i="7"/>
  <c r="A24" i="7"/>
  <c r="A26" i="19" l="1"/>
  <c r="I24" i="7"/>
  <c r="AB24" i="7"/>
  <c r="AD24" i="7"/>
  <c r="F24" i="7"/>
  <c r="O24" i="7"/>
  <c r="AE24" i="7"/>
  <c r="V24" i="7"/>
  <c r="AC24" i="7"/>
  <c r="R24" i="7"/>
  <c r="A25" i="7"/>
  <c r="S24" i="7"/>
  <c r="J24" i="7"/>
  <c r="A27" i="19" l="1"/>
  <c r="I25" i="7"/>
  <c r="J25" i="7"/>
  <c r="A26" i="7"/>
  <c r="AD25" i="7"/>
  <c r="F25" i="7"/>
  <c r="R25" i="7"/>
  <c r="S25" i="7"/>
  <c r="V25" i="7"/>
  <c r="AC25" i="7"/>
  <c r="AB25" i="7"/>
  <c r="AE25" i="7"/>
  <c r="O25" i="7"/>
  <c r="A28" i="19" l="1"/>
  <c r="R26" i="7"/>
  <c r="AC26" i="7"/>
  <c r="J26" i="7"/>
  <c r="O26" i="7"/>
  <c r="AB26" i="7"/>
  <c r="I26" i="7"/>
  <c r="F26" i="7"/>
  <c r="AE26" i="7"/>
  <c r="S26" i="7"/>
  <c r="V26" i="7"/>
  <c r="AD26" i="7"/>
  <c r="A27" i="7"/>
  <c r="A29" i="19" l="1"/>
  <c r="AC27" i="7"/>
  <c r="S27" i="7"/>
  <c r="AE27" i="7"/>
  <c r="R27" i="7"/>
  <c r="J27" i="7"/>
  <c r="I27" i="7"/>
  <c r="AD27" i="7"/>
  <c r="A28" i="7"/>
  <c r="AB27" i="7"/>
  <c r="V27" i="7"/>
  <c r="O27" i="7"/>
  <c r="F27" i="7"/>
  <c r="A30" i="19" l="1"/>
  <c r="R28" i="7"/>
  <c r="J28" i="7"/>
  <c r="V28" i="7"/>
  <c r="I28" i="7"/>
  <c r="AE28" i="7"/>
  <c r="A29" i="7"/>
  <c r="AD28" i="7"/>
  <c r="S28" i="7"/>
  <c r="F28" i="7"/>
  <c r="O28" i="7"/>
  <c r="AC28" i="7"/>
  <c r="AB28" i="7"/>
  <c r="A31" i="19" l="1"/>
  <c r="V29" i="7"/>
  <c r="F29" i="7"/>
  <c r="R29" i="7"/>
  <c r="AC29" i="7"/>
  <c r="S29" i="7"/>
  <c r="O29" i="7"/>
  <c r="J29" i="7"/>
  <c r="AE29" i="7"/>
  <c r="I29" i="7"/>
  <c r="AB29" i="7"/>
  <c r="AD29" i="7"/>
  <c r="A30" i="7"/>
  <c r="A32" i="19" l="1"/>
  <c r="S30" i="7"/>
  <c r="O30" i="7"/>
  <c r="AD30" i="7"/>
  <c r="I30" i="7"/>
  <c r="V30" i="7"/>
  <c r="AC30" i="7"/>
  <c r="A31" i="7"/>
  <c r="F30" i="7"/>
  <c r="AB30" i="7"/>
  <c r="R30" i="7"/>
  <c r="J30" i="7"/>
  <c r="AE30" i="7"/>
  <c r="A33" i="19" l="1"/>
  <c r="AE31" i="7"/>
  <c r="O31" i="7"/>
  <c r="V31" i="7"/>
  <c r="I31" i="7"/>
  <c r="AD31" i="7"/>
  <c r="S31" i="7"/>
  <c r="A32" i="7"/>
  <c r="J31" i="7"/>
  <c r="AB31" i="7"/>
  <c r="AC31" i="7"/>
  <c r="R31" i="7"/>
  <c r="F31" i="7"/>
  <c r="AB32" i="7" l="1"/>
  <c r="O32" i="7"/>
  <c r="S32" i="7"/>
  <c r="F32" i="7"/>
  <c r="AD32" i="7"/>
  <c r="V32" i="7"/>
  <c r="J32" i="7"/>
  <c r="I32" i="7"/>
  <c r="A33" i="7"/>
  <c r="AE32" i="7"/>
  <c r="R32" i="7"/>
  <c r="AC32" i="7"/>
  <c r="AD33" i="7" l="1"/>
  <c r="AC33" i="7"/>
  <c r="R33" i="7"/>
  <c r="AB33" i="7"/>
  <c r="F33" i="7"/>
  <c r="I33" i="7"/>
  <c r="J33" i="7"/>
  <c r="O33" i="7"/>
  <c r="S33" i="7"/>
  <c r="AE33" i="7"/>
  <c r="V33" i="7"/>
</calcChain>
</file>

<file path=xl/sharedStrings.xml><?xml version="1.0" encoding="utf-8"?>
<sst xmlns="http://schemas.openxmlformats.org/spreadsheetml/2006/main" count="37892" uniqueCount="464">
  <si>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</si>
  <si>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</si>
  <si>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</si>
  <si>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</si>
  <si>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</si>
  <si>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</si>
  <si>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</si>
  <si>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</si>
  <si>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</si>
  <si>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</si>
  <si>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</si>
  <si>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</si>
  <si>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</si>
  <si>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</si>
  <si>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</si>
  <si>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</si>
  <si>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</si>
  <si>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</si>
  <si>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</si>
  <si>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</si>
  <si>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</si>
  <si>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</si>
  <si>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</si>
  <si>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</si>
  <si>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</si>
  <si>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</si>
  <si>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</si>
  <si>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</si>
  <si>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</si>
  <si>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</si>
  <si>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</si>
  <si>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</si>
  <si>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</si>
  <si>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</si>
  <si>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</si>
  <si>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</si>
  <si>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</si>
  <si>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</si>
  <si>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</si>
  <si>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</si>
  <si>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</si>
  <si>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</si>
  <si>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</si>
  <si>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</si>
  <si>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</si>
  <si>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</si>
  <si>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</si>
  <si>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</si>
  <si>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</si>
  <si>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</si>
  <si>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</si>
  <si>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</si>
  <si>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</si>
  <si>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</si>
  <si>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</si>
  <si>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</si>
  <si>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</si>
  <si>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Energia Licitaciones</t>
  </si>
  <si>
    <t>Reliq. por PNP Potencia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</si>
  <si>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</si>
  <si>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</si>
  <si>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</si>
  <si>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</si>
  <si>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</si>
  <si>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</si>
  <si>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</si>
  <si>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</si>
  <si>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</si>
  <si>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</si>
  <si>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</si>
  <si>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</si>
  <si>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</si>
  <si>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</si>
  <si>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</si>
  <si>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</si>
  <si>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</si>
  <si>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</si>
  <si>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</si>
  <si>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</si>
  <si>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</si>
  <si>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</si>
  <si>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</si>
  <si>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</si>
  <si>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</si>
  <si>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</si>
  <si>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</si>
  <si>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</si>
  <si>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</si>
  <si>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</si>
  <si>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</si>
  <si>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</si>
  <si>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</si>
  <si>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</si>
  <si>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</si>
  <si>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</si>
  <si>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</si>
  <si>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</si>
  <si>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</si>
  <si>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</si>
  <si>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</si>
  <si>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</si>
  <si>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</si>
  <si>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</si>
  <si>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</si>
  <si>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</si>
  <si>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</si>
  <si>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</si>
  <si>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</si>
  <si>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</si>
  <si>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</si>
  <si>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</si>
  <si>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</si>
  <si>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</si>
  <si>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</si>
  <si>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</si>
  <si>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</si>
  <si>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</si>
  <si>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</si>
  <si>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</si>
  <si>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</si>
  <si>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</si>
  <si>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</si>
  <si>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</si>
  <si>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</si>
  <si>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</si>
  <si>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</si>
  <si>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</si>
  <si>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</si>
  <si>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</si>
  <si>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</si>
  <si>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</si>
  <si>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</si>
  <si>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</si>
  <si>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</si>
  <si>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</si>
  <si>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</si>
  <si>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</si>
  <si>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</si>
  <si>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</si>
  <si>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</si>
  <si>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</si>
  <si>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</si>
  <si>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</si>
  <si>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</si>
  <si>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</si>
  <si>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</si>
  <si>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</si>
  <si>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</si>
  <si>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</si>
  <si>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</si>
  <si>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</si>
  <si>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</si>
  <si>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</si>
  <si>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</si>
  <si>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</si>
  <si>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</si>
  <si>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</si>
  <si>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</si>
  <si>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</si>
  <si>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BS1A</t>
  </si>
  <si>
    <t>Lic. SIC 2013/03-2 bloques BS1A: Energía oct 2018</t>
  </si>
  <si>
    <t>Lic. SIC 2013/03-2 bloques BS1A: Energía nov 2018</t>
  </si>
  <si>
    <t>Lic. SIC 2013/03-2 bloques BS1A: Energía dic 2018</t>
  </si>
  <si>
    <t>Lic. SIC 2013/03-2 bloques BS1A: Reliq. Energía ene 2019</t>
  </si>
  <si>
    <t>Lic. SIC 2013/03-2 bloques BS1A: Energía ene 2019</t>
  </si>
  <si>
    <t>Lic. SIC 2013/03-2 bloques BS1A: Energía feb 2019</t>
  </si>
  <si>
    <t>Lic. SIC 2013/03-2 bloques BS1A: Reliq. Energía feb 2019</t>
  </si>
  <si>
    <t>Lic. SIC 2013/03-2 bloques BS1A: Energía mar 2019</t>
  </si>
  <si>
    <t>Lic. SIC 2013/03-2 bloques BS1A: Reliq. Energía mar 2019</t>
  </si>
  <si>
    <t>Lic. SIC 2013/03-2 bloques BS1A: Reliq. Energía abr 2019</t>
  </si>
  <si>
    <t>Lic. SIC 2013/03-2 bloques BS1A: Potencia abr 2019</t>
  </si>
  <si>
    <t>Lic. SIC 2013/03-2 bloques BS1A: Energía abr 2019</t>
  </si>
  <si>
    <t>Lic. SIC 2013/03-2 bloques BS1A: Reliq. Energía may 2019</t>
  </si>
  <si>
    <t>Lic. SIC 2013/03-2 bloques BS1A: Potencia may 2019</t>
  </si>
  <si>
    <t>Lic. SIC 2013/03-2 bloques BS1A: Energía may 2019</t>
  </si>
  <si>
    <t>Lic. SIC 2013/03-2 bloques BS1A: Potencia jun 2019</t>
  </si>
  <si>
    <t>Lic. SIC 2013/03-2 bloques BS1A: Reliq. Energía jun 2019</t>
  </si>
  <si>
    <t>Lic. SIC 2013/03-2 bloques BS1A: Energía jun 2019</t>
  </si>
  <si>
    <t>Lic. SIC 2013/03-2 bloques BS1A: Energía jul 2019</t>
  </si>
  <si>
    <t>Lic. SIC 2013/03-2 bloques BS1A: Reliq. Energía jul 2019</t>
  </si>
  <si>
    <t>Lic. SIC 2013/03-2 bloques BS1A: Potencia jul 2019</t>
  </si>
  <si>
    <t>Lic. SIC 2013/03-2 bloques BS1A: Energía ago 2019</t>
  </si>
  <si>
    <t>Lic. SIC 2013/03-2 bloques BS1A: Reliq. Energía ago 2019</t>
  </si>
  <si>
    <t>Lic. SIC 2013/03-2 bloques BS1A: Potencia oct 2019</t>
  </si>
  <si>
    <t>Lic. SIC 2013/03-2 bloques BS1A: Energía sep 2019</t>
  </si>
  <si>
    <t>Lic. SIC 2013/03-2 bloques BS1A: Energía  2019-9 facturada</t>
  </si>
  <si>
    <t>Lic. SIC 2013/03-2 bloques BS1A: Potencia  2019-9 PEC 7T-2019</t>
  </si>
  <si>
    <t>Reliq. Lic. SIC 2013/03-2 bloques BS1A: Energía oct 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</si>
  <si>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</si>
  <si>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</si>
  <si>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</si>
  <si>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</si>
  <si>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Lic. SIC 2013/03-2 bloques BS1A: Reliq. Energía nov 2019</t>
  </si>
  <si>
    <t>Lic. SIC 2013/03-2 bloques BS1A: Energía nov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</si>
  <si>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</si>
  <si>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</si>
  <si>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</si>
  <si>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</si>
  <si>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</si>
  <si>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Lic. SIC 2013/03-2 bloques BS1A: Potencia ene 2020</t>
  </si>
  <si>
    <t>Lic. SIC 2013/03-2 bloques BS1A: Energía ene 2020</t>
  </si>
  <si>
    <t>01-02-2020</t>
  </si>
  <si>
    <t>Lic. SIC 2013/03-2 bloques BS1A: Energía feb 2020</t>
  </si>
  <si>
    <t>Lic. SIC 2013/03-2 bloques BS1A: Potencia feb 2020</t>
  </si>
  <si>
    <t>Lic. SIC 2013/03-2 bloques BS1A: Reliq. Energía feb 2020</t>
  </si>
  <si>
    <t>01-03-2020</t>
  </si>
  <si>
    <t>Lic. SIC 2013/03-2 bloques BS1A: Potencia mar 2020</t>
  </si>
  <si>
    <t>Lic. SIC 2013/03-2 bloques BS1A: Reliq. Energía mar 2020</t>
  </si>
  <si>
    <t>Lic. SIC 2013/03-2 bloques BS1A: Energía mar 2020</t>
  </si>
  <si>
    <t>01-04-2020</t>
  </si>
  <si>
    <t>Lic. SIC 2013/03-2 bloques BS1A: Reactivo abr 2020</t>
  </si>
  <si>
    <t>Lic. SIC 2013/03-2 bloques BS1A: Reliq. Energía abr 2020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</si>
  <si>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</si>
  <si>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</si>
  <si>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</si>
  <si>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</si>
  <si>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</si>
  <si>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</si>
  <si>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Lic. SIC 2013/03-2 bloques BS1A: Reliq. AAT may 2020</t>
  </si>
  <si>
    <t>Lic. SIC 2013/03-2 bloques BS1A: Reactivo may 2020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</si>
  <si>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</si>
  <si>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</si>
  <si>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</si>
  <si>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</si>
  <si>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</si>
  <si>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Lic. SIC 2013/03-2 bloques BS1A: Reactivo jun 2020</t>
  </si>
  <si>
    <t>Lic. SIC 2013/03-2 bloques BS1A: AAT jun 2020</t>
  </si>
  <si>
    <t>Lic. SIC 2013/03-2 bloques BS1A: Reliq. AAT jun 2020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</si>
  <si>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</si>
  <si>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</si>
  <si>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</si>
  <si>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</si>
  <si>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Lic. SIC 2013/03-2 bloques BS1A: Reliq. AAT jul 2020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</si>
  <si>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</si>
  <si>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</si>
  <si>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</si>
  <si>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</si>
  <si>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</si>
  <si>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</si>
  <si>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Lic. SIC 2013/03-2 bloques BS1A: Energía ago 2020</t>
  </si>
  <si>
    <t>Lic. SIC 2013/03-2 bloques BS1A: Reliq. AAT ago 2020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</si>
  <si>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</si>
  <si>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</si>
  <si>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</si>
  <si>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</si>
  <si>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</si>
  <si>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Lic. SIC 2013/03-2 bloques BS1A: Reactivo sep 2020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</si>
  <si>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</si>
  <si>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</si>
  <si>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</si>
  <si>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</si>
  <si>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Lic. SIC 2013/03-2 bloques BS1A: Potencia oct 2020</t>
  </si>
  <si>
    <t>Lic. SIC 2013/03-2 bloques BS1A: Reactivo oct 2020</t>
  </si>
  <si>
    <t>Lic. SIC 2013/03-2 bloques BS1A: Reliq. Energía oct 2020</t>
  </si>
  <si>
    <t>Lic. SIC 2013/03-2 bloques BS1A: Reliq. AAT oct 2020</t>
  </si>
  <si>
    <t>Lic. SIC 2013/03-2 bloques BS1A: AAT oct 2020</t>
  </si>
  <si>
    <t>Lic. SIC 2013/03-2 bloques BS1A: Energía oct 2020</t>
  </si>
  <si>
    <t>Lic. SIC 2013/03-2 bloques BS1A: AAT nov 2020</t>
  </si>
  <si>
    <t>Lic. SIC 2013/03-2 bloques BS1A: Reactivo nov 2020</t>
  </si>
  <si>
    <t>Lic. SIC 2013/03-2 bloques BS1A: Reliq. Energía nov 2020</t>
  </si>
  <si>
    <t>Lic. SIC 2013/03-2 bloques BS1A: Reliq. AAT nov 2020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</si>
  <si>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</si>
  <si>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</si>
  <si>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</si>
  <si>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</si>
  <si>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Lic. SIC 2013/03-2 bloques BS1A: Potencia dic 2020</t>
  </si>
  <si>
    <t>Lic. SIC 2013/03-2 bloques BS1A: Reactivo dic 2020</t>
  </si>
  <si>
    <t>Lic. SIC 2013/03-2 bloques BS1A: Energía dic 2020</t>
  </si>
  <si>
    <t>Lic. SIC 2013/03-2 bloques BS1A: Reliq. Energía dic 2020</t>
  </si>
  <si>
    <t>Lic. SIC 2013/03-2 bloques BS1A: AAT dic 2020</t>
  </si>
  <si>
    <t>Lic. SIC 2013/03-2 bloques BS1A: Reliq. Energía ene 2021</t>
  </si>
  <si>
    <t>Lic. SIC 2013/03-2 bloques BS1A: AAT ene 2021</t>
  </si>
  <si>
    <t>Lic. SIC 2013/03-2 bloques BS1A: Energía ene 2021</t>
  </si>
  <si>
    <t>Lic. SIC 2013/03-2 bloques BS1A: Reactivo ene 2021</t>
  </si>
  <si>
    <t>Lic. SIC 2013/03-2 bloques BS1A: Potencia ene 2021</t>
  </si>
  <si>
    <t>Lic. SIC 2013/03-2 bloques BS1A: Potencia feb 2021</t>
  </si>
  <si>
    <t>Lic. SIC 2013/03-2 bloques BS1A: Reactivo feb 2021</t>
  </si>
  <si>
    <t>Lic. SIC 2013/03-2 bloques BS1A: Energía feb 2021</t>
  </si>
  <si>
    <t>Lic. SIC 2013/03-2 bloques BS1A: Reliq. Energía feb 2021</t>
  </si>
  <si>
    <t>Lic. SIC 2013/03-2 bloques BS1A: AAT feb 2021</t>
  </si>
  <si>
    <t>Lic. SIC 2013/03-2 bloques BS1A: Potencia mar 2021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</si>
  <si>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</si>
  <si>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</si>
  <si>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</si>
  <si>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</si>
  <si>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Lic. SIC 2013/03-2 bloques BS1A: Potencia abr 2021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</si>
  <si>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</si>
  <si>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</si>
  <si>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</si>
  <si>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</si>
  <si>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</si>
  <si>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</si>
  <si>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</si>
  <si>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</si>
  <si>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</si>
  <si>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</si>
  <si>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</si>
  <si>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</si>
  <si>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</si>
  <si>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</si>
  <si>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</si>
  <si>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</si>
  <si>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</si>
  <si>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</si>
  <si>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</si>
  <si>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</si>
  <si>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</si>
  <si>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</si>
  <si>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</si>
  <si>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</si>
  <si>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</si>
  <si>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</si>
  <si>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</si>
  <si>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</si>
  <si>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</si>
  <si>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</si>
  <si>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</si>
  <si>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</si>
  <si>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</si>
  <si>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</si>
  <si>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</si>
  <si>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</si>
  <si>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</si>
  <si>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</si>
  <si>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</si>
  <si>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</si>
  <si>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</si>
  <si>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</si>
  <si>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</si>
  <si>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OrigenData1</t>
  </si>
  <si>
    <t>OrigenData2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</si>
  <si>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</si>
  <si>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</si>
  <si>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</si>
  <si>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</si>
  <si>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</si>
  <si>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</si>
  <si>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</si>
  <si>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</si>
  <si>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</si>
  <si>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</si>
  <si>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</si>
  <si>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</si>
  <si>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</si>
  <si>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</si>
  <si>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PNP_20T_13-12-2018</t>
  </si>
  <si>
    <t>PNP_6T_08-05-2020</t>
  </si>
  <si>
    <t>PNP_16T_02-11-2020</t>
  </si>
  <si>
    <t>PNP_19T_30-12-2020</t>
  </si>
  <si>
    <t>NULL</t>
  </si>
  <si>
    <t>Información de facturación definitiva proveniente de los archivos EFACT publicados por la CNE en los Decretos de Precio de Nudo</t>
  </si>
  <si>
    <t>Información de facturación real desde PDFs y sistema SIGGE (gestión facturación electrónica)</t>
  </si>
  <si>
    <t>Hoja</t>
  </si>
  <si>
    <t>Descripción</t>
  </si>
  <si>
    <t>ACCIONA emite factura</t>
  </si>
  <si>
    <t>ACCIONA emite nota de crédito</t>
  </si>
  <si>
    <t>Energía SIGGE (kWh)</t>
  </si>
  <si>
    <t>Energía Coordinador AT (kWh)</t>
  </si>
  <si>
    <t>Energía Coordinador BT (kWh)</t>
  </si>
  <si>
    <t>Propietario</t>
  </si>
  <si>
    <t>Turno</t>
  </si>
  <si>
    <t>Distribuidora</t>
  </si>
  <si>
    <t>Clave</t>
  </si>
  <si>
    <t>Medida_kWh</t>
  </si>
  <si>
    <t>PuntoRetiroBT</t>
  </si>
  <si>
    <t>BarraEnAT</t>
  </si>
  <si>
    <t>FactorRef_BT_AT</t>
  </si>
  <si>
    <t>ValorAT</t>
  </si>
  <si>
    <t>Incremento</t>
  </si>
  <si>
    <t>kWhAnho</t>
  </si>
  <si>
    <t>PorcenEnergiaAnho</t>
  </si>
  <si>
    <t>kWh_AnhoMes</t>
  </si>
  <si>
    <t>PorcenBarraAnho</t>
  </si>
  <si>
    <t>EnergiaBloqueAnhoMesBarra_kWh</t>
  </si>
  <si>
    <t>Amplificacion24h</t>
  </si>
  <si>
    <t>Denominador</t>
  </si>
  <si>
    <t>Prorrata</t>
  </si>
  <si>
    <t>EnergiaBloqueTurnoAnhoMesBarra_kWh</t>
  </si>
  <si>
    <t>V_DecretoPNPVigente</t>
  </si>
  <si>
    <t>V_DecretoPNCPAsociado</t>
  </si>
  <si>
    <t>V_DecretoPNCPLicitacion</t>
  </si>
  <si>
    <t>V_Barra</t>
  </si>
  <si>
    <t>V_PrecioOferta_EnergiaPolpaico220</t>
  </si>
  <si>
    <t>V_Indexacion</t>
  </si>
  <si>
    <t>V_PrecioEnergiaIndexado_USDMWh</t>
  </si>
  <si>
    <t>V_DolarPNPVigente</t>
  </si>
  <si>
    <t>V_FactorAjusteEnergia</t>
  </si>
  <si>
    <t>V_PrecioEnergiaAjustado_CLP_kWh_Polpaico220</t>
  </si>
  <si>
    <t>V_FPEnergia</t>
  </si>
  <si>
    <t>V_PrecioEnergiaAjustado_CLP_kWh</t>
  </si>
  <si>
    <t>V_PrecioPotenciaUSD_kW_Mes</t>
  </si>
  <si>
    <t>V_PrecioPotenciaIndexadoUSD_kW_Mes</t>
  </si>
  <si>
    <t>V_FactorAjustePotencia</t>
  </si>
  <si>
    <t>V_PrecioPotenciaAjustado_CLP_kW_Mes_Polpaico220</t>
  </si>
  <si>
    <t>V_FPPotencia</t>
  </si>
  <si>
    <t>V_PrecioPotenciaAjustado_CLP_kW_Mes</t>
  </si>
  <si>
    <t>V_TotalEnergiaMesBarraGxDxBloque_CLP_kW_Mes</t>
  </si>
  <si>
    <t>R_DecretoPNPReliquidacion</t>
  </si>
  <si>
    <t>R_DecretoPNCPAsociado</t>
  </si>
  <si>
    <t>R_DecretoPNCPLicitacion</t>
  </si>
  <si>
    <t>R_Barra</t>
  </si>
  <si>
    <t>R_PrecioOfertaEnergiaPolpaico220</t>
  </si>
  <si>
    <t>R_Indexacion</t>
  </si>
  <si>
    <t>R_PrecioEnergiaIndexado_USDMWh</t>
  </si>
  <si>
    <t>R_DolarPNPReliquidacion</t>
  </si>
  <si>
    <t>R_FactorAjusteEnergia</t>
  </si>
  <si>
    <t>R_PrecioEnergiaAjustado_CLP_kWh_Polpaico220</t>
  </si>
  <si>
    <t>R_FPEnergia</t>
  </si>
  <si>
    <t>R_PrecioEnergiaAjustado_CLP_kWh</t>
  </si>
  <si>
    <t>R_PrecioPotenciaUSD_kW_Mes</t>
  </si>
  <si>
    <t>R_FactorAjustePotencia</t>
  </si>
  <si>
    <t>R_PrecioPotenciaAjustado_CLP_kW_Mes_Polpaico220</t>
  </si>
  <si>
    <t>R_FPPotencia</t>
  </si>
  <si>
    <t>R_PrecioPotenciaAjustado_CLP_kW_Mes</t>
  </si>
  <si>
    <t>R_TotalEnergiaMesBarraGxDxBloque_CLP_kW_Mes</t>
  </si>
  <si>
    <t>ACCIONA_ENERGIA</t>
  </si>
  <si>
    <t>SUM_CEC_A</t>
  </si>
  <si>
    <t>A</t>
  </si>
  <si>
    <t>CCURCURIBLOQA</t>
  </si>
  <si>
    <t>CURICO</t>
  </si>
  <si>
    <t>ALTO JAHUEL</t>
  </si>
  <si>
    <t>BS3</t>
  </si>
  <si>
    <t>CHARRUA</t>
  </si>
  <si>
    <t>ITAHUE</t>
  </si>
  <si>
    <t>MELIPILLA</t>
  </si>
  <si>
    <t>RAPEL</t>
  </si>
  <si>
    <t>CCURQUINBLOQA</t>
  </si>
  <si>
    <t>Quinta</t>
  </si>
  <si>
    <t>CCURTENOBLOQA</t>
  </si>
  <si>
    <t>SUM_CEC_B</t>
  </si>
  <si>
    <t>B</t>
  </si>
  <si>
    <t>CCURCURIBLOQB</t>
  </si>
  <si>
    <t>CCURQUINBLOQB</t>
  </si>
  <si>
    <t>CCURTENOBLOQB</t>
  </si>
  <si>
    <t>SUM_CEC_C</t>
  </si>
  <si>
    <t>C</t>
  </si>
  <si>
    <t>CCURCURIBLOQC</t>
  </si>
  <si>
    <t>CCURQUINBLOQC</t>
  </si>
  <si>
    <t>CCURTENOBLOQC</t>
  </si>
  <si>
    <t>01-01-2021</t>
  </si>
  <si>
    <t>01-02-2021</t>
  </si>
  <si>
    <t>01-03-2021</t>
  </si>
  <si>
    <t>01-10-2020</t>
  </si>
  <si>
    <t>01-11-2020</t>
  </si>
  <si>
    <t>01-12-2020</t>
  </si>
  <si>
    <t>Tipo</t>
  </si>
  <si>
    <t>ConsumoEnergiaBT</t>
  </si>
  <si>
    <t>CMg_kWh_CLP</t>
  </si>
  <si>
    <t>ValorizadoCLP</t>
  </si>
  <si>
    <t>BarraPolpaico</t>
  </si>
  <si>
    <t>CMgPolpaico</t>
  </si>
  <si>
    <t>MedidaPolpaico</t>
  </si>
  <si>
    <t>R_G</t>
  </si>
  <si>
    <t>CURICO________013</t>
  </si>
  <si>
    <t>POLPAICO______220</t>
  </si>
  <si>
    <t>QUINTA________013</t>
  </si>
  <si>
    <t>TENO__________013</t>
  </si>
  <si>
    <t>Energía EFACT AT (kWh)</t>
  </si>
  <si>
    <t>Energía EFACT BT (kWh)</t>
  </si>
  <si>
    <t>ACCIONA</t>
  </si>
  <si>
    <t>SIC 2013/03_2_BS3_BB_CEC_Acciona</t>
  </si>
  <si>
    <t>SIC 2013/03_2_BS3_BB</t>
  </si>
  <si>
    <t>Acciona</t>
  </si>
  <si>
    <t>Sistema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</si>
</sst>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7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41" borderId="0" applyNumberFormat="0" applyBorder="0" applyAlignment="0" applyProtection="0"/>
    <xf numFmtId="0" fontId="21" fillId="38" borderId="0" applyNumberFormat="0" applyBorder="0" applyAlignment="0" applyProtection="0"/>
    <xf numFmtId="0" fontId="21" fillId="42" borderId="0" applyNumberFormat="0" applyBorder="0" applyAlignment="0" applyProtection="0"/>
    <xf numFmtId="0" fontId="21" fillId="41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2" fillId="44" borderId="0" applyNumberFormat="0" applyBorder="0" applyAlignment="0" applyProtection="0"/>
    <xf numFmtId="0" fontId="22" fillId="38" borderId="0" applyNumberFormat="0" applyBorder="0" applyAlignment="0" applyProtection="0"/>
    <xf numFmtId="0" fontId="22" fillId="42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38" borderId="0" applyNumberFormat="0" applyBorder="0" applyAlignment="0" applyProtection="0"/>
    <xf numFmtId="0" fontId="18" fillId="0" borderId="0"/>
    <xf numFmtId="0" fontId="23" fillId="45" borderId="0" applyNumberFormat="0" applyBorder="0" applyAlignment="0" applyProtection="0"/>
    <xf numFmtId="0" fontId="24" fillId="46" borderId="18" applyNumberFormat="0" applyAlignment="0" applyProtection="0"/>
    <xf numFmtId="0" fontId="25" fillId="47" borderId="19" applyNumberFormat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2" fillId="44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44" borderId="0" applyNumberFormat="0" applyBorder="0" applyAlignment="0" applyProtection="0"/>
    <xf numFmtId="0" fontId="22" fillId="51" borderId="0" applyNumberFormat="0" applyBorder="0" applyAlignment="0" applyProtection="0"/>
    <xf numFmtId="0" fontId="28" fillId="42" borderId="18" applyNumberFormat="0" applyAlignment="0" applyProtection="0"/>
    <xf numFmtId="171" fontId="18" fillId="0" borderId="0" applyFont="0" applyFill="0" applyBorder="0" applyAlignment="0" applyProtection="0"/>
    <xf numFmtId="0" fontId="29" fillId="52" borderId="0" applyNumberFormat="0" applyBorder="0" applyAlignment="0" applyProtection="0"/>
    <xf numFmtId="0" fontId="30" fillId="42" borderId="0" applyNumberFormat="0" applyBorder="0" applyAlignment="0" applyProtection="0"/>
    <xf numFmtId="0" fontId="17" fillId="39" borderId="21" applyNumberFormat="0" applyFont="0" applyAlignment="0" applyProtection="0"/>
    <xf numFmtId="0" fontId="31" fillId="46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7" fillId="0" borderId="25" applyNumberFormat="0" applyFill="0" applyAlignment="0" applyProtection="0"/>
    <xf numFmtId="0" fontId="37" fillId="0" borderId="26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24" fillId="46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28" fillId="42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31" fillId="46" borderId="30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9" borderId="5" applyNumberFormat="0" applyAlignment="0" applyProtection="0"/>
    <xf numFmtId="0" fontId="12" fillId="10" borderId="6" applyNumberFormat="0" applyAlignment="0" applyProtection="0"/>
    <xf numFmtId="0" fontId="13" fillId="10" borderId="5" applyNumberFormat="0" applyAlignment="0" applyProtection="0"/>
    <xf numFmtId="0" fontId="14" fillId="0" borderId="7" applyNumberFormat="0" applyFill="0" applyAlignment="0" applyProtection="0"/>
    <xf numFmtId="0" fontId="3" fillId="11" borderId="8" applyNumberFormat="0" applyAlignment="0" applyProtection="0"/>
    <xf numFmtId="0" fontId="15" fillId="0" borderId="0" applyNumberFormat="0" applyFill="0" applyBorder="0" applyAlignment="0" applyProtection="0"/>
    <xf numFmtId="0" fontId="2" fillId="12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4" fillId="36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2" borderId="9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18" fillId="0" borderId="0"/>
    <xf numFmtId="0" fontId="17" fillId="0" borderId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24" fillId="46" borderId="36" applyNumberFormat="0" applyAlignment="0" applyProtection="0"/>
    <xf numFmtId="0" fontId="40" fillId="41" borderId="36" applyNumberFormat="0" applyAlignment="0" applyProtection="0"/>
    <xf numFmtId="0" fontId="24" fillId="46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28" fillId="42" borderId="36" applyNumberFormat="0" applyAlignment="0" applyProtection="0"/>
    <xf numFmtId="0" fontId="43" fillId="37" borderId="36" applyNumberFormat="0" applyAlignment="0" applyProtection="0"/>
    <xf numFmtId="0" fontId="28" fillId="42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31" fillId="46" borderId="30" applyNumberFormat="0" applyAlignment="0" applyProtection="0"/>
    <xf numFmtId="0" fontId="46" fillId="41" borderId="29" applyNumberFormat="0" applyAlignment="0" applyProtection="0"/>
    <xf numFmtId="0" fontId="31" fillId="46" borderId="30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17" fillId="0" borderId="0"/>
    <xf numFmtId="3" fontId="57" fillId="65" borderId="0">
      <alignment horizontal="left"/>
    </xf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1" fillId="4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3" fontId="58" fillId="53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1" fillId="52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1" fillId="40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1" fillId="39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2" fillId="40" borderId="0" applyNumberFormat="0" applyBorder="0" applyAlignment="0" applyProtection="0"/>
    <xf numFmtId="0" fontId="22" fillId="50" borderId="0" applyNumberFormat="0" applyBorder="0" applyAlignment="0" applyProtection="0"/>
    <xf numFmtId="0" fontId="22" fillId="58" borderId="0" applyNumberFormat="0" applyBorder="0" applyAlignment="0" applyProtection="0"/>
    <xf numFmtId="0" fontId="22" fillId="52" borderId="0" applyNumberFormat="0" applyBorder="0" applyAlignment="0" applyProtection="0"/>
    <xf numFmtId="0" fontId="22" fillId="40" borderId="0" applyNumberFormat="0" applyBorder="0" applyAlignment="0" applyProtection="0"/>
    <xf numFmtId="0" fontId="59" fillId="53" borderId="0">
      <alignment horizontal="left"/>
    </xf>
    <xf numFmtId="0" fontId="23" fillId="40" borderId="0" applyNumberFormat="0" applyBorder="0" applyAlignment="0" applyProtection="0"/>
    <xf numFmtId="0" fontId="32" fillId="0" borderId="38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8" borderId="0" applyNumberFormat="0" applyBorder="0" applyAlignment="0" applyProtection="0"/>
    <xf numFmtId="0" fontId="22" fillId="66" borderId="0" applyNumberFormat="0" applyBorder="0" applyAlignment="0" applyProtection="0"/>
    <xf numFmtId="0" fontId="22" fillId="48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6" borderId="0" applyNumberFormat="0" applyBorder="0" applyAlignment="0" applyProtection="0"/>
    <xf numFmtId="3" fontId="61" fillId="65" borderId="17">
      <alignment horizontal="center"/>
    </xf>
    <xf numFmtId="0" fontId="62" fillId="4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7" borderId="0">
      <alignment horizontal="left"/>
    </xf>
    <xf numFmtId="3" fontId="57" fillId="67" borderId="0">
      <alignment horizontal="left"/>
    </xf>
    <xf numFmtId="3" fontId="64" fillId="67" borderId="0">
      <alignment horizontal="center"/>
    </xf>
    <xf numFmtId="0" fontId="65" fillId="0" borderId="39" applyNumberFormat="0" applyFill="0" applyAlignment="0" applyProtection="0"/>
    <xf numFmtId="0" fontId="66" fillId="0" borderId="40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1" applyNumberFormat="0" applyFill="0" applyAlignment="0" applyProtection="0"/>
    <xf numFmtId="3" fontId="61" fillId="54" borderId="17">
      <alignment horizontal="center" vertical="center"/>
    </xf>
    <xf numFmtId="3" fontId="68" fillId="67" borderId="0">
      <alignment horizontal="left"/>
    </xf>
    <xf numFmtId="3" fontId="58" fillId="68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7" xfId="0" applyFill="1" applyBorder="1"/>
    <xf numFmtId="0" fontId="3" fillId="5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11" xfId="0" applyFill="1" applyBorder="1"/>
    <xf numFmtId="0" fontId="0" fillId="2" borderId="4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5" fontId="0" fillId="0" borderId="46" xfId="0" applyNumberFormat="1" applyBorder="1"/>
    <xf numFmtId="14" fontId="0" fillId="0" borderId="46" xfId="0" applyNumberFormat="1" applyBorder="1" applyAlignment="1">
      <alignment horizontal="center"/>
    </xf>
    <xf numFmtId="10" fontId="0" fillId="0" borderId="46" xfId="2" applyNumberFormat="1" applyFont="1" applyBorder="1" applyAlignment="1">
      <alignment horizontal="center"/>
    </xf>
    <xf numFmtId="14" fontId="0" fillId="0" borderId="46" xfId="0" applyNumberFormat="1" applyBorder="1"/>
    <xf numFmtId="0" fontId="0" fillId="0" borderId="46" xfId="0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top"/>
    </xf>
    <xf numFmtId="182" fontId="0" fillId="0" borderId="0" xfId="0" applyNumberFormat="1"/>
    <xf numFmtId="17" fontId="0" fillId="0" borderId="1" xfId="0" applyNumberFormat="1" applyBorder="1" applyAlignment="1">
      <alignment horizontal="center"/>
    </xf>
    <xf numFmtId="165" fontId="0" fillId="0" borderId="46" xfId="1" applyFont="1" applyBorder="1" applyAlignment="1">
      <alignment horizontal="center"/>
    </xf>
    <xf numFmtId="0" fontId="69" fillId="0" borderId="0" xfId="0" applyFont="1"/>
    <xf numFmtId="0" fontId="69" fillId="0" borderId="46" xfId="0" applyFont="1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5" borderId="43" xfId="0" applyFont="1" applyFill="1" applyBorder="1" applyAlignment="1">
      <alignment vertical="center" wrapText="1"/>
    </xf>
    <xf numFmtId="17" fontId="0" fillId="0" borderId="46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8" xfId="0" applyFont="1" applyFill="1" applyBorder="1"/>
    <xf numFmtId="165" fontId="1" fillId="3" borderId="49" xfId="0" applyNumberFormat="1" applyFont="1" applyFill="1" applyBorder="1"/>
    <xf numFmtId="22" fontId="0" fillId="0" borderId="0" xfId="0" applyNumberFormat="1"/>
    <xf numFmtId="0" fontId="1" fillId="2" borderId="46" xfId="0" applyFont="1" applyFill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3" fillId="69" borderId="44" xfId="0" applyFont="1" applyFill="1" applyBorder="1" applyAlignment="1"/>
    <xf numFmtId="0" fontId="3" fillId="70" borderId="44" xfId="0" applyFont="1" applyFill="1" applyBorder="1" applyAlignment="1"/>
    <xf numFmtId="0" fontId="3" fillId="71" borderId="44" xfId="0" applyFont="1" applyFill="1" applyBorder="1" applyAlignment="1"/>
    <xf numFmtId="0" fontId="3" fillId="72" borderId="46" xfId="0" applyFont="1" applyFill="1" applyBorder="1" applyAlignment="1">
      <alignment horizontal="center"/>
    </xf>
    <xf numFmtId="0" fontId="1" fillId="73" borderId="46" xfId="0" applyFont="1" applyFill="1" applyBorder="1" applyAlignment="1">
      <alignment horizontal="center" vertical="top"/>
    </xf>
    <xf numFmtId="0" fontId="0" fillId="73" borderId="0" xfId="0" applyFill="1"/>
    <xf numFmtId="14" fontId="0" fillId="0" borderId="14" xfId="0" applyNumberFormat="1" applyBorder="1" applyAlignment="1">
      <alignment horizontal="left"/>
    </xf>
    <xf numFmtId="0" fontId="3" fillId="69" borderId="44" xfId="0" applyFont="1" applyFill="1" applyBorder="1" applyAlignment="1">
      <alignment horizontal="center"/>
    </xf>
    <xf numFmtId="0" fontId="3" fillId="69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5" borderId="47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center"/>
    </xf>
    <xf numFmtId="0" fontId="3" fillId="5" borderId="45" xfId="0" applyFont="1" applyFill="1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B3" sqref="A1:B3"/>
    </sheetView>
  </sheetViews>
  <sheetFormatPr baseColWidth="10" defaultRowHeight="15" x14ac:dyDescent="0.25"/>
  <cols>
    <col min="1" max="1" width="15.85546875" bestFit="1" customWidth="1"/>
    <col min="2" max="2" width="117.42578125" bestFit="1" customWidth="1"/>
    <col min="3" max="5" width="11.42578125" style="55"/>
  </cols>
  <sheetData>
    <row r="1" spans="1:2" x14ac:dyDescent="0.25">
      <c r="A1" s="56" t="s">
        <v>352</v>
      </c>
      <c r="B1" s="56" t="s">
        <v>353</v>
      </c>
    </row>
    <row r="2" spans="1:2" x14ac:dyDescent="0.25">
      <c r="A2" s="55" t="s">
        <v>289</v>
      </c>
      <c r="B2" s="55" t="s">
        <v>350</v>
      </c>
    </row>
    <row r="3" spans="1:2" x14ac:dyDescent="0.25">
      <c r="A3" s="55" t="s">
        <v>290</v>
      </c>
      <c r="B3" s="55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zoomScale="85" zoomScaleNormal="85" workbookViewId="0">
      <selection activeCell="D5" sqref="D5"/>
    </sheetView>
  </sheetViews>
  <sheetFormatPr baseColWidth="10" defaultColWidth="9.140625" defaultRowHeight="15" x14ac:dyDescent="0.25"/>
  <cols>
    <col min="1" max="1" width="5.28515625" bestFit="1" customWidth="1"/>
    <col min="2" max="2" width="5.7109375" bestFit="1" customWidth="1"/>
    <col min="3" max="3" width="4.85546875" bestFit="1" customWidth="1"/>
    <col min="4" max="4" width="10.42578125" bestFit="1" customWidth="1"/>
    <col min="5" max="5" width="14" bestFit="1" customWidth="1"/>
    <col min="6" max="6" width="15.85546875" bestFit="1" customWidth="1"/>
    <col min="7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2" bestFit="1" customWidth="1"/>
  </cols>
  <sheetData>
    <row r="1" spans="1:11" x14ac:dyDescent="0.25">
      <c r="A1" s="34" t="s">
        <v>31</v>
      </c>
      <c r="B1" s="34" t="s">
        <v>2</v>
      </c>
      <c r="C1" s="34" t="s">
        <v>3</v>
      </c>
      <c r="D1" s="34" t="s">
        <v>71</v>
      </c>
      <c r="E1" s="34" t="s">
        <v>290</v>
      </c>
      <c r="F1" s="34" t="s">
        <v>292</v>
      </c>
      <c r="G1" s="34" t="s">
        <v>293</v>
      </c>
      <c r="H1" s="34" t="s">
        <v>289</v>
      </c>
      <c r="I1" s="34" t="s">
        <v>291</v>
      </c>
      <c r="J1" s="34" t="s">
        <v>329</v>
      </c>
      <c r="K1" s="34" t="s">
        <v>330</v>
      </c>
    </row>
    <row r="2" spans="1:11" x14ac:dyDescent="0.25">
      <c r="A2">
        <v>1</v>
      </c>
      <c r="B2">
        <v>2016</v>
      </c>
      <c r="C2">
        <v>1</v>
      </c>
      <c r="D2" t="s">
        <v>107</v>
      </c>
      <c r="E2">
        <v>0</v>
      </c>
      <c r="F2">
        <v>1</v>
      </c>
      <c r="G2">
        <v>0</v>
      </c>
      <c r="H2">
        <v>1</v>
      </c>
      <c r="I2">
        <v>0</v>
      </c>
      <c r="J2" t="s">
        <v>292</v>
      </c>
      <c r="K2" t="s">
        <v>289</v>
      </c>
    </row>
    <row r="3" spans="1:11" x14ac:dyDescent="0.25">
      <c r="A3">
        <v>2</v>
      </c>
      <c r="B3">
        <v>2016</v>
      </c>
      <c r="C3">
        <v>2</v>
      </c>
      <c r="D3" t="s">
        <v>110</v>
      </c>
      <c r="E3">
        <v>0</v>
      </c>
      <c r="F3">
        <v>1</v>
      </c>
      <c r="G3">
        <v>0</v>
      </c>
      <c r="H3">
        <v>1</v>
      </c>
      <c r="I3">
        <v>0</v>
      </c>
      <c r="J3" t="s">
        <v>292</v>
      </c>
      <c r="K3" t="s">
        <v>289</v>
      </c>
    </row>
    <row r="4" spans="1:11" x14ac:dyDescent="0.25">
      <c r="A4">
        <v>3</v>
      </c>
      <c r="B4">
        <v>2016</v>
      </c>
      <c r="C4">
        <v>3</v>
      </c>
      <c r="D4" t="s">
        <v>105</v>
      </c>
      <c r="E4">
        <v>0</v>
      </c>
      <c r="F4">
        <v>1</v>
      </c>
      <c r="G4">
        <v>0</v>
      </c>
      <c r="H4">
        <v>1</v>
      </c>
      <c r="I4">
        <v>0</v>
      </c>
      <c r="J4" t="s">
        <v>292</v>
      </c>
      <c r="K4" t="s">
        <v>289</v>
      </c>
    </row>
    <row r="5" spans="1:11" x14ac:dyDescent="0.25">
      <c r="A5">
        <v>4</v>
      </c>
      <c r="B5">
        <v>2016</v>
      </c>
      <c r="C5">
        <v>4</v>
      </c>
      <c r="D5" t="s">
        <v>99</v>
      </c>
      <c r="E5">
        <v>0</v>
      </c>
      <c r="F5">
        <v>1</v>
      </c>
      <c r="G5">
        <v>0</v>
      </c>
      <c r="H5">
        <v>1</v>
      </c>
      <c r="I5">
        <v>0</v>
      </c>
      <c r="J5" t="s">
        <v>292</v>
      </c>
      <c r="K5" t="s">
        <v>289</v>
      </c>
    </row>
    <row r="6" spans="1:11" x14ac:dyDescent="0.25">
      <c r="A6">
        <v>5</v>
      </c>
      <c r="B6">
        <v>2016</v>
      </c>
      <c r="C6">
        <v>5</v>
      </c>
      <c r="D6" t="s">
        <v>134</v>
      </c>
      <c r="E6">
        <v>0</v>
      </c>
      <c r="F6">
        <v>1</v>
      </c>
      <c r="G6">
        <v>0</v>
      </c>
      <c r="H6">
        <v>1</v>
      </c>
      <c r="I6">
        <v>0</v>
      </c>
      <c r="J6" t="s">
        <v>292</v>
      </c>
      <c r="K6" t="s">
        <v>289</v>
      </c>
    </row>
    <row r="7" spans="1:11" x14ac:dyDescent="0.25">
      <c r="A7">
        <v>6</v>
      </c>
      <c r="B7">
        <v>2016</v>
      </c>
      <c r="C7">
        <v>6</v>
      </c>
      <c r="D7" t="s">
        <v>136</v>
      </c>
      <c r="E7">
        <v>0</v>
      </c>
      <c r="F7">
        <v>1</v>
      </c>
      <c r="G7">
        <v>0</v>
      </c>
      <c r="H7">
        <v>1</v>
      </c>
      <c r="I7">
        <v>0</v>
      </c>
      <c r="J7" t="s">
        <v>292</v>
      </c>
      <c r="K7" t="s">
        <v>289</v>
      </c>
    </row>
    <row r="8" spans="1:11" x14ac:dyDescent="0.25">
      <c r="A8">
        <v>7</v>
      </c>
      <c r="B8">
        <v>2016</v>
      </c>
      <c r="C8">
        <v>7</v>
      </c>
      <c r="D8" t="s">
        <v>135</v>
      </c>
      <c r="E8">
        <v>0</v>
      </c>
      <c r="F8">
        <v>1</v>
      </c>
      <c r="G8">
        <v>0</v>
      </c>
      <c r="H8">
        <v>1</v>
      </c>
      <c r="I8">
        <v>0</v>
      </c>
      <c r="J8" t="s">
        <v>292</v>
      </c>
      <c r="K8" t="s">
        <v>289</v>
      </c>
    </row>
    <row r="9" spans="1:11" x14ac:dyDescent="0.25">
      <c r="A9">
        <v>8</v>
      </c>
      <c r="B9">
        <v>2016</v>
      </c>
      <c r="C9">
        <v>8</v>
      </c>
      <c r="D9" t="s">
        <v>129</v>
      </c>
      <c r="E9">
        <v>0</v>
      </c>
      <c r="F9">
        <v>1</v>
      </c>
      <c r="G9">
        <v>0</v>
      </c>
      <c r="H9">
        <v>1</v>
      </c>
      <c r="I9">
        <v>0</v>
      </c>
      <c r="J9" t="s">
        <v>292</v>
      </c>
      <c r="K9" t="s">
        <v>289</v>
      </c>
    </row>
    <row r="10" spans="1:11" x14ac:dyDescent="0.25">
      <c r="A10">
        <v>9</v>
      </c>
      <c r="B10">
        <v>2016</v>
      </c>
      <c r="C10">
        <v>9</v>
      </c>
      <c r="D10" t="s">
        <v>131</v>
      </c>
      <c r="E10">
        <v>0</v>
      </c>
      <c r="F10">
        <v>1</v>
      </c>
      <c r="G10">
        <v>0</v>
      </c>
      <c r="H10">
        <v>1</v>
      </c>
      <c r="I10">
        <v>0</v>
      </c>
      <c r="J10" t="s">
        <v>292</v>
      </c>
      <c r="K10" t="s">
        <v>289</v>
      </c>
    </row>
    <row r="11" spans="1:11" x14ac:dyDescent="0.25">
      <c r="A11">
        <v>10</v>
      </c>
      <c r="B11">
        <v>2016</v>
      </c>
      <c r="C11">
        <v>10</v>
      </c>
      <c r="D11" t="s">
        <v>133</v>
      </c>
      <c r="E11">
        <v>0</v>
      </c>
      <c r="F11">
        <v>1</v>
      </c>
      <c r="G11">
        <v>0</v>
      </c>
      <c r="H11">
        <v>1</v>
      </c>
      <c r="I11">
        <v>0</v>
      </c>
      <c r="J11" t="s">
        <v>292</v>
      </c>
      <c r="K11" t="s">
        <v>289</v>
      </c>
    </row>
    <row r="12" spans="1:11" x14ac:dyDescent="0.25">
      <c r="A12">
        <v>11</v>
      </c>
      <c r="B12">
        <v>2016</v>
      </c>
      <c r="C12">
        <v>11</v>
      </c>
      <c r="D12" t="s">
        <v>130</v>
      </c>
      <c r="E12">
        <v>0</v>
      </c>
      <c r="F12">
        <v>1</v>
      </c>
      <c r="G12">
        <v>0</v>
      </c>
      <c r="H12">
        <v>1</v>
      </c>
      <c r="I12">
        <v>0</v>
      </c>
      <c r="J12" t="s">
        <v>292</v>
      </c>
      <c r="K12" t="s">
        <v>289</v>
      </c>
    </row>
    <row r="13" spans="1:11" x14ac:dyDescent="0.25">
      <c r="A13">
        <v>12</v>
      </c>
      <c r="B13">
        <v>2016</v>
      </c>
      <c r="C13">
        <v>12</v>
      </c>
      <c r="D13" t="s">
        <v>132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292</v>
      </c>
      <c r="K13" t="s">
        <v>289</v>
      </c>
    </row>
    <row r="14" spans="1:11" x14ac:dyDescent="0.25">
      <c r="A14">
        <v>13</v>
      </c>
      <c r="B14">
        <v>2017</v>
      </c>
      <c r="C14">
        <v>1</v>
      </c>
      <c r="D14" t="s">
        <v>122</v>
      </c>
      <c r="E14">
        <v>0</v>
      </c>
      <c r="F14">
        <v>1</v>
      </c>
      <c r="G14">
        <v>0</v>
      </c>
      <c r="H14">
        <v>1</v>
      </c>
      <c r="I14">
        <v>0</v>
      </c>
      <c r="J14" t="s">
        <v>292</v>
      </c>
      <c r="K14" t="s">
        <v>289</v>
      </c>
    </row>
    <row r="15" spans="1:11" x14ac:dyDescent="0.25">
      <c r="A15">
        <v>14</v>
      </c>
      <c r="B15">
        <v>2017</v>
      </c>
      <c r="C15">
        <v>2</v>
      </c>
      <c r="D15" t="s">
        <v>124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292</v>
      </c>
      <c r="K15" t="s">
        <v>289</v>
      </c>
    </row>
    <row r="16" spans="1:11" x14ac:dyDescent="0.25">
      <c r="A16">
        <v>15</v>
      </c>
      <c r="B16">
        <v>2017</v>
      </c>
      <c r="C16">
        <v>3</v>
      </c>
      <c r="D16" t="s">
        <v>125</v>
      </c>
      <c r="E16">
        <v>0</v>
      </c>
      <c r="F16">
        <v>1</v>
      </c>
      <c r="G16">
        <v>0</v>
      </c>
      <c r="H16">
        <v>1</v>
      </c>
      <c r="I16">
        <v>0</v>
      </c>
      <c r="J16" t="s">
        <v>292</v>
      </c>
      <c r="K16" t="s">
        <v>289</v>
      </c>
    </row>
    <row r="17" spans="1:11" x14ac:dyDescent="0.25">
      <c r="A17">
        <v>16</v>
      </c>
      <c r="B17">
        <v>2017</v>
      </c>
      <c r="C17">
        <v>4</v>
      </c>
      <c r="D17" t="s">
        <v>141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292</v>
      </c>
      <c r="K17" t="s">
        <v>289</v>
      </c>
    </row>
    <row r="18" spans="1:11" x14ac:dyDescent="0.25">
      <c r="A18">
        <v>17</v>
      </c>
      <c r="B18">
        <v>2017</v>
      </c>
      <c r="C18">
        <v>5</v>
      </c>
      <c r="D18" t="s">
        <v>144</v>
      </c>
      <c r="E18">
        <v>0</v>
      </c>
      <c r="F18">
        <v>1</v>
      </c>
      <c r="G18">
        <v>0</v>
      </c>
      <c r="H18">
        <v>1</v>
      </c>
      <c r="I18">
        <v>0</v>
      </c>
      <c r="J18" t="s">
        <v>292</v>
      </c>
      <c r="K18" t="s">
        <v>289</v>
      </c>
    </row>
    <row r="19" spans="1:11" x14ac:dyDescent="0.25">
      <c r="A19">
        <v>18</v>
      </c>
      <c r="B19">
        <v>2017</v>
      </c>
      <c r="C19">
        <v>6</v>
      </c>
      <c r="D19" t="s">
        <v>143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292</v>
      </c>
      <c r="K19" t="s">
        <v>289</v>
      </c>
    </row>
    <row r="20" spans="1:11" x14ac:dyDescent="0.25">
      <c r="A20">
        <v>19</v>
      </c>
      <c r="B20">
        <v>2017</v>
      </c>
      <c r="C20">
        <v>7</v>
      </c>
      <c r="D20" t="s">
        <v>142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292</v>
      </c>
      <c r="K20" t="s">
        <v>289</v>
      </c>
    </row>
    <row r="21" spans="1:11" x14ac:dyDescent="0.25">
      <c r="A21">
        <v>20</v>
      </c>
      <c r="B21">
        <v>2017</v>
      </c>
      <c r="C21">
        <v>8</v>
      </c>
      <c r="D21" t="s">
        <v>137</v>
      </c>
      <c r="E21">
        <v>0</v>
      </c>
      <c r="F21">
        <v>1</v>
      </c>
      <c r="G21">
        <v>0</v>
      </c>
      <c r="H21">
        <v>1</v>
      </c>
      <c r="I21">
        <v>0</v>
      </c>
      <c r="J21" t="s">
        <v>292</v>
      </c>
      <c r="K21" t="s">
        <v>289</v>
      </c>
    </row>
    <row r="22" spans="1:11" x14ac:dyDescent="0.25">
      <c r="A22">
        <v>21</v>
      </c>
      <c r="B22">
        <v>2017</v>
      </c>
      <c r="C22">
        <v>9</v>
      </c>
      <c r="D22" t="s">
        <v>121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292</v>
      </c>
      <c r="K22" t="s">
        <v>289</v>
      </c>
    </row>
    <row r="23" spans="1:11" x14ac:dyDescent="0.25">
      <c r="A23">
        <v>22</v>
      </c>
      <c r="B23">
        <v>2017</v>
      </c>
      <c r="C23">
        <v>10</v>
      </c>
      <c r="D23" t="s">
        <v>127</v>
      </c>
      <c r="E23">
        <v>0</v>
      </c>
      <c r="F23">
        <v>1</v>
      </c>
      <c r="G23">
        <v>0</v>
      </c>
      <c r="H23">
        <v>1</v>
      </c>
      <c r="I23">
        <v>0</v>
      </c>
      <c r="J23" t="s">
        <v>292</v>
      </c>
      <c r="K23" t="s">
        <v>289</v>
      </c>
    </row>
    <row r="24" spans="1:11" x14ac:dyDescent="0.25">
      <c r="A24">
        <v>23</v>
      </c>
      <c r="B24">
        <v>2017</v>
      </c>
      <c r="C24">
        <v>11</v>
      </c>
      <c r="D24" t="s">
        <v>128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292</v>
      </c>
      <c r="K24" t="s">
        <v>289</v>
      </c>
    </row>
    <row r="25" spans="1:11" x14ac:dyDescent="0.25">
      <c r="A25">
        <v>24</v>
      </c>
      <c r="B25">
        <v>2017</v>
      </c>
      <c r="C25">
        <v>12</v>
      </c>
      <c r="D25" t="s">
        <v>138</v>
      </c>
      <c r="E25">
        <v>0</v>
      </c>
      <c r="F25">
        <v>1</v>
      </c>
      <c r="G25">
        <v>0</v>
      </c>
      <c r="H25">
        <v>1</v>
      </c>
      <c r="I25">
        <v>0</v>
      </c>
      <c r="J25" t="s">
        <v>292</v>
      </c>
      <c r="K25" t="s">
        <v>289</v>
      </c>
    </row>
    <row r="26" spans="1:11" x14ac:dyDescent="0.25">
      <c r="A26">
        <v>25</v>
      </c>
      <c r="B26">
        <v>2018</v>
      </c>
      <c r="C26">
        <v>1</v>
      </c>
      <c r="D26" t="s">
        <v>119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292</v>
      </c>
      <c r="K26" t="s">
        <v>289</v>
      </c>
    </row>
    <row r="27" spans="1:11" x14ac:dyDescent="0.25">
      <c r="A27">
        <v>26</v>
      </c>
      <c r="B27">
        <v>2018</v>
      </c>
      <c r="C27">
        <v>2</v>
      </c>
      <c r="D27" t="s">
        <v>117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292</v>
      </c>
      <c r="K27" t="s">
        <v>289</v>
      </c>
    </row>
    <row r="28" spans="1:11" x14ac:dyDescent="0.25">
      <c r="A28">
        <v>27</v>
      </c>
      <c r="B28">
        <v>2018</v>
      </c>
      <c r="C28">
        <v>3</v>
      </c>
      <c r="D28" t="s">
        <v>118</v>
      </c>
      <c r="E28">
        <v>0</v>
      </c>
      <c r="F28">
        <v>1</v>
      </c>
      <c r="G28">
        <v>0</v>
      </c>
      <c r="H28">
        <v>1</v>
      </c>
      <c r="I28">
        <v>0</v>
      </c>
      <c r="J28" t="s">
        <v>292</v>
      </c>
      <c r="K28" t="s">
        <v>289</v>
      </c>
    </row>
    <row r="29" spans="1:11" x14ac:dyDescent="0.25">
      <c r="A29">
        <v>28</v>
      </c>
      <c r="B29">
        <v>2018</v>
      </c>
      <c r="C29">
        <v>4</v>
      </c>
      <c r="D29" t="s">
        <v>112</v>
      </c>
      <c r="E29">
        <v>0</v>
      </c>
      <c r="F29">
        <v>1</v>
      </c>
      <c r="G29">
        <v>0</v>
      </c>
      <c r="H29">
        <v>1</v>
      </c>
      <c r="I29">
        <v>0</v>
      </c>
      <c r="J29" t="s">
        <v>292</v>
      </c>
      <c r="K29" t="s">
        <v>289</v>
      </c>
    </row>
    <row r="30" spans="1:11" x14ac:dyDescent="0.25">
      <c r="A30">
        <v>29</v>
      </c>
      <c r="B30">
        <v>2018</v>
      </c>
      <c r="C30">
        <v>5</v>
      </c>
      <c r="D30" t="s">
        <v>120</v>
      </c>
      <c r="E30">
        <v>0</v>
      </c>
      <c r="F30">
        <v>1</v>
      </c>
      <c r="G30">
        <v>0</v>
      </c>
      <c r="H30">
        <v>1</v>
      </c>
      <c r="I30">
        <v>0</v>
      </c>
      <c r="J30" t="s">
        <v>292</v>
      </c>
      <c r="K30" t="s">
        <v>289</v>
      </c>
    </row>
    <row r="31" spans="1:11" x14ac:dyDescent="0.25">
      <c r="A31">
        <v>30</v>
      </c>
      <c r="B31">
        <v>2018</v>
      </c>
      <c r="C31">
        <v>6</v>
      </c>
      <c r="D31" t="s">
        <v>126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292</v>
      </c>
      <c r="K31" t="s">
        <v>289</v>
      </c>
    </row>
    <row r="32" spans="1:11" x14ac:dyDescent="0.25">
      <c r="A32">
        <v>31</v>
      </c>
      <c r="B32">
        <v>2018</v>
      </c>
      <c r="C32">
        <v>7</v>
      </c>
      <c r="D32" t="s">
        <v>139</v>
      </c>
      <c r="E32">
        <v>0</v>
      </c>
      <c r="F32">
        <v>1</v>
      </c>
      <c r="G32">
        <v>0</v>
      </c>
      <c r="H32">
        <v>1</v>
      </c>
      <c r="I32">
        <v>0</v>
      </c>
      <c r="J32" t="s">
        <v>292</v>
      </c>
      <c r="K32" t="s">
        <v>289</v>
      </c>
    </row>
    <row r="33" spans="1:11" x14ac:dyDescent="0.25">
      <c r="A33">
        <v>32</v>
      </c>
      <c r="B33">
        <v>2018</v>
      </c>
      <c r="C33">
        <v>8</v>
      </c>
      <c r="D33" t="s">
        <v>140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292</v>
      </c>
      <c r="K33" t="s">
        <v>289</v>
      </c>
    </row>
    <row r="34" spans="1:11" x14ac:dyDescent="0.25">
      <c r="A34">
        <v>33</v>
      </c>
      <c r="B34">
        <v>2018</v>
      </c>
      <c r="C34">
        <v>9</v>
      </c>
      <c r="D34" t="s">
        <v>113</v>
      </c>
      <c r="E34">
        <v>1</v>
      </c>
      <c r="F34">
        <v>1</v>
      </c>
      <c r="G34">
        <v>0</v>
      </c>
      <c r="H34">
        <v>1</v>
      </c>
      <c r="I34">
        <v>0</v>
      </c>
      <c r="J34" t="s">
        <v>290</v>
      </c>
      <c r="K34" t="s">
        <v>289</v>
      </c>
    </row>
    <row r="35" spans="1:11" x14ac:dyDescent="0.25">
      <c r="A35">
        <v>34</v>
      </c>
      <c r="B35">
        <v>2018</v>
      </c>
      <c r="C35">
        <v>10</v>
      </c>
      <c r="D35" t="s">
        <v>114</v>
      </c>
      <c r="E35">
        <v>1</v>
      </c>
      <c r="F35">
        <v>1</v>
      </c>
      <c r="G35">
        <v>0</v>
      </c>
      <c r="H35">
        <v>1</v>
      </c>
      <c r="I35">
        <v>0</v>
      </c>
      <c r="J35" t="s">
        <v>290</v>
      </c>
      <c r="K35" t="s">
        <v>289</v>
      </c>
    </row>
    <row r="36" spans="1:11" x14ac:dyDescent="0.25">
      <c r="A36">
        <v>35</v>
      </c>
      <c r="B36">
        <v>2018</v>
      </c>
      <c r="C36">
        <v>11</v>
      </c>
      <c r="D36" t="s">
        <v>115</v>
      </c>
      <c r="E36">
        <v>1</v>
      </c>
      <c r="F36">
        <v>1</v>
      </c>
      <c r="G36">
        <v>0</v>
      </c>
      <c r="H36">
        <v>1</v>
      </c>
      <c r="I36">
        <v>0</v>
      </c>
      <c r="J36" t="s">
        <v>290</v>
      </c>
      <c r="K36" t="s">
        <v>289</v>
      </c>
    </row>
    <row r="37" spans="1:11" x14ac:dyDescent="0.25">
      <c r="A37">
        <v>36</v>
      </c>
      <c r="B37">
        <v>2018</v>
      </c>
      <c r="C37">
        <v>12</v>
      </c>
      <c r="D37" t="s">
        <v>116</v>
      </c>
      <c r="E37">
        <v>1</v>
      </c>
      <c r="F37">
        <v>1</v>
      </c>
      <c r="G37">
        <v>0</v>
      </c>
      <c r="H37">
        <v>1</v>
      </c>
      <c r="I37">
        <v>0</v>
      </c>
      <c r="J37" t="s">
        <v>290</v>
      </c>
      <c r="K37" t="s">
        <v>289</v>
      </c>
    </row>
    <row r="38" spans="1:11" x14ac:dyDescent="0.25">
      <c r="A38">
        <v>37</v>
      </c>
      <c r="B38">
        <v>2019</v>
      </c>
      <c r="C38">
        <v>1</v>
      </c>
      <c r="D38" t="s">
        <v>145</v>
      </c>
      <c r="E38">
        <v>1</v>
      </c>
      <c r="F38">
        <v>1</v>
      </c>
      <c r="G38">
        <v>0</v>
      </c>
      <c r="H38">
        <v>1</v>
      </c>
      <c r="I38">
        <v>0</v>
      </c>
      <c r="J38" t="s">
        <v>290</v>
      </c>
      <c r="K38" t="s">
        <v>289</v>
      </c>
    </row>
    <row r="39" spans="1:11" x14ac:dyDescent="0.25">
      <c r="A39">
        <v>38</v>
      </c>
      <c r="B39">
        <v>2019</v>
      </c>
      <c r="C39">
        <v>2</v>
      </c>
      <c r="D39" t="s">
        <v>147</v>
      </c>
      <c r="E39">
        <v>1</v>
      </c>
      <c r="F39">
        <v>1</v>
      </c>
      <c r="G39">
        <v>0</v>
      </c>
      <c r="H39">
        <v>1</v>
      </c>
      <c r="I39">
        <v>0</v>
      </c>
      <c r="J39" t="s">
        <v>290</v>
      </c>
      <c r="K39" t="s">
        <v>289</v>
      </c>
    </row>
    <row r="40" spans="1:11" x14ac:dyDescent="0.25">
      <c r="A40">
        <v>39</v>
      </c>
      <c r="B40">
        <v>2019</v>
      </c>
      <c r="C40">
        <v>3</v>
      </c>
      <c r="D40" t="s">
        <v>149</v>
      </c>
      <c r="E40">
        <v>1</v>
      </c>
      <c r="F40">
        <v>1</v>
      </c>
      <c r="G40">
        <v>0</v>
      </c>
      <c r="H40">
        <v>1</v>
      </c>
      <c r="I40">
        <v>0</v>
      </c>
      <c r="J40" t="s">
        <v>290</v>
      </c>
      <c r="K40" t="s">
        <v>289</v>
      </c>
    </row>
    <row r="41" spans="1:11" x14ac:dyDescent="0.25">
      <c r="A41">
        <v>40</v>
      </c>
      <c r="B41">
        <v>2019</v>
      </c>
      <c r="C41">
        <v>4</v>
      </c>
      <c r="D41" t="s">
        <v>150</v>
      </c>
      <c r="E41">
        <v>1</v>
      </c>
      <c r="F41">
        <v>1</v>
      </c>
      <c r="G41">
        <v>0</v>
      </c>
      <c r="H41">
        <v>1</v>
      </c>
      <c r="I41">
        <v>0</v>
      </c>
      <c r="J41" t="s">
        <v>290</v>
      </c>
      <c r="K41" t="s">
        <v>289</v>
      </c>
    </row>
    <row r="42" spans="1:11" x14ac:dyDescent="0.25">
      <c r="A42">
        <v>41</v>
      </c>
      <c r="B42">
        <v>2019</v>
      </c>
      <c r="C42">
        <v>5</v>
      </c>
      <c r="D42" t="s">
        <v>152</v>
      </c>
      <c r="E42">
        <v>1</v>
      </c>
      <c r="F42">
        <v>1</v>
      </c>
      <c r="G42">
        <v>0</v>
      </c>
      <c r="H42">
        <v>1</v>
      </c>
      <c r="I42">
        <v>0</v>
      </c>
      <c r="J42" t="s">
        <v>290</v>
      </c>
      <c r="K42" t="s">
        <v>289</v>
      </c>
    </row>
    <row r="43" spans="1:11" x14ac:dyDescent="0.25">
      <c r="A43">
        <v>42</v>
      </c>
      <c r="B43">
        <v>2019</v>
      </c>
      <c r="C43">
        <v>6</v>
      </c>
      <c r="D43" t="s">
        <v>153</v>
      </c>
      <c r="E43">
        <v>1</v>
      </c>
      <c r="F43">
        <v>1</v>
      </c>
      <c r="G43">
        <v>0</v>
      </c>
      <c r="H43">
        <v>1</v>
      </c>
      <c r="I43">
        <v>0</v>
      </c>
      <c r="J43" t="s">
        <v>290</v>
      </c>
      <c r="K43" t="s">
        <v>289</v>
      </c>
    </row>
    <row r="44" spans="1:11" x14ac:dyDescent="0.25">
      <c r="A44">
        <v>43</v>
      </c>
      <c r="B44">
        <v>2019</v>
      </c>
      <c r="C44">
        <v>7</v>
      </c>
      <c r="D44" t="s">
        <v>146</v>
      </c>
      <c r="E44">
        <v>1</v>
      </c>
      <c r="F44">
        <v>1</v>
      </c>
      <c r="G44">
        <v>0</v>
      </c>
      <c r="H44">
        <v>1</v>
      </c>
      <c r="I44">
        <v>0</v>
      </c>
      <c r="J44" t="s">
        <v>290</v>
      </c>
      <c r="K44" t="s">
        <v>289</v>
      </c>
    </row>
    <row r="45" spans="1:11" x14ac:dyDescent="0.25">
      <c r="A45">
        <v>44</v>
      </c>
      <c r="B45">
        <v>2019</v>
      </c>
      <c r="C45">
        <v>8</v>
      </c>
      <c r="D45" t="s">
        <v>151</v>
      </c>
      <c r="E45">
        <v>1</v>
      </c>
      <c r="F45">
        <v>1</v>
      </c>
      <c r="G45">
        <v>0</v>
      </c>
      <c r="H45">
        <v>1</v>
      </c>
      <c r="I45">
        <v>0</v>
      </c>
      <c r="J45" t="s">
        <v>290</v>
      </c>
      <c r="K45" t="s">
        <v>289</v>
      </c>
    </row>
    <row r="46" spans="1:11" x14ac:dyDescent="0.25">
      <c r="A46">
        <v>45</v>
      </c>
      <c r="B46">
        <v>2019</v>
      </c>
      <c r="C46">
        <v>9</v>
      </c>
      <c r="D46" t="s">
        <v>154</v>
      </c>
      <c r="E46">
        <v>1</v>
      </c>
      <c r="F46">
        <v>1</v>
      </c>
      <c r="G46">
        <v>0</v>
      </c>
      <c r="H46">
        <v>1</v>
      </c>
      <c r="I46">
        <v>0</v>
      </c>
      <c r="J46" t="s">
        <v>290</v>
      </c>
      <c r="K46" t="s">
        <v>289</v>
      </c>
    </row>
    <row r="47" spans="1:11" x14ac:dyDescent="0.25">
      <c r="A47">
        <v>46</v>
      </c>
      <c r="B47">
        <v>2019</v>
      </c>
      <c r="C47">
        <v>10</v>
      </c>
      <c r="D47" t="s">
        <v>156</v>
      </c>
      <c r="E47">
        <v>1</v>
      </c>
      <c r="F47">
        <v>1</v>
      </c>
      <c r="G47">
        <v>0</v>
      </c>
      <c r="H47">
        <v>1</v>
      </c>
      <c r="I47">
        <v>0</v>
      </c>
      <c r="J47" t="s">
        <v>290</v>
      </c>
      <c r="K47" t="s">
        <v>289</v>
      </c>
    </row>
    <row r="48" spans="1:11" x14ac:dyDescent="0.25">
      <c r="A48">
        <v>47</v>
      </c>
      <c r="B48">
        <v>2019</v>
      </c>
      <c r="C48">
        <v>11</v>
      </c>
      <c r="D48" t="s">
        <v>155</v>
      </c>
      <c r="E48">
        <v>1</v>
      </c>
      <c r="F48">
        <v>1</v>
      </c>
      <c r="G48">
        <v>0</v>
      </c>
      <c r="H48">
        <v>1</v>
      </c>
      <c r="I48">
        <v>0</v>
      </c>
      <c r="J48" t="s">
        <v>290</v>
      </c>
      <c r="K48" t="s">
        <v>289</v>
      </c>
    </row>
    <row r="49" spans="1:11" x14ac:dyDescent="0.25">
      <c r="A49">
        <v>48</v>
      </c>
      <c r="B49">
        <v>2019</v>
      </c>
      <c r="C49">
        <v>12</v>
      </c>
      <c r="D49" t="s">
        <v>148</v>
      </c>
      <c r="E49">
        <v>1</v>
      </c>
      <c r="F49">
        <v>1</v>
      </c>
      <c r="G49">
        <v>0</v>
      </c>
      <c r="H49">
        <v>1</v>
      </c>
      <c r="I49">
        <v>0</v>
      </c>
      <c r="J49" t="s">
        <v>290</v>
      </c>
      <c r="K49" t="s">
        <v>289</v>
      </c>
    </row>
    <row r="50" spans="1:11" x14ac:dyDescent="0.25">
      <c r="A50">
        <v>49</v>
      </c>
      <c r="B50">
        <v>2020</v>
      </c>
      <c r="C50">
        <v>1</v>
      </c>
      <c r="D50" t="s">
        <v>197</v>
      </c>
      <c r="E50">
        <v>1</v>
      </c>
      <c r="F50">
        <v>1</v>
      </c>
      <c r="G50">
        <v>0</v>
      </c>
      <c r="H50">
        <v>1</v>
      </c>
      <c r="I50">
        <v>0</v>
      </c>
      <c r="J50" t="s">
        <v>290</v>
      </c>
      <c r="K50" t="s">
        <v>289</v>
      </c>
    </row>
    <row r="51" spans="1:11" x14ac:dyDescent="0.25">
      <c r="A51">
        <v>50</v>
      </c>
      <c r="B51">
        <v>2020</v>
      </c>
      <c r="C51">
        <v>2</v>
      </c>
      <c r="D51" t="s">
        <v>201</v>
      </c>
      <c r="E51">
        <v>1</v>
      </c>
      <c r="F51">
        <v>1</v>
      </c>
      <c r="G51">
        <v>0</v>
      </c>
      <c r="H51">
        <v>1</v>
      </c>
      <c r="I51">
        <v>0</v>
      </c>
      <c r="J51" t="s">
        <v>290</v>
      </c>
      <c r="K51" t="s">
        <v>289</v>
      </c>
    </row>
    <row r="52" spans="1:11" x14ac:dyDescent="0.25">
      <c r="A52">
        <v>51</v>
      </c>
      <c r="B52">
        <v>2020</v>
      </c>
      <c r="C52">
        <v>3</v>
      </c>
      <c r="D52" t="s">
        <v>205</v>
      </c>
      <c r="E52">
        <v>1</v>
      </c>
      <c r="F52">
        <v>1</v>
      </c>
      <c r="G52">
        <v>0</v>
      </c>
      <c r="H52">
        <v>1</v>
      </c>
      <c r="I52">
        <v>0</v>
      </c>
      <c r="J52" t="s">
        <v>290</v>
      </c>
      <c r="K52" t="s">
        <v>289</v>
      </c>
    </row>
    <row r="53" spans="1:11" x14ac:dyDescent="0.25">
      <c r="A53">
        <v>52</v>
      </c>
      <c r="B53">
        <v>2020</v>
      </c>
      <c r="C53">
        <v>4</v>
      </c>
      <c r="D53" t="s">
        <v>209</v>
      </c>
      <c r="E53">
        <v>1</v>
      </c>
      <c r="F53">
        <v>1</v>
      </c>
      <c r="G53">
        <v>0</v>
      </c>
      <c r="H53">
        <v>1</v>
      </c>
      <c r="I53">
        <v>0</v>
      </c>
      <c r="J53" t="s">
        <v>290</v>
      </c>
      <c r="K53" t="s">
        <v>289</v>
      </c>
    </row>
    <row r="54" spans="1:11" x14ac:dyDescent="0.25">
      <c r="A54">
        <v>53</v>
      </c>
      <c r="B54">
        <v>2020</v>
      </c>
      <c r="C54">
        <v>5</v>
      </c>
      <c r="D54" t="s">
        <v>216</v>
      </c>
      <c r="E54">
        <v>1</v>
      </c>
      <c r="F54">
        <v>1</v>
      </c>
      <c r="G54">
        <v>0</v>
      </c>
      <c r="H54">
        <v>1</v>
      </c>
      <c r="I54">
        <v>0</v>
      </c>
      <c r="J54" t="s">
        <v>290</v>
      </c>
      <c r="K54" t="s">
        <v>289</v>
      </c>
    </row>
    <row r="55" spans="1:11" x14ac:dyDescent="0.25">
      <c r="A55">
        <v>54</v>
      </c>
      <c r="B55">
        <v>2020</v>
      </c>
      <c r="C55">
        <v>6</v>
      </c>
      <c r="D55" t="s">
        <v>223</v>
      </c>
      <c r="E55">
        <v>1</v>
      </c>
      <c r="F55">
        <v>1</v>
      </c>
      <c r="G55">
        <v>0</v>
      </c>
      <c r="H55">
        <v>1</v>
      </c>
      <c r="I55">
        <v>0</v>
      </c>
      <c r="J55" t="s">
        <v>290</v>
      </c>
      <c r="K55" t="s">
        <v>289</v>
      </c>
    </row>
    <row r="56" spans="1:11" x14ac:dyDescent="0.25">
      <c r="A56">
        <v>55</v>
      </c>
      <c r="B56">
        <v>2020</v>
      </c>
      <c r="C56">
        <v>7</v>
      </c>
      <c r="D56" t="s">
        <v>230</v>
      </c>
      <c r="E56">
        <v>1</v>
      </c>
      <c r="F56">
        <v>0</v>
      </c>
      <c r="G56">
        <v>0</v>
      </c>
      <c r="H56">
        <v>1</v>
      </c>
      <c r="I56">
        <v>0</v>
      </c>
      <c r="J56" t="s">
        <v>290</v>
      </c>
      <c r="K56" t="s">
        <v>289</v>
      </c>
    </row>
    <row r="57" spans="1:11" x14ac:dyDescent="0.25">
      <c r="A57">
        <v>56</v>
      </c>
      <c r="B57">
        <v>2020</v>
      </c>
      <c r="C57">
        <v>8</v>
      </c>
      <c r="D57" t="s">
        <v>237</v>
      </c>
      <c r="E57">
        <v>1</v>
      </c>
      <c r="F57">
        <v>0</v>
      </c>
      <c r="G57">
        <v>0</v>
      </c>
      <c r="H57">
        <v>1</v>
      </c>
      <c r="I57">
        <v>0</v>
      </c>
      <c r="J57" t="s">
        <v>290</v>
      </c>
      <c r="K57" t="s">
        <v>289</v>
      </c>
    </row>
    <row r="58" spans="1:11" x14ac:dyDescent="0.25">
      <c r="A58">
        <v>57</v>
      </c>
      <c r="B58">
        <v>2020</v>
      </c>
      <c r="C58">
        <v>9</v>
      </c>
      <c r="D58" t="s">
        <v>244</v>
      </c>
      <c r="E58">
        <v>1</v>
      </c>
      <c r="F58">
        <v>0</v>
      </c>
      <c r="G58">
        <v>0</v>
      </c>
      <c r="H58">
        <v>1</v>
      </c>
      <c r="I58">
        <v>0</v>
      </c>
      <c r="J58" t="s">
        <v>290</v>
      </c>
      <c r="K58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7"/>
  <sheetViews>
    <sheetView showGridLines="0" topLeftCell="Q1" zoomScale="85" zoomScaleNormal="85" workbookViewId="0">
      <selection activeCell="AE34" sqref="AE34"/>
    </sheetView>
  </sheetViews>
  <sheetFormatPr baseColWidth="10" defaultRowHeight="15" x14ac:dyDescent="0.25"/>
  <cols>
    <col min="1" max="1" width="12.28515625" style="38" bestFit="1" customWidth="1"/>
    <col min="2" max="2" width="19" style="5" bestFit="1" customWidth="1"/>
    <col min="3" max="3" width="16.28515625" style="5" bestFit="1" customWidth="1"/>
    <col min="4" max="4" width="54.140625" customWidth="1"/>
    <col min="5" max="5" width="53.5703125" customWidth="1"/>
    <col min="6" max="6" width="20.140625" bestFit="1" customWidth="1"/>
    <col min="7" max="7" width="53.85546875" customWidth="1"/>
    <col min="8" max="8" width="54.5703125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3" width="54.140625" customWidth="1"/>
    <col min="14" max="14" width="55.5703125" customWidth="1"/>
    <col min="15" max="15" width="20.140625" bestFit="1" customWidth="1"/>
    <col min="16" max="16" width="55" bestFit="1" customWidth="1"/>
    <col min="17" max="17" width="59.28515625" bestFit="1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9.28515625" style="5" bestFit="1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0" t="s">
        <v>96</v>
      </c>
      <c r="W2"/>
      <c r="X2"/>
      <c r="Y2"/>
    </row>
    <row r="3" spans="1:31" x14ac:dyDescent="0.25">
      <c r="A3" s="7" t="s">
        <v>61</v>
      </c>
      <c r="B3" s="31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2" t="s">
        <v>98</v>
      </c>
      <c r="W5"/>
      <c r="X5"/>
      <c r="Y5"/>
    </row>
    <row r="7" spans="1:31" ht="14.45" customHeight="1" x14ac:dyDescent="0.25">
      <c r="C7" s="64" t="s">
        <v>294</v>
      </c>
      <c r="D7" s="64"/>
      <c r="E7" s="64"/>
      <c r="F7" s="64"/>
      <c r="G7" s="64"/>
      <c r="H7" s="64"/>
      <c r="I7" s="64"/>
      <c r="J7" s="65"/>
      <c r="L7" s="66" t="s">
        <v>295</v>
      </c>
      <c r="M7" s="66"/>
      <c r="N7" s="66"/>
      <c r="O7" s="66"/>
      <c r="P7" s="66"/>
      <c r="Q7" s="66"/>
      <c r="R7" s="66"/>
      <c r="S7" s="66"/>
      <c r="U7" s="67" t="s">
        <v>297</v>
      </c>
      <c r="V7" s="68"/>
      <c r="W7" s="68"/>
      <c r="X7" s="68"/>
      <c r="Y7" s="68"/>
      <c r="Z7" s="68"/>
      <c r="AA7" s="68"/>
      <c r="AB7" s="68"/>
      <c r="AC7" s="68"/>
      <c r="AD7" s="68"/>
      <c r="AE7" s="69"/>
    </row>
    <row r="8" spans="1:31" s="3" customFormat="1" ht="30" x14ac:dyDescent="0.25">
      <c r="A8" s="33" t="s">
        <v>299</v>
      </c>
      <c r="B8" s="33" t="s">
        <v>298</v>
      </c>
      <c r="C8" s="33" t="s">
        <v>296</v>
      </c>
      <c r="D8" s="22" t="s">
        <v>62</v>
      </c>
      <c r="E8" s="23" t="s">
        <v>68</v>
      </c>
      <c r="F8" s="22" t="s">
        <v>64</v>
      </c>
      <c r="G8" s="22" t="s">
        <v>66</v>
      </c>
      <c r="H8" s="23" t="s">
        <v>69</v>
      </c>
      <c r="I8" s="22" t="s">
        <v>67</v>
      </c>
      <c r="J8" s="24" t="s">
        <v>63</v>
      </c>
      <c r="L8" s="33" t="s">
        <v>296</v>
      </c>
      <c r="M8" s="22" t="s">
        <v>62</v>
      </c>
      <c r="N8" s="23" t="s">
        <v>68</v>
      </c>
      <c r="O8" s="22" t="s">
        <v>64</v>
      </c>
      <c r="P8" s="22" t="s">
        <v>66</v>
      </c>
      <c r="Q8" s="23" t="s">
        <v>69</v>
      </c>
      <c r="R8" s="22" t="s">
        <v>67</v>
      </c>
      <c r="S8" s="24" t="s">
        <v>63</v>
      </c>
      <c r="U8" s="16" t="s">
        <v>3</v>
      </c>
      <c r="V8" s="48" t="s">
        <v>319</v>
      </c>
      <c r="W8" s="15" t="s">
        <v>320</v>
      </c>
      <c r="X8" s="16" t="s">
        <v>321</v>
      </c>
      <c r="Y8" s="15" t="s">
        <v>322</v>
      </c>
      <c r="Z8" s="16" t="s">
        <v>323</v>
      </c>
      <c r="AA8" s="15" t="s">
        <v>324</v>
      </c>
      <c r="AB8" s="16" t="s">
        <v>325</v>
      </c>
      <c r="AC8" s="16" t="s">
        <v>326</v>
      </c>
      <c r="AD8" s="15" t="s">
        <v>327</v>
      </c>
      <c r="AE8" s="14" t="s">
        <v>328</v>
      </c>
    </row>
    <row r="9" spans="1:31" x14ac:dyDescent="0.25">
      <c r="A9" s="39">
        <f>9</f>
        <v>9</v>
      </c>
      <c r="B9" s="36">
        <v>43344</v>
      </c>
      <c r="C9" s="50" t="s">
        <v>290</v>
      </c>
      <c r="D9" s="10" t="str">
        <f t="shared" ref="D9:D33" si="0">CONCATENATE("SUMIF(",IF(C9="FACT_EMITIDA","SIGGE_E",C9),"!B:B,ReliquidacionEFACT!B",A9,",",IF(C9="FACT_EMITIDA","SIGGE_E",C9),"!S:S)")</f>
        <v>SUMIF(SIGGE_E!B:B,ReliquidacionEFACT!B9,SIGGE_E!S:S)</v>
      </c>
      <c r="E9" s="10" t="str">
        <f t="shared" ref="E9:E33" si="1">CONCATENATE("SUMIF(",IF(C9="FACT_EMITIDA","SIGGE_E",C9),"!B:B,ReliquidacionEFACT!B",A9,",",IF(C9="FACT_EMITIDA","SIGGE_E",C9),"!T:T)")</f>
        <v>SUMIF(SIGGE_E!B:B,ReliquidacionEFACT!B9,SIGGE_E!T:T)</v>
      </c>
      <c r="F9" s="11" t="str">
        <f t="shared" ref="F9:F33" si="2">CONCATENATE("IFERROR((E",A9,"/D",A9,"),0)")</f>
        <v>IFERROR((E9/D9),0)</v>
      </c>
      <c r="G9" s="12" t="str">
        <f t="shared" ref="G9:G33" si="3">CONCATENATE("SUMIF(",IF(C9="FACT_EMITIDA","SIGGE_P",C9),"!B:B,ReliquidacionEFACT!B",A9,",",IF(C9="FACT_EMITIDA","SIGGE_P",C9),"!U:U)")</f>
        <v>SUMIF(SIGGE_P!B:B,ReliquidacionEFACT!B9,SIGGE_P!U:U)</v>
      </c>
      <c r="H9" s="10" t="str">
        <f t="shared" ref="H9:H33" si="4">CONCATENATE("SUMIF(",IF(C9="FACT_EMITIDA","SIGGE_P",C9),"!B:B,ReliquidacionEFACT!B",A9,",",IF(C9="FACT_EMITIDA","SIGGE_P",C9),"!V:V)")</f>
        <v>SUMIF(SIGGE_P!B:B,ReliquidacionEFACT!B9,SIGGE_P!V:V)</v>
      </c>
      <c r="I9" s="11" t="str">
        <f t="shared" ref="I9:I33" si="5">CONCATENATE("IFERROR((H",A9,"/G",A9,"),0)")</f>
        <v>IFERROR((H9/G9),0)</v>
      </c>
      <c r="J9" s="10" t="str">
        <f t="shared" ref="J9:J33" si="6">CONCATENATE("(E",A9,"+H",A9,")")</f>
        <v>(E9+H9)</v>
      </c>
      <c r="L9" s="37" t="str">
        <f>(MAPA_DATA!K34)</f>
        <v>EFACT_CNE</v>
      </c>
      <c r="M9" s="10" t="str">
        <f t="shared" ref="M9:M33" si="7">CONCATENATE("SUMIF(",L9,"!B:B,ReliquidacionEFACT!B",A9,",",L9,"!S:S)")</f>
        <v>SUMIF(EFACT_CNE!B:B,ReliquidacionEFACT!B9,EFACT_CNE!S:S)</v>
      </c>
      <c r="N9" s="10" t="str">
        <f t="shared" ref="N9:N33" si="8">CONCATENATE("SUMIF(",L9,"!B:B,ReliquidacionEFACT!B",A9,",",L9,"!T:T)")</f>
        <v>SUMIF(EFACT_CNE!B:B,ReliquidacionEFACT!B9,EFACT_CNE!T:T)</v>
      </c>
      <c r="O9" s="11" t="str">
        <f t="shared" ref="O9:O33" si="9">CONCATENATE("IFERROR((N",A9,"/M",A9,"),0)")</f>
        <v>IFERROR((N9/M9),0)</v>
      </c>
      <c r="P9" s="12" t="str">
        <f t="shared" ref="P9:P33" si="10">CONCATENATE("SUMIF(",L9,"!B:B,ReliquidacionEFACT!B",A9,",",L9,"!U:U)")</f>
        <v>SUMIF(EFACT_CNE!B:B,ReliquidacionEFACT!B9,EFACT_CNE!U:U)</v>
      </c>
      <c r="Q9" s="10" t="str">
        <f t="shared" ref="Q9:Q33" si="11">CONCATENATE("SUMIF(",L9,"!B:B,ReliquidacionEFACT!B",A9,",",L9,"!V:V)")</f>
        <v>SUMIF(EFACT_CNE!B:B,ReliquidacionEFACT!B9,EFACT_CNE!V:V)</v>
      </c>
      <c r="R9" s="11" t="str">
        <f t="shared" ref="R9:R33" si="12">CONCATENATE("IFERROR((Q",A9,"/P",A9,"),0)")</f>
        <v>IFERROR((Q9/P9),0)</v>
      </c>
      <c r="S9" s="10" t="str">
        <f t="shared" ref="S9:S33" si="13">CONCATENATE("(N",A9,"+Q",A9,")")</f>
        <v>(N9+Q9)</v>
      </c>
      <c r="U9" s="49">
        <v>43344</v>
      </c>
      <c r="V9" s="25" t="str">
        <f t="shared" ref="V9:V33" si="14">CONCATENATE("(S",A9,"-J",A9,")")</f>
        <v>(S9-J9)</v>
      </c>
      <c r="W9" s="50" t="s">
        <v>346</v>
      </c>
      <c r="X9" s="26">
        <v>44137</v>
      </c>
      <c r="Y9" s="27">
        <v>3.61E-2</v>
      </c>
      <c r="Z9" s="28">
        <v>43398</v>
      </c>
      <c r="AA9" s="28">
        <v>44377</v>
      </c>
      <c r="AB9" s="29" t="str">
        <f t="shared" ref="AB9:AB33" si="15">CONCATENATE("(AA",A9,"-Z",A9,")")</f>
        <v>(AA9-Z9)</v>
      </c>
      <c r="AC9" s="29" t="str">
        <f t="shared" ref="AC9:AC33" si="16">CONCATENATE("(1+Y",A9,")^(AB",A9,"/360)-1")</f>
        <v>(1+Y9)^(AB9/360)-1</v>
      </c>
      <c r="AD9" s="50" t="str">
        <f t="shared" ref="AD9:AD33" si="17">CONCATENATE("(AC",A9,"*V",A9,")")</f>
        <v>(AC9*V9)</v>
      </c>
      <c r="AE9" s="29" t="str">
        <f t="shared" ref="AE9:AE33" si="18">CONCATENATE("(V",A9,"+AD",A9,")")</f>
        <v>(V9+AD9)</v>
      </c>
    </row>
    <row r="10" spans="1:31" x14ac:dyDescent="0.25">
      <c r="A10" s="39">
        <f t="shared" ref="A10:A32" si="19">A9+1</f>
        <v>10</v>
      </c>
      <c r="B10" s="36">
        <v>43374</v>
      </c>
      <c r="C10" s="50" t="s">
        <v>290</v>
      </c>
      <c r="D10" s="10" t="str">
        <f t="shared" si="0"/>
        <v>SUMIF(SIGGE_E!B:B,ReliquidacionEFACT!B10,SIGGE_E!S:S)</v>
      </c>
      <c r="E10" s="10" t="str">
        <f t="shared" si="1"/>
        <v>SUMIF(SIGGE_E!B:B,ReliquidacionEFACT!B10,SIGGE_E!T:T)</v>
      </c>
      <c r="F10" s="11" t="str">
        <f t="shared" si="2"/>
        <v>IFERROR((E10/D10),0)</v>
      </c>
      <c r="G10" s="12" t="str">
        <f t="shared" si="3"/>
        <v>SUMIF(SIGGE_P!B:B,ReliquidacionEFACT!B10,SIGGE_P!U:U)</v>
      </c>
      <c r="H10" s="10" t="str">
        <f t="shared" si="4"/>
        <v>SUMIF(SIGGE_P!B:B,ReliquidacionEFACT!B10,SIGGE_P!V:V)</v>
      </c>
      <c r="I10" s="11" t="str">
        <f t="shared" si="5"/>
        <v>IFERROR((H10/G10),0)</v>
      </c>
      <c r="J10" s="10" t="str">
        <f t="shared" si="6"/>
        <v>(E10+H10)</v>
      </c>
      <c r="L10" s="37" t="str">
        <f>(MAPA_DATA!K35)</f>
        <v>EFACT_CNE</v>
      </c>
      <c r="M10" s="10" t="str">
        <f t="shared" si="7"/>
        <v>SUMIF(EFACT_CNE!B:B,ReliquidacionEFACT!B10,EFACT_CNE!S:S)</v>
      </c>
      <c r="N10" s="10" t="str">
        <f t="shared" si="8"/>
        <v>SUMIF(EFACT_CNE!B:B,ReliquidacionEFACT!B10,EFACT_CNE!T:T)</v>
      </c>
      <c r="O10" s="11" t="str">
        <f t="shared" si="9"/>
        <v>IFERROR((N10/M10),0)</v>
      </c>
      <c r="P10" s="12" t="str">
        <f t="shared" si="10"/>
        <v>SUMIF(EFACT_CNE!B:B,ReliquidacionEFACT!B10,EFACT_CNE!U:U)</v>
      </c>
      <c r="Q10" s="10" t="str">
        <f t="shared" si="11"/>
        <v>SUMIF(EFACT_CNE!B:B,ReliquidacionEFACT!B10,EFACT_CNE!V:V)</v>
      </c>
      <c r="R10" s="11" t="str">
        <f t="shared" si="12"/>
        <v>IFERROR((Q10/P10),0)</v>
      </c>
      <c r="S10" s="10" t="str">
        <f t="shared" si="13"/>
        <v>(N10+Q10)</v>
      </c>
      <c r="U10" s="49">
        <v>43374</v>
      </c>
      <c r="V10" s="25" t="str">
        <f t="shared" si="14"/>
        <v>(S10-J10)</v>
      </c>
      <c r="W10" s="50" t="s">
        <v>346</v>
      </c>
      <c r="X10" s="26">
        <v>44137</v>
      </c>
      <c r="Y10" s="27">
        <v>3.61E-2</v>
      </c>
      <c r="Z10" s="28">
        <v>43429</v>
      </c>
      <c r="AA10" s="28">
        <f t="shared" ref="AA10:AA33" si="20">AA9</f>
        <v>44377</v>
      </c>
      <c r="AB10" s="29" t="str">
        <f t="shared" si="15"/>
        <v>(AA10-Z10)</v>
      </c>
      <c r="AC10" s="29" t="str">
        <f t="shared" si="16"/>
        <v>(1+Y10)^(AB10/360)-1</v>
      </c>
      <c r="AD10" s="50" t="str">
        <f t="shared" si="17"/>
        <v>(AC10*V10)</v>
      </c>
      <c r="AE10" s="29" t="str">
        <f t="shared" si="18"/>
        <v>(V10+AD10)</v>
      </c>
    </row>
    <row r="11" spans="1:31" x14ac:dyDescent="0.25">
      <c r="A11" s="39">
        <f t="shared" si="19"/>
        <v>11</v>
      </c>
      <c r="B11" s="36">
        <v>43405</v>
      </c>
      <c r="C11" s="50" t="s">
        <v>290</v>
      </c>
      <c r="D11" s="10" t="str">
        <f t="shared" si="0"/>
        <v>SUMIF(SIGGE_E!B:B,ReliquidacionEFACT!B11,SIGGE_E!S:S)</v>
      </c>
      <c r="E11" s="10" t="str">
        <f t="shared" si="1"/>
        <v>SUMIF(SIGGE_E!B:B,ReliquidacionEFACT!B11,SIGGE_E!T:T)</v>
      </c>
      <c r="F11" s="11" t="str">
        <f t="shared" si="2"/>
        <v>IFERROR((E11/D11),0)</v>
      </c>
      <c r="G11" s="12" t="str">
        <f t="shared" si="3"/>
        <v>SUMIF(SIGGE_P!B:B,ReliquidacionEFACT!B11,SIGGE_P!U:U)</v>
      </c>
      <c r="H11" s="10" t="str">
        <f t="shared" si="4"/>
        <v>SUMIF(SIGGE_P!B:B,ReliquidacionEFACT!B11,SIGGE_P!V:V)</v>
      </c>
      <c r="I11" s="11" t="str">
        <f t="shared" si="5"/>
        <v>IFERROR((H11/G11),0)</v>
      </c>
      <c r="J11" s="10" t="str">
        <f t="shared" si="6"/>
        <v>(E11+H11)</v>
      </c>
      <c r="L11" s="37" t="str">
        <f>(MAPA_DATA!K36)</f>
        <v>EFACT_CNE</v>
      </c>
      <c r="M11" s="10" t="str">
        <f t="shared" si="7"/>
        <v>SUMIF(EFACT_CNE!B:B,ReliquidacionEFACT!B11,EFACT_CNE!S:S)</v>
      </c>
      <c r="N11" s="10" t="str">
        <f t="shared" si="8"/>
        <v>SUMIF(EFACT_CNE!B:B,ReliquidacionEFACT!B11,EFACT_CNE!T:T)</v>
      </c>
      <c r="O11" s="11" t="str">
        <f t="shared" si="9"/>
        <v>IFERROR((N11/M11),0)</v>
      </c>
      <c r="P11" s="12" t="str">
        <f t="shared" si="10"/>
        <v>SUMIF(EFACT_CNE!B:B,ReliquidacionEFACT!B11,EFACT_CNE!U:U)</v>
      </c>
      <c r="Q11" s="10" t="str">
        <f t="shared" si="11"/>
        <v>SUMIF(EFACT_CNE!B:B,ReliquidacionEFACT!B11,EFACT_CNE!V:V)</v>
      </c>
      <c r="R11" s="11" t="str">
        <f t="shared" si="12"/>
        <v>IFERROR((Q11/P11),0)</v>
      </c>
      <c r="S11" s="10" t="str">
        <f t="shared" si="13"/>
        <v>(N11+Q11)</v>
      </c>
      <c r="U11" s="49">
        <v>43405</v>
      </c>
      <c r="V11" s="25" t="str">
        <f t="shared" si="14"/>
        <v>(S11-J11)</v>
      </c>
      <c r="W11" s="50" t="s">
        <v>346</v>
      </c>
      <c r="X11" s="26">
        <v>44137</v>
      </c>
      <c r="Y11" s="27">
        <v>3.61E-2</v>
      </c>
      <c r="Z11" s="28">
        <v>43459</v>
      </c>
      <c r="AA11" s="28">
        <f t="shared" si="20"/>
        <v>44377</v>
      </c>
      <c r="AB11" s="29" t="str">
        <f t="shared" si="15"/>
        <v>(AA11-Z11)</v>
      </c>
      <c r="AC11" s="29" t="str">
        <f t="shared" si="16"/>
        <v>(1+Y11)^(AB11/360)-1</v>
      </c>
      <c r="AD11" s="50" t="str">
        <f t="shared" si="17"/>
        <v>(AC11*V11)</v>
      </c>
      <c r="AE11" s="29" t="str">
        <f t="shared" si="18"/>
        <v>(V11+AD11)</v>
      </c>
    </row>
    <row r="12" spans="1:31" x14ac:dyDescent="0.25">
      <c r="A12" s="39">
        <f t="shared" si="19"/>
        <v>12</v>
      </c>
      <c r="B12" s="36">
        <v>43435</v>
      </c>
      <c r="C12" s="50" t="s">
        <v>290</v>
      </c>
      <c r="D12" s="10" t="str">
        <f t="shared" si="0"/>
        <v>SUMIF(SIGGE_E!B:B,ReliquidacionEFACT!B12,SIGGE_E!S:S)</v>
      </c>
      <c r="E12" s="10" t="str">
        <f t="shared" si="1"/>
        <v>SUMIF(SIGGE_E!B:B,ReliquidacionEFACT!B12,SIGGE_E!T:T)</v>
      </c>
      <c r="F12" s="11" t="str">
        <f t="shared" si="2"/>
        <v>IFERROR((E12/D12),0)</v>
      </c>
      <c r="G12" s="12" t="str">
        <f t="shared" si="3"/>
        <v>SUMIF(SIGGE_P!B:B,ReliquidacionEFACT!B12,SIGGE_P!U:U)</v>
      </c>
      <c r="H12" s="10" t="str">
        <f t="shared" si="4"/>
        <v>SUMIF(SIGGE_P!B:B,ReliquidacionEFACT!B12,SIGGE_P!V:V)</v>
      </c>
      <c r="I12" s="11" t="str">
        <f t="shared" si="5"/>
        <v>IFERROR((H12/G12),0)</v>
      </c>
      <c r="J12" s="10" t="str">
        <f t="shared" si="6"/>
        <v>(E12+H12)</v>
      </c>
      <c r="L12" s="37" t="str">
        <f>(MAPA_DATA!K37)</f>
        <v>EFACT_CNE</v>
      </c>
      <c r="M12" s="10" t="str">
        <f t="shared" si="7"/>
        <v>SUMIF(EFACT_CNE!B:B,ReliquidacionEFACT!B12,EFACT_CNE!S:S)</v>
      </c>
      <c r="N12" s="10" t="str">
        <f t="shared" si="8"/>
        <v>SUMIF(EFACT_CNE!B:B,ReliquidacionEFACT!B12,EFACT_CNE!T:T)</v>
      </c>
      <c r="O12" s="11" t="str">
        <f t="shared" si="9"/>
        <v>IFERROR((N12/M12),0)</v>
      </c>
      <c r="P12" s="12" t="str">
        <f t="shared" si="10"/>
        <v>SUMIF(EFACT_CNE!B:B,ReliquidacionEFACT!B12,EFACT_CNE!U:U)</v>
      </c>
      <c r="Q12" s="10" t="str">
        <f t="shared" si="11"/>
        <v>SUMIF(EFACT_CNE!B:B,ReliquidacionEFACT!B12,EFACT_CNE!V:V)</v>
      </c>
      <c r="R12" s="11" t="str">
        <f t="shared" si="12"/>
        <v>IFERROR((Q12/P12),0)</v>
      </c>
      <c r="S12" s="10" t="str">
        <f t="shared" si="13"/>
        <v>(N12+Q12)</v>
      </c>
      <c r="U12" s="49">
        <v>43435</v>
      </c>
      <c r="V12" s="25" t="str">
        <f t="shared" si="14"/>
        <v>(S12-J12)</v>
      </c>
      <c r="W12" s="50" t="s">
        <v>346</v>
      </c>
      <c r="X12" s="26">
        <v>44137</v>
      </c>
      <c r="Y12" s="27">
        <v>3.61E-2</v>
      </c>
      <c r="Z12" s="28">
        <v>43490</v>
      </c>
      <c r="AA12" s="28">
        <f t="shared" si="20"/>
        <v>44377</v>
      </c>
      <c r="AB12" s="29" t="str">
        <f t="shared" si="15"/>
        <v>(AA12-Z12)</v>
      </c>
      <c r="AC12" s="29" t="str">
        <f t="shared" si="16"/>
        <v>(1+Y12)^(AB12/360)-1</v>
      </c>
      <c r="AD12" s="50" t="str">
        <f t="shared" si="17"/>
        <v>(AC12*V12)</v>
      </c>
      <c r="AE12" s="29" t="str">
        <f t="shared" si="18"/>
        <v>(V12+AD12)</v>
      </c>
    </row>
    <row r="13" spans="1:31" x14ac:dyDescent="0.25">
      <c r="A13" s="39">
        <f t="shared" si="19"/>
        <v>13</v>
      </c>
      <c r="B13" s="36">
        <v>43466</v>
      </c>
      <c r="C13" s="50" t="s">
        <v>290</v>
      </c>
      <c r="D13" s="10" t="str">
        <f t="shared" si="0"/>
        <v>SUMIF(SIGGE_E!B:B,ReliquidacionEFACT!B13,SIGGE_E!S:S)</v>
      </c>
      <c r="E13" s="10" t="str">
        <f t="shared" si="1"/>
        <v>SUMIF(SIGGE_E!B:B,ReliquidacionEFACT!B13,SIGGE_E!T:T)</v>
      </c>
      <c r="F13" s="11" t="str">
        <f t="shared" si="2"/>
        <v>IFERROR((E13/D13),0)</v>
      </c>
      <c r="G13" s="12" t="str">
        <f t="shared" si="3"/>
        <v>SUMIF(SIGGE_P!B:B,ReliquidacionEFACT!B13,SIGGE_P!U:U)</v>
      </c>
      <c r="H13" s="10" t="str">
        <f t="shared" si="4"/>
        <v>SUMIF(SIGGE_P!B:B,ReliquidacionEFACT!B13,SIGGE_P!V:V)</v>
      </c>
      <c r="I13" s="11" t="str">
        <f t="shared" si="5"/>
        <v>IFERROR((H13/G13),0)</v>
      </c>
      <c r="J13" s="10" t="str">
        <f t="shared" si="6"/>
        <v>(E13+H13)</v>
      </c>
      <c r="L13" s="37" t="str">
        <f>(MAPA_DATA!K38)</f>
        <v>EFACT_CNE</v>
      </c>
      <c r="M13" s="10" t="str">
        <f t="shared" si="7"/>
        <v>SUMIF(EFACT_CNE!B:B,ReliquidacionEFACT!B13,EFACT_CNE!S:S)</v>
      </c>
      <c r="N13" s="10" t="str">
        <f t="shared" si="8"/>
        <v>SUMIF(EFACT_CNE!B:B,ReliquidacionEFACT!B13,EFACT_CNE!T:T)</v>
      </c>
      <c r="O13" s="11" t="str">
        <f t="shared" si="9"/>
        <v>IFERROR((N13/M13),0)</v>
      </c>
      <c r="P13" s="12" t="str">
        <f t="shared" si="10"/>
        <v>SUMIF(EFACT_CNE!B:B,ReliquidacionEFACT!B13,EFACT_CNE!U:U)</v>
      </c>
      <c r="Q13" s="10" t="str">
        <f t="shared" si="11"/>
        <v>SUMIF(EFACT_CNE!B:B,ReliquidacionEFACT!B13,EFACT_CNE!V:V)</v>
      </c>
      <c r="R13" s="11" t="str">
        <f t="shared" si="12"/>
        <v>IFERROR((Q13/P13),0)</v>
      </c>
      <c r="S13" s="10" t="str">
        <f t="shared" si="13"/>
        <v>(N13+Q13)</v>
      </c>
      <c r="U13" s="49">
        <v>43466</v>
      </c>
      <c r="V13" s="25" t="str">
        <f t="shared" si="14"/>
        <v>(S13-J13)</v>
      </c>
      <c r="W13" s="50" t="s">
        <v>346</v>
      </c>
      <c r="X13" s="26">
        <v>44137</v>
      </c>
      <c r="Y13" s="27">
        <v>3.61E-2</v>
      </c>
      <c r="Z13" s="28">
        <v>43521</v>
      </c>
      <c r="AA13" s="28">
        <f t="shared" si="20"/>
        <v>44377</v>
      </c>
      <c r="AB13" s="29" t="str">
        <f t="shared" si="15"/>
        <v>(AA13-Z13)</v>
      </c>
      <c r="AC13" s="29" t="str">
        <f t="shared" si="16"/>
        <v>(1+Y13)^(AB13/360)-1</v>
      </c>
      <c r="AD13" s="50" t="str">
        <f t="shared" si="17"/>
        <v>(AC13*V13)</v>
      </c>
      <c r="AE13" s="29" t="str">
        <f t="shared" si="18"/>
        <v>(V13+AD13)</v>
      </c>
    </row>
    <row r="14" spans="1:31" x14ac:dyDescent="0.25">
      <c r="A14" s="39">
        <f t="shared" si="19"/>
        <v>14</v>
      </c>
      <c r="B14" s="36">
        <v>43497</v>
      </c>
      <c r="C14" s="50" t="s">
        <v>290</v>
      </c>
      <c r="D14" s="10" t="str">
        <f t="shared" si="0"/>
        <v>SUMIF(SIGGE_E!B:B,ReliquidacionEFACT!B14,SIGGE_E!S:S)</v>
      </c>
      <c r="E14" s="10" t="str">
        <f t="shared" si="1"/>
        <v>SUMIF(SIGGE_E!B:B,ReliquidacionEFACT!B14,SIGGE_E!T:T)</v>
      </c>
      <c r="F14" s="11" t="str">
        <f t="shared" si="2"/>
        <v>IFERROR((E14/D14),0)</v>
      </c>
      <c r="G14" s="12" t="str">
        <f t="shared" si="3"/>
        <v>SUMIF(SIGGE_P!B:B,ReliquidacionEFACT!B14,SIGGE_P!U:U)</v>
      </c>
      <c r="H14" s="10" t="str">
        <f t="shared" si="4"/>
        <v>SUMIF(SIGGE_P!B:B,ReliquidacionEFACT!B14,SIGGE_P!V:V)</v>
      </c>
      <c r="I14" s="11" t="str">
        <f t="shared" si="5"/>
        <v>IFERROR((H14/G14),0)</v>
      </c>
      <c r="J14" s="10" t="str">
        <f t="shared" si="6"/>
        <v>(E14+H14)</v>
      </c>
      <c r="L14" s="37" t="str">
        <f>(MAPA_DATA!K39)</f>
        <v>EFACT_CNE</v>
      </c>
      <c r="M14" s="10" t="str">
        <f t="shared" si="7"/>
        <v>SUMIF(EFACT_CNE!B:B,ReliquidacionEFACT!B14,EFACT_CNE!S:S)</v>
      </c>
      <c r="N14" s="10" t="str">
        <f t="shared" si="8"/>
        <v>SUMIF(EFACT_CNE!B:B,ReliquidacionEFACT!B14,EFACT_CNE!T:T)</v>
      </c>
      <c r="O14" s="11" t="str">
        <f t="shared" si="9"/>
        <v>IFERROR((N14/M14),0)</v>
      </c>
      <c r="P14" s="12" t="str">
        <f t="shared" si="10"/>
        <v>SUMIF(EFACT_CNE!B:B,ReliquidacionEFACT!B14,EFACT_CNE!U:U)</v>
      </c>
      <c r="Q14" s="10" t="str">
        <f t="shared" si="11"/>
        <v>SUMIF(EFACT_CNE!B:B,ReliquidacionEFACT!B14,EFACT_CNE!V:V)</v>
      </c>
      <c r="R14" s="11" t="str">
        <f t="shared" si="12"/>
        <v>IFERROR((Q14/P14),0)</v>
      </c>
      <c r="S14" s="10" t="str">
        <f t="shared" si="13"/>
        <v>(N14+Q14)</v>
      </c>
      <c r="U14" s="49">
        <v>43497</v>
      </c>
      <c r="V14" s="25" t="str">
        <f t="shared" si="14"/>
        <v>(S14-J14)</v>
      </c>
      <c r="W14" s="50" t="s">
        <v>346</v>
      </c>
      <c r="X14" s="26">
        <v>44137</v>
      </c>
      <c r="Y14" s="27">
        <v>3.61E-2</v>
      </c>
      <c r="Z14" s="28">
        <v>43549</v>
      </c>
      <c r="AA14" s="28">
        <f t="shared" si="20"/>
        <v>44377</v>
      </c>
      <c r="AB14" s="29" t="str">
        <f t="shared" si="15"/>
        <v>(AA14-Z14)</v>
      </c>
      <c r="AC14" s="29" t="str">
        <f t="shared" si="16"/>
        <v>(1+Y14)^(AB14/360)-1</v>
      </c>
      <c r="AD14" s="50" t="str">
        <f t="shared" si="17"/>
        <v>(AC14*V14)</v>
      </c>
      <c r="AE14" s="29" t="str">
        <f t="shared" si="18"/>
        <v>(V14+AD14)</v>
      </c>
    </row>
    <row r="15" spans="1:31" x14ac:dyDescent="0.25">
      <c r="A15" s="39">
        <f t="shared" si="19"/>
        <v>15</v>
      </c>
      <c r="B15" s="36">
        <v>43525</v>
      </c>
      <c r="C15" s="50" t="s">
        <v>290</v>
      </c>
      <c r="D15" s="10" t="str">
        <f t="shared" si="0"/>
        <v>SUMIF(SIGGE_E!B:B,ReliquidacionEFACT!B15,SIGGE_E!S:S)</v>
      </c>
      <c r="E15" s="10" t="str">
        <f t="shared" si="1"/>
        <v>SUMIF(SIGGE_E!B:B,ReliquidacionEFACT!B15,SIGGE_E!T:T)</v>
      </c>
      <c r="F15" s="11" t="str">
        <f t="shared" si="2"/>
        <v>IFERROR((E15/D15),0)</v>
      </c>
      <c r="G15" s="12" t="str">
        <f t="shared" si="3"/>
        <v>SUMIF(SIGGE_P!B:B,ReliquidacionEFACT!B15,SIGGE_P!U:U)</v>
      </c>
      <c r="H15" s="10" t="str">
        <f t="shared" si="4"/>
        <v>SUMIF(SIGGE_P!B:B,ReliquidacionEFACT!B15,SIGGE_P!V:V)</v>
      </c>
      <c r="I15" s="11" t="str">
        <f t="shared" si="5"/>
        <v>IFERROR((H15/G15),0)</v>
      </c>
      <c r="J15" s="10" t="str">
        <f t="shared" si="6"/>
        <v>(E15+H15)</v>
      </c>
      <c r="L15" s="37" t="str">
        <f>(MAPA_DATA!K40)</f>
        <v>EFACT_CNE</v>
      </c>
      <c r="M15" s="10" t="str">
        <f t="shared" si="7"/>
        <v>SUMIF(EFACT_CNE!B:B,ReliquidacionEFACT!B15,EFACT_CNE!S:S)</v>
      </c>
      <c r="N15" s="10" t="str">
        <f t="shared" si="8"/>
        <v>SUMIF(EFACT_CNE!B:B,ReliquidacionEFACT!B15,EFACT_CNE!T:T)</v>
      </c>
      <c r="O15" s="11" t="str">
        <f t="shared" si="9"/>
        <v>IFERROR((N15/M15),0)</v>
      </c>
      <c r="P15" s="12" t="str">
        <f t="shared" si="10"/>
        <v>SUMIF(EFACT_CNE!B:B,ReliquidacionEFACT!B15,EFACT_CNE!U:U)</v>
      </c>
      <c r="Q15" s="10" t="str">
        <f t="shared" si="11"/>
        <v>SUMIF(EFACT_CNE!B:B,ReliquidacionEFACT!B15,EFACT_CNE!V:V)</v>
      </c>
      <c r="R15" s="11" t="str">
        <f t="shared" si="12"/>
        <v>IFERROR((Q15/P15),0)</v>
      </c>
      <c r="S15" s="10" t="str">
        <f t="shared" si="13"/>
        <v>(N15+Q15)</v>
      </c>
      <c r="U15" s="49">
        <v>43525</v>
      </c>
      <c r="V15" s="25" t="str">
        <f t="shared" si="14"/>
        <v>(S15-J15)</v>
      </c>
      <c r="W15" s="50" t="s">
        <v>346</v>
      </c>
      <c r="X15" s="26">
        <v>44137</v>
      </c>
      <c r="Y15" s="27">
        <v>3.61E-2</v>
      </c>
      <c r="Z15" s="28">
        <v>43580</v>
      </c>
      <c r="AA15" s="28">
        <f t="shared" si="20"/>
        <v>44377</v>
      </c>
      <c r="AB15" s="29" t="str">
        <f t="shared" si="15"/>
        <v>(AA15-Z15)</v>
      </c>
      <c r="AC15" s="29" t="str">
        <f t="shared" si="16"/>
        <v>(1+Y15)^(AB15/360)-1</v>
      </c>
      <c r="AD15" s="50" t="str">
        <f t="shared" si="17"/>
        <v>(AC15*V15)</v>
      </c>
      <c r="AE15" s="29" t="str">
        <f t="shared" si="18"/>
        <v>(V15+AD15)</v>
      </c>
    </row>
    <row r="16" spans="1:31" x14ac:dyDescent="0.25">
      <c r="A16" s="39">
        <f t="shared" si="19"/>
        <v>16</v>
      </c>
      <c r="B16" s="36">
        <v>43556</v>
      </c>
      <c r="C16" s="50" t="s">
        <v>290</v>
      </c>
      <c r="D16" s="10" t="str">
        <f t="shared" si="0"/>
        <v>SUMIF(SIGGE_E!B:B,ReliquidacionEFACT!B16,SIGGE_E!S:S)</v>
      </c>
      <c r="E16" s="10" t="str">
        <f t="shared" si="1"/>
        <v>SUMIF(SIGGE_E!B:B,ReliquidacionEFACT!B16,SIGGE_E!T:T)</v>
      </c>
      <c r="F16" s="11" t="str">
        <f t="shared" si="2"/>
        <v>IFERROR((E16/D16),0)</v>
      </c>
      <c r="G16" s="12" t="str">
        <f t="shared" si="3"/>
        <v>SUMIF(SIGGE_P!B:B,ReliquidacionEFACT!B16,SIGGE_P!U:U)</v>
      </c>
      <c r="H16" s="10" t="str">
        <f t="shared" si="4"/>
        <v>SUMIF(SIGGE_P!B:B,ReliquidacionEFACT!B16,SIGGE_P!V:V)</v>
      </c>
      <c r="I16" s="11" t="str">
        <f t="shared" si="5"/>
        <v>IFERROR((H16/G16),0)</v>
      </c>
      <c r="J16" s="10" t="str">
        <f t="shared" si="6"/>
        <v>(E16+H16)</v>
      </c>
      <c r="L16" s="37" t="str">
        <f>(MAPA_DATA!K41)</f>
        <v>EFACT_CNE</v>
      </c>
      <c r="M16" s="10" t="str">
        <f t="shared" si="7"/>
        <v>SUMIF(EFACT_CNE!B:B,ReliquidacionEFACT!B16,EFACT_CNE!S:S)</v>
      </c>
      <c r="N16" s="10" t="str">
        <f t="shared" si="8"/>
        <v>SUMIF(EFACT_CNE!B:B,ReliquidacionEFACT!B16,EFACT_CNE!T:T)</v>
      </c>
      <c r="O16" s="11" t="str">
        <f t="shared" si="9"/>
        <v>IFERROR((N16/M16),0)</v>
      </c>
      <c r="P16" s="12" t="str">
        <f t="shared" si="10"/>
        <v>SUMIF(EFACT_CNE!B:B,ReliquidacionEFACT!B16,EFACT_CNE!U:U)</v>
      </c>
      <c r="Q16" s="10" t="str">
        <f t="shared" si="11"/>
        <v>SUMIF(EFACT_CNE!B:B,ReliquidacionEFACT!B16,EFACT_CNE!V:V)</v>
      </c>
      <c r="R16" s="11" t="str">
        <f t="shared" si="12"/>
        <v>IFERROR((Q16/P16),0)</v>
      </c>
      <c r="S16" s="10" t="str">
        <f t="shared" si="13"/>
        <v>(N16+Q16)</v>
      </c>
      <c r="U16" s="49">
        <v>43556</v>
      </c>
      <c r="V16" s="25" t="str">
        <f t="shared" si="14"/>
        <v>(S16-J16)</v>
      </c>
      <c r="W16" s="50" t="s">
        <v>346</v>
      </c>
      <c r="X16" s="26">
        <v>44137</v>
      </c>
      <c r="Y16" s="27">
        <v>3.61E-2</v>
      </c>
      <c r="Z16" s="28">
        <v>43610</v>
      </c>
      <c r="AA16" s="28">
        <f t="shared" si="20"/>
        <v>44377</v>
      </c>
      <c r="AB16" s="29" t="str">
        <f t="shared" si="15"/>
        <v>(AA16-Z16)</v>
      </c>
      <c r="AC16" s="29" t="str">
        <f t="shared" si="16"/>
        <v>(1+Y16)^(AB16/360)-1</v>
      </c>
      <c r="AD16" s="50" t="str">
        <f t="shared" si="17"/>
        <v>(AC16*V16)</v>
      </c>
      <c r="AE16" s="29" t="str">
        <f t="shared" si="18"/>
        <v>(V16+AD16)</v>
      </c>
    </row>
    <row r="17" spans="1:31" x14ac:dyDescent="0.25">
      <c r="A17" s="39">
        <f t="shared" si="19"/>
        <v>17</v>
      </c>
      <c r="B17" s="36">
        <v>43586</v>
      </c>
      <c r="C17" s="50" t="s">
        <v>290</v>
      </c>
      <c r="D17" s="10" t="str">
        <f t="shared" si="0"/>
        <v>SUMIF(SIGGE_E!B:B,ReliquidacionEFACT!B17,SIGGE_E!S:S)</v>
      </c>
      <c r="E17" s="10" t="str">
        <f t="shared" si="1"/>
        <v>SUMIF(SIGGE_E!B:B,ReliquidacionEFACT!B17,SIGGE_E!T:T)</v>
      </c>
      <c r="F17" s="11" t="str">
        <f t="shared" si="2"/>
        <v>IFERROR((E17/D17),0)</v>
      </c>
      <c r="G17" s="12" t="str">
        <f t="shared" si="3"/>
        <v>SUMIF(SIGGE_P!B:B,ReliquidacionEFACT!B17,SIGGE_P!U:U)</v>
      </c>
      <c r="H17" s="10" t="str">
        <f t="shared" si="4"/>
        <v>SUMIF(SIGGE_P!B:B,ReliquidacionEFACT!B17,SIGGE_P!V:V)</v>
      </c>
      <c r="I17" s="11" t="str">
        <f t="shared" si="5"/>
        <v>IFERROR((H17/G17),0)</v>
      </c>
      <c r="J17" s="10" t="str">
        <f t="shared" si="6"/>
        <v>(E17+H17)</v>
      </c>
      <c r="L17" s="37" t="str">
        <f>(MAPA_DATA!K42)</f>
        <v>EFACT_CNE</v>
      </c>
      <c r="M17" s="10" t="str">
        <f t="shared" si="7"/>
        <v>SUMIF(EFACT_CNE!B:B,ReliquidacionEFACT!B17,EFACT_CNE!S:S)</v>
      </c>
      <c r="N17" s="10" t="str">
        <f t="shared" si="8"/>
        <v>SUMIF(EFACT_CNE!B:B,ReliquidacionEFACT!B17,EFACT_CNE!T:T)</v>
      </c>
      <c r="O17" s="11" t="str">
        <f t="shared" si="9"/>
        <v>IFERROR((N17/M17),0)</v>
      </c>
      <c r="P17" s="12" t="str">
        <f t="shared" si="10"/>
        <v>SUMIF(EFACT_CNE!B:B,ReliquidacionEFACT!B17,EFACT_CNE!U:U)</v>
      </c>
      <c r="Q17" s="10" t="str">
        <f t="shared" si="11"/>
        <v>SUMIF(EFACT_CNE!B:B,ReliquidacionEFACT!B17,EFACT_CNE!V:V)</v>
      </c>
      <c r="R17" s="11" t="str">
        <f t="shared" si="12"/>
        <v>IFERROR((Q17/P17),0)</v>
      </c>
      <c r="S17" s="10" t="str">
        <f t="shared" si="13"/>
        <v>(N17+Q17)</v>
      </c>
      <c r="U17" s="49">
        <v>43586</v>
      </c>
      <c r="V17" s="25" t="str">
        <f t="shared" si="14"/>
        <v>(S17-J17)</v>
      </c>
      <c r="W17" s="50" t="s">
        <v>346</v>
      </c>
      <c r="X17" s="26">
        <v>44137</v>
      </c>
      <c r="Y17" s="27">
        <v>3.61E-2</v>
      </c>
      <c r="Z17" s="28">
        <v>43641</v>
      </c>
      <c r="AA17" s="28">
        <f t="shared" si="20"/>
        <v>44377</v>
      </c>
      <c r="AB17" s="29" t="str">
        <f t="shared" si="15"/>
        <v>(AA17-Z17)</v>
      </c>
      <c r="AC17" s="29" t="str">
        <f t="shared" si="16"/>
        <v>(1+Y17)^(AB17/360)-1</v>
      </c>
      <c r="AD17" s="50" t="str">
        <f t="shared" si="17"/>
        <v>(AC17*V17)</v>
      </c>
      <c r="AE17" s="29" t="str">
        <f t="shared" si="18"/>
        <v>(V17+AD17)</v>
      </c>
    </row>
    <row r="18" spans="1:31" x14ac:dyDescent="0.25">
      <c r="A18" s="39">
        <f t="shared" si="19"/>
        <v>18</v>
      </c>
      <c r="B18" s="36">
        <v>43617</v>
      </c>
      <c r="C18" s="50" t="s">
        <v>290</v>
      </c>
      <c r="D18" s="10" t="str">
        <f t="shared" si="0"/>
        <v>SUMIF(SIGGE_E!B:B,ReliquidacionEFACT!B18,SIGGE_E!S:S)</v>
      </c>
      <c r="E18" s="10" t="str">
        <f t="shared" si="1"/>
        <v>SUMIF(SIGGE_E!B:B,ReliquidacionEFACT!B18,SIGGE_E!T:T)</v>
      </c>
      <c r="F18" s="11" t="str">
        <f t="shared" si="2"/>
        <v>IFERROR((E18/D18),0)</v>
      </c>
      <c r="G18" s="12" t="str">
        <f t="shared" si="3"/>
        <v>SUMIF(SIGGE_P!B:B,ReliquidacionEFACT!B18,SIGGE_P!U:U)</v>
      </c>
      <c r="H18" s="10" t="str">
        <f t="shared" si="4"/>
        <v>SUMIF(SIGGE_P!B:B,ReliquidacionEFACT!B18,SIGGE_P!V:V)</v>
      </c>
      <c r="I18" s="11" t="str">
        <f t="shared" si="5"/>
        <v>IFERROR((H18/G18),0)</v>
      </c>
      <c r="J18" s="10" t="str">
        <f t="shared" si="6"/>
        <v>(E18+H18)</v>
      </c>
      <c r="L18" s="37" t="str">
        <f>(MAPA_DATA!K43)</f>
        <v>EFACT_CNE</v>
      </c>
      <c r="M18" s="10" t="str">
        <f t="shared" si="7"/>
        <v>SUMIF(EFACT_CNE!B:B,ReliquidacionEFACT!B18,EFACT_CNE!S:S)</v>
      </c>
      <c r="N18" s="10" t="str">
        <f t="shared" si="8"/>
        <v>SUMIF(EFACT_CNE!B:B,ReliquidacionEFACT!B18,EFACT_CNE!T:T)</v>
      </c>
      <c r="O18" s="11" t="str">
        <f t="shared" si="9"/>
        <v>IFERROR((N18/M18),0)</v>
      </c>
      <c r="P18" s="12" t="str">
        <f t="shared" si="10"/>
        <v>SUMIF(EFACT_CNE!B:B,ReliquidacionEFACT!B18,EFACT_CNE!U:U)</v>
      </c>
      <c r="Q18" s="10" t="str">
        <f t="shared" si="11"/>
        <v>SUMIF(EFACT_CNE!B:B,ReliquidacionEFACT!B18,EFACT_CNE!V:V)</v>
      </c>
      <c r="R18" s="11" t="str">
        <f t="shared" si="12"/>
        <v>IFERROR((Q18/P18),0)</v>
      </c>
      <c r="S18" s="10" t="str">
        <f t="shared" si="13"/>
        <v>(N18+Q18)</v>
      </c>
      <c r="U18" s="49">
        <v>43617</v>
      </c>
      <c r="V18" s="25" t="str">
        <f t="shared" si="14"/>
        <v>(S18-J18)</v>
      </c>
      <c r="W18" s="50" t="s">
        <v>346</v>
      </c>
      <c r="X18" s="26">
        <v>44137</v>
      </c>
      <c r="Y18" s="27">
        <v>3.61E-2</v>
      </c>
      <c r="Z18" s="28">
        <v>43671</v>
      </c>
      <c r="AA18" s="28">
        <f t="shared" si="20"/>
        <v>44377</v>
      </c>
      <c r="AB18" s="29" t="str">
        <f t="shared" si="15"/>
        <v>(AA18-Z18)</v>
      </c>
      <c r="AC18" s="29" t="str">
        <f t="shared" si="16"/>
        <v>(1+Y18)^(AB18/360)-1</v>
      </c>
      <c r="AD18" s="50" t="str">
        <f t="shared" si="17"/>
        <v>(AC18*V18)</v>
      </c>
      <c r="AE18" s="29" t="str">
        <f t="shared" si="18"/>
        <v>(V18+AD18)</v>
      </c>
    </row>
    <row r="19" spans="1:31" x14ac:dyDescent="0.25">
      <c r="A19" s="39">
        <f t="shared" si="19"/>
        <v>19</v>
      </c>
      <c r="B19" s="36">
        <v>43647</v>
      </c>
      <c r="C19" s="50" t="s">
        <v>290</v>
      </c>
      <c r="D19" s="10" t="str">
        <f t="shared" si="0"/>
        <v>SUMIF(SIGGE_E!B:B,ReliquidacionEFACT!B19,SIGGE_E!S:S)</v>
      </c>
      <c r="E19" s="10" t="str">
        <f t="shared" si="1"/>
        <v>SUMIF(SIGGE_E!B:B,ReliquidacionEFACT!B19,SIGGE_E!T:T)</v>
      </c>
      <c r="F19" s="11" t="str">
        <f t="shared" si="2"/>
        <v>IFERROR((E19/D19),0)</v>
      </c>
      <c r="G19" s="12" t="str">
        <f t="shared" si="3"/>
        <v>SUMIF(SIGGE_P!B:B,ReliquidacionEFACT!B19,SIGGE_P!U:U)</v>
      </c>
      <c r="H19" s="10" t="str">
        <f t="shared" si="4"/>
        <v>SUMIF(SIGGE_P!B:B,ReliquidacionEFACT!B19,SIGGE_P!V:V)</v>
      </c>
      <c r="I19" s="11" t="str">
        <f t="shared" si="5"/>
        <v>IFERROR((H19/G19),0)</v>
      </c>
      <c r="J19" s="10" t="str">
        <f t="shared" si="6"/>
        <v>(E19+H19)</v>
      </c>
      <c r="L19" s="37" t="str">
        <f>(MAPA_DATA!K44)</f>
        <v>EFACT_CNE</v>
      </c>
      <c r="M19" s="10" t="str">
        <f t="shared" si="7"/>
        <v>SUMIF(EFACT_CNE!B:B,ReliquidacionEFACT!B19,EFACT_CNE!S:S)</v>
      </c>
      <c r="N19" s="10" t="str">
        <f t="shared" si="8"/>
        <v>SUMIF(EFACT_CNE!B:B,ReliquidacionEFACT!B19,EFACT_CNE!T:T)</v>
      </c>
      <c r="O19" s="11" t="str">
        <f t="shared" si="9"/>
        <v>IFERROR((N19/M19),0)</v>
      </c>
      <c r="P19" s="12" t="str">
        <f t="shared" si="10"/>
        <v>SUMIF(EFACT_CNE!B:B,ReliquidacionEFACT!B19,EFACT_CNE!U:U)</v>
      </c>
      <c r="Q19" s="10" t="str">
        <f t="shared" si="11"/>
        <v>SUMIF(EFACT_CNE!B:B,ReliquidacionEFACT!B19,EFACT_CNE!V:V)</v>
      </c>
      <c r="R19" s="11" t="str">
        <f t="shared" si="12"/>
        <v>IFERROR((Q19/P19),0)</v>
      </c>
      <c r="S19" s="10" t="str">
        <f t="shared" si="13"/>
        <v>(N19+Q19)</v>
      </c>
      <c r="U19" s="49">
        <v>43647</v>
      </c>
      <c r="V19" s="25" t="str">
        <f t="shared" si="14"/>
        <v>(S19-J19)</v>
      </c>
      <c r="W19" s="50" t="s">
        <v>346</v>
      </c>
      <c r="X19" s="26">
        <v>44137</v>
      </c>
      <c r="Y19" s="27">
        <v>3.61E-2</v>
      </c>
      <c r="Z19" s="28">
        <v>43702</v>
      </c>
      <c r="AA19" s="28">
        <f t="shared" si="20"/>
        <v>44377</v>
      </c>
      <c r="AB19" s="29" t="str">
        <f t="shared" si="15"/>
        <v>(AA19-Z19)</v>
      </c>
      <c r="AC19" s="29" t="str">
        <f t="shared" si="16"/>
        <v>(1+Y19)^(AB19/360)-1</v>
      </c>
      <c r="AD19" s="50" t="str">
        <f t="shared" si="17"/>
        <v>(AC19*V19)</v>
      </c>
      <c r="AE19" s="29" t="str">
        <f t="shared" si="18"/>
        <v>(V19+AD19)</v>
      </c>
    </row>
    <row r="20" spans="1:31" x14ac:dyDescent="0.25">
      <c r="A20" s="39">
        <f t="shared" si="19"/>
        <v>20</v>
      </c>
      <c r="B20" s="36">
        <v>43678</v>
      </c>
      <c r="C20" s="50" t="s">
        <v>290</v>
      </c>
      <c r="D20" s="10" t="str">
        <f t="shared" si="0"/>
        <v>SUMIF(SIGGE_E!B:B,ReliquidacionEFACT!B20,SIGGE_E!S:S)</v>
      </c>
      <c r="E20" s="10" t="str">
        <f t="shared" si="1"/>
        <v>SUMIF(SIGGE_E!B:B,ReliquidacionEFACT!B20,SIGGE_E!T:T)</v>
      </c>
      <c r="F20" s="11" t="str">
        <f t="shared" si="2"/>
        <v>IFERROR((E20/D20),0)</v>
      </c>
      <c r="G20" s="12" t="str">
        <f t="shared" si="3"/>
        <v>SUMIF(SIGGE_P!B:B,ReliquidacionEFACT!B20,SIGGE_P!U:U)</v>
      </c>
      <c r="H20" s="10" t="str">
        <f t="shared" si="4"/>
        <v>SUMIF(SIGGE_P!B:B,ReliquidacionEFACT!B20,SIGGE_P!V:V)</v>
      </c>
      <c r="I20" s="11" t="str">
        <f t="shared" si="5"/>
        <v>IFERROR((H20/G20),0)</v>
      </c>
      <c r="J20" s="10" t="str">
        <f t="shared" si="6"/>
        <v>(E20+H20)</v>
      </c>
      <c r="L20" s="37" t="str">
        <f>(MAPA_DATA!K45)</f>
        <v>EFACT_CNE</v>
      </c>
      <c r="M20" s="10" t="str">
        <f t="shared" si="7"/>
        <v>SUMIF(EFACT_CNE!B:B,ReliquidacionEFACT!B20,EFACT_CNE!S:S)</v>
      </c>
      <c r="N20" s="10" t="str">
        <f t="shared" si="8"/>
        <v>SUMIF(EFACT_CNE!B:B,ReliquidacionEFACT!B20,EFACT_CNE!T:T)</v>
      </c>
      <c r="O20" s="11" t="str">
        <f t="shared" si="9"/>
        <v>IFERROR((N20/M20),0)</v>
      </c>
      <c r="P20" s="12" t="str">
        <f t="shared" si="10"/>
        <v>SUMIF(EFACT_CNE!B:B,ReliquidacionEFACT!B20,EFACT_CNE!U:U)</v>
      </c>
      <c r="Q20" s="10" t="str">
        <f t="shared" si="11"/>
        <v>SUMIF(EFACT_CNE!B:B,ReliquidacionEFACT!B20,EFACT_CNE!V:V)</v>
      </c>
      <c r="R20" s="11" t="str">
        <f t="shared" si="12"/>
        <v>IFERROR((Q20/P20),0)</v>
      </c>
      <c r="S20" s="10" t="str">
        <f t="shared" si="13"/>
        <v>(N20+Q20)</v>
      </c>
      <c r="U20" s="49">
        <v>43678</v>
      </c>
      <c r="V20" s="25" t="str">
        <f t="shared" si="14"/>
        <v>(S20-J20)</v>
      </c>
      <c r="W20" s="50" t="s">
        <v>346</v>
      </c>
      <c r="X20" s="26">
        <v>44137</v>
      </c>
      <c r="Y20" s="27">
        <v>3.61E-2</v>
      </c>
      <c r="Z20" s="28">
        <v>43733</v>
      </c>
      <c r="AA20" s="28">
        <f t="shared" si="20"/>
        <v>44377</v>
      </c>
      <c r="AB20" s="29" t="str">
        <f t="shared" si="15"/>
        <v>(AA20-Z20)</v>
      </c>
      <c r="AC20" s="29" t="str">
        <f t="shared" si="16"/>
        <v>(1+Y20)^(AB20/360)-1</v>
      </c>
      <c r="AD20" s="50" t="str">
        <f t="shared" si="17"/>
        <v>(AC20*V20)</v>
      </c>
      <c r="AE20" s="29" t="str">
        <f t="shared" si="18"/>
        <v>(V20+AD20)</v>
      </c>
    </row>
    <row r="21" spans="1:31" x14ac:dyDescent="0.25">
      <c r="A21" s="39">
        <f t="shared" si="19"/>
        <v>21</v>
      </c>
      <c r="B21" s="36">
        <v>43709</v>
      </c>
      <c r="C21" s="50" t="s">
        <v>290</v>
      </c>
      <c r="D21" s="10" t="str">
        <f t="shared" si="0"/>
        <v>SUMIF(SIGGE_E!B:B,ReliquidacionEFACT!B21,SIGGE_E!S:S)</v>
      </c>
      <c r="E21" s="10" t="str">
        <f t="shared" si="1"/>
        <v>SUMIF(SIGGE_E!B:B,ReliquidacionEFACT!B21,SIGGE_E!T:T)</v>
      </c>
      <c r="F21" s="11" t="str">
        <f t="shared" si="2"/>
        <v>IFERROR((E21/D21),0)</v>
      </c>
      <c r="G21" s="12" t="str">
        <f t="shared" si="3"/>
        <v>SUMIF(SIGGE_P!B:B,ReliquidacionEFACT!B21,SIGGE_P!U:U)</v>
      </c>
      <c r="H21" s="10" t="str">
        <f t="shared" si="4"/>
        <v>SUMIF(SIGGE_P!B:B,ReliquidacionEFACT!B21,SIGGE_P!V:V)</v>
      </c>
      <c r="I21" s="11" t="str">
        <f t="shared" si="5"/>
        <v>IFERROR((H21/G21),0)</v>
      </c>
      <c r="J21" s="10" t="str">
        <f t="shared" si="6"/>
        <v>(E21+H21)</v>
      </c>
      <c r="L21" s="37" t="str">
        <f>(MAPA_DATA!K46)</f>
        <v>EFACT_CNE</v>
      </c>
      <c r="M21" s="10" t="str">
        <f t="shared" si="7"/>
        <v>SUMIF(EFACT_CNE!B:B,ReliquidacionEFACT!B21,EFACT_CNE!S:S)</v>
      </c>
      <c r="N21" s="10" t="str">
        <f t="shared" si="8"/>
        <v>SUMIF(EFACT_CNE!B:B,ReliquidacionEFACT!B21,EFACT_CNE!T:T)</v>
      </c>
      <c r="O21" s="11" t="str">
        <f t="shared" si="9"/>
        <v>IFERROR((N21/M21),0)</v>
      </c>
      <c r="P21" s="12" t="str">
        <f t="shared" si="10"/>
        <v>SUMIF(EFACT_CNE!B:B,ReliquidacionEFACT!B21,EFACT_CNE!U:U)</v>
      </c>
      <c r="Q21" s="10" t="str">
        <f t="shared" si="11"/>
        <v>SUMIF(EFACT_CNE!B:B,ReliquidacionEFACT!B21,EFACT_CNE!V:V)</v>
      </c>
      <c r="R21" s="11" t="str">
        <f t="shared" si="12"/>
        <v>IFERROR((Q21/P21),0)</v>
      </c>
      <c r="S21" s="10" t="str">
        <f t="shared" si="13"/>
        <v>(N21+Q21)</v>
      </c>
      <c r="U21" s="49">
        <v>43709</v>
      </c>
      <c r="V21" s="25" t="str">
        <f t="shared" si="14"/>
        <v>(S21-J21)</v>
      </c>
      <c r="W21" s="50" t="s">
        <v>346</v>
      </c>
      <c r="X21" s="26">
        <v>44137</v>
      </c>
      <c r="Y21" s="27">
        <v>3.61E-2</v>
      </c>
      <c r="Z21" s="28">
        <v>43763</v>
      </c>
      <c r="AA21" s="28">
        <f t="shared" si="20"/>
        <v>44377</v>
      </c>
      <c r="AB21" s="29" t="str">
        <f t="shared" si="15"/>
        <v>(AA21-Z21)</v>
      </c>
      <c r="AC21" s="29" t="str">
        <f t="shared" si="16"/>
        <v>(1+Y21)^(AB21/360)-1</v>
      </c>
      <c r="AD21" s="50" t="str">
        <f t="shared" si="17"/>
        <v>(AC21*V21)</v>
      </c>
      <c r="AE21" s="29" t="str">
        <f t="shared" si="18"/>
        <v>(V21+AD21)</v>
      </c>
    </row>
    <row r="22" spans="1:31" x14ac:dyDescent="0.25">
      <c r="A22" s="39">
        <f t="shared" si="19"/>
        <v>22</v>
      </c>
      <c r="B22" s="36">
        <v>43739</v>
      </c>
      <c r="C22" s="50" t="s">
        <v>290</v>
      </c>
      <c r="D22" s="10" t="str">
        <f t="shared" si="0"/>
        <v>SUMIF(SIGGE_E!B:B,ReliquidacionEFACT!B22,SIGGE_E!S:S)</v>
      </c>
      <c r="E22" s="10" t="str">
        <f t="shared" si="1"/>
        <v>SUMIF(SIGGE_E!B:B,ReliquidacionEFACT!B22,SIGGE_E!T:T)</v>
      </c>
      <c r="F22" s="11" t="str">
        <f t="shared" si="2"/>
        <v>IFERROR((E22/D22),0)</v>
      </c>
      <c r="G22" s="12" t="str">
        <f t="shared" si="3"/>
        <v>SUMIF(SIGGE_P!B:B,ReliquidacionEFACT!B22,SIGGE_P!U:U)</v>
      </c>
      <c r="H22" s="10" t="str">
        <f t="shared" si="4"/>
        <v>SUMIF(SIGGE_P!B:B,ReliquidacionEFACT!B22,SIGGE_P!V:V)</v>
      </c>
      <c r="I22" s="11" t="str">
        <f t="shared" si="5"/>
        <v>IFERROR((H22/G22),0)</v>
      </c>
      <c r="J22" s="10" t="str">
        <f t="shared" si="6"/>
        <v>(E22+H22)</v>
      </c>
      <c r="L22" s="37" t="str">
        <f>(MAPA_DATA!K47)</f>
        <v>EFACT_CNE</v>
      </c>
      <c r="M22" s="10" t="str">
        <f t="shared" si="7"/>
        <v>SUMIF(EFACT_CNE!B:B,ReliquidacionEFACT!B22,EFACT_CNE!S:S)</v>
      </c>
      <c r="N22" s="10" t="str">
        <f t="shared" si="8"/>
        <v>SUMIF(EFACT_CNE!B:B,ReliquidacionEFACT!B22,EFACT_CNE!T:T)</v>
      </c>
      <c r="O22" s="11" t="str">
        <f t="shared" si="9"/>
        <v>IFERROR((N22/M22),0)</v>
      </c>
      <c r="P22" s="12" t="str">
        <f t="shared" si="10"/>
        <v>SUMIF(EFACT_CNE!B:B,ReliquidacionEFACT!B22,EFACT_CNE!U:U)</v>
      </c>
      <c r="Q22" s="10" t="str">
        <f t="shared" si="11"/>
        <v>SUMIF(EFACT_CNE!B:B,ReliquidacionEFACT!B22,EFACT_CNE!V:V)</v>
      </c>
      <c r="R22" s="11" t="str">
        <f t="shared" si="12"/>
        <v>IFERROR((Q22/P22),0)</v>
      </c>
      <c r="S22" s="10" t="str">
        <f t="shared" si="13"/>
        <v>(N22+Q22)</v>
      </c>
      <c r="U22" s="49">
        <v>43739</v>
      </c>
      <c r="V22" s="25" t="str">
        <f t="shared" si="14"/>
        <v>(S22-J22)</v>
      </c>
      <c r="W22" s="50" t="s">
        <v>346</v>
      </c>
      <c r="X22" s="26">
        <v>44137</v>
      </c>
      <c r="Y22" s="27">
        <v>3.61E-2</v>
      </c>
      <c r="Z22" s="28">
        <v>43794</v>
      </c>
      <c r="AA22" s="28">
        <f t="shared" si="20"/>
        <v>44377</v>
      </c>
      <c r="AB22" s="29" t="str">
        <f t="shared" si="15"/>
        <v>(AA22-Z22)</v>
      </c>
      <c r="AC22" s="29" t="str">
        <f t="shared" si="16"/>
        <v>(1+Y22)^(AB22/360)-1</v>
      </c>
      <c r="AD22" s="50" t="str">
        <f t="shared" si="17"/>
        <v>(AC22*V22)</v>
      </c>
      <c r="AE22" s="29" t="str">
        <f t="shared" si="18"/>
        <v>(V22+AD22)</v>
      </c>
    </row>
    <row r="23" spans="1:31" x14ac:dyDescent="0.25">
      <c r="A23" s="39">
        <f t="shared" si="19"/>
        <v>23</v>
      </c>
      <c r="B23" s="36">
        <v>43770</v>
      </c>
      <c r="C23" s="50" t="s">
        <v>290</v>
      </c>
      <c r="D23" s="10" t="str">
        <f t="shared" si="0"/>
        <v>SUMIF(SIGGE_E!B:B,ReliquidacionEFACT!B23,SIGGE_E!S:S)</v>
      </c>
      <c r="E23" s="10" t="str">
        <f t="shared" si="1"/>
        <v>SUMIF(SIGGE_E!B:B,ReliquidacionEFACT!B23,SIGGE_E!T:T)</v>
      </c>
      <c r="F23" s="11" t="str">
        <f t="shared" si="2"/>
        <v>IFERROR((E23/D23),0)</v>
      </c>
      <c r="G23" s="12" t="str">
        <f t="shared" si="3"/>
        <v>SUMIF(SIGGE_P!B:B,ReliquidacionEFACT!B23,SIGGE_P!U:U)</v>
      </c>
      <c r="H23" s="10" t="str">
        <f t="shared" si="4"/>
        <v>SUMIF(SIGGE_P!B:B,ReliquidacionEFACT!B23,SIGGE_P!V:V)</v>
      </c>
      <c r="I23" s="11" t="str">
        <f t="shared" si="5"/>
        <v>IFERROR((H23/G23),0)</v>
      </c>
      <c r="J23" s="10" t="str">
        <f t="shared" si="6"/>
        <v>(E23+H23)</v>
      </c>
      <c r="L23" s="37" t="str">
        <f>(MAPA_DATA!K48)</f>
        <v>EFACT_CNE</v>
      </c>
      <c r="M23" s="10" t="str">
        <f t="shared" si="7"/>
        <v>SUMIF(EFACT_CNE!B:B,ReliquidacionEFACT!B23,EFACT_CNE!S:S)</v>
      </c>
      <c r="N23" s="10" t="str">
        <f t="shared" si="8"/>
        <v>SUMIF(EFACT_CNE!B:B,ReliquidacionEFACT!B23,EFACT_CNE!T:T)</v>
      </c>
      <c r="O23" s="11" t="str">
        <f t="shared" si="9"/>
        <v>IFERROR((N23/M23),0)</v>
      </c>
      <c r="P23" s="12" t="str">
        <f t="shared" si="10"/>
        <v>SUMIF(EFACT_CNE!B:B,ReliquidacionEFACT!B23,EFACT_CNE!U:U)</v>
      </c>
      <c r="Q23" s="10" t="str">
        <f t="shared" si="11"/>
        <v>SUMIF(EFACT_CNE!B:B,ReliquidacionEFACT!B23,EFACT_CNE!V:V)</v>
      </c>
      <c r="R23" s="11" t="str">
        <f t="shared" si="12"/>
        <v>IFERROR((Q23/P23),0)</v>
      </c>
      <c r="S23" s="10" t="str">
        <f t="shared" si="13"/>
        <v>(N23+Q23)</v>
      </c>
      <c r="U23" s="49">
        <v>43770</v>
      </c>
      <c r="V23" s="25" t="str">
        <f t="shared" si="14"/>
        <v>(S23-J23)</v>
      </c>
      <c r="W23" s="50" t="s">
        <v>346</v>
      </c>
      <c r="X23" s="26">
        <v>44137</v>
      </c>
      <c r="Y23" s="27">
        <v>3.61E-2</v>
      </c>
      <c r="Z23" s="28">
        <v>43824</v>
      </c>
      <c r="AA23" s="28">
        <f t="shared" si="20"/>
        <v>44377</v>
      </c>
      <c r="AB23" s="29" t="str">
        <f t="shared" si="15"/>
        <v>(AA23-Z23)</v>
      </c>
      <c r="AC23" s="29" t="str">
        <f t="shared" si="16"/>
        <v>(1+Y23)^(AB23/360)-1</v>
      </c>
      <c r="AD23" s="50" t="str">
        <f t="shared" si="17"/>
        <v>(AC23*V23)</v>
      </c>
      <c r="AE23" s="29" t="str">
        <f t="shared" si="18"/>
        <v>(V23+AD23)</v>
      </c>
    </row>
    <row r="24" spans="1:31" x14ac:dyDescent="0.25">
      <c r="A24" s="39">
        <f t="shared" si="19"/>
        <v>24</v>
      </c>
      <c r="B24" s="36">
        <v>43800</v>
      </c>
      <c r="C24" s="50" t="s">
        <v>290</v>
      </c>
      <c r="D24" s="10" t="str">
        <f t="shared" si="0"/>
        <v>SUMIF(SIGGE_E!B:B,ReliquidacionEFACT!B24,SIGGE_E!S:S)</v>
      </c>
      <c r="E24" s="10" t="str">
        <f t="shared" si="1"/>
        <v>SUMIF(SIGGE_E!B:B,ReliquidacionEFACT!B24,SIGGE_E!T:T)</v>
      </c>
      <c r="F24" s="11" t="str">
        <f t="shared" si="2"/>
        <v>IFERROR((E24/D24),0)</v>
      </c>
      <c r="G24" s="12" t="str">
        <f t="shared" si="3"/>
        <v>SUMIF(SIGGE_P!B:B,ReliquidacionEFACT!B24,SIGGE_P!U:U)</v>
      </c>
      <c r="H24" s="10" t="str">
        <f t="shared" si="4"/>
        <v>SUMIF(SIGGE_P!B:B,ReliquidacionEFACT!B24,SIGGE_P!V:V)</v>
      </c>
      <c r="I24" s="11" t="str">
        <f t="shared" si="5"/>
        <v>IFERROR((H24/G24),0)</v>
      </c>
      <c r="J24" s="10" t="str">
        <f t="shared" si="6"/>
        <v>(E24+H24)</v>
      </c>
      <c r="L24" s="37" t="str">
        <f>(MAPA_DATA!K49)</f>
        <v>EFACT_CNE</v>
      </c>
      <c r="M24" s="10" t="str">
        <f t="shared" si="7"/>
        <v>SUMIF(EFACT_CNE!B:B,ReliquidacionEFACT!B24,EFACT_CNE!S:S)</v>
      </c>
      <c r="N24" s="10" t="str">
        <f t="shared" si="8"/>
        <v>SUMIF(EFACT_CNE!B:B,ReliquidacionEFACT!B24,EFACT_CNE!T:T)</v>
      </c>
      <c r="O24" s="11" t="str">
        <f t="shared" si="9"/>
        <v>IFERROR((N24/M24),0)</v>
      </c>
      <c r="P24" s="12" t="str">
        <f t="shared" si="10"/>
        <v>SUMIF(EFACT_CNE!B:B,ReliquidacionEFACT!B24,EFACT_CNE!U:U)</v>
      </c>
      <c r="Q24" s="10" t="str">
        <f t="shared" si="11"/>
        <v>SUMIF(EFACT_CNE!B:B,ReliquidacionEFACT!B24,EFACT_CNE!V:V)</v>
      </c>
      <c r="R24" s="11" t="str">
        <f t="shared" si="12"/>
        <v>IFERROR((Q24/P24),0)</v>
      </c>
      <c r="S24" s="10" t="str">
        <f t="shared" si="13"/>
        <v>(N24+Q24)</v>
      </c>
      <c r="U24" s="49">
        <v>43800</v>
      </c>
      <c r="V24" s="25" t="str">
        <f t="shared" si="14"/>
        <v>(S24-J24)</v>
      </c>
      <c r="W24" s="50" t="s">
        <v>346</v>
      </c>
      <c r="X24" s="26">
        <v>44137</v>
      </c>
      <c r="Y24" s="27">
        <v>3.61E-2</v>
      </c>
      <c r="Z24" s="28">
        <v>43855</v>
      </c>
      <c r="AA24" s="28">
        <f t="shared" si="20"/>
        <v>44377</v>
      </c>
      <c r="AB24" s="29" t="str">
        <f t="shared" si="15"/>
        <v>(AA24-Z24)</v>
      </c>
      <c r="AC24" s="29" t="str">
        <f t="shared" si="16"/>
        <v>(1+Y24)^(AB24/360)-1</v>
      </c>
      <c r="AD24" s="50" t="str">
        <f t="shared" si="17"/>
        <v>(AC24*V24)</v>
      </c>
      <c r="AE24" s="29" t="str">
        <f t="shared" si="18"/>
        <v>(V24+AD24)</v>
      </c>
    </row>
    <row r="25" spans="1:31" x14ac:dyDescent="0.25">
      <c r="A25" s="39">
        <f t="shared" si="19"/>
        <v>25</v>
      </c>
      <c r="B25" s="36">
        <v>43831</v>
      </c>
      <c r="C25" s="50" t="s">
        <v>290</v>
      </c>
      <c r="D25" s="10" t="str">
        <f t="shared" si="0"/>
        <v>SUMIF(SIGGE_E!B:B,ReliquidacionEFACT!B25,SIGGE_E!S:S)</v>
      </c>
      <c r="E25" s="10" t="str">
        <f t="shared" si="1"/>
        <v>SUMIF(SIGGE_E!B:B,ReliquidacionEFACT!B25,SIGGE_E!T:T)</v>
      </c>
      <c r="F25" s="11" t="str">
        <f t="shared" si="2"/>
        <v>IFERROR((E25/D25),0)</v>
      </c>
      <c r="G25" s="12" t="str">
        <f t="shared" si="3"/>
        <v>SUMIF(SIGGE_P!B:B,ReliquidacionEFACT!B25,SIGGE_P!U:U)</v>
      </c>
      <c r="H25" s="10" t="str">
        <f t="shared" si="4"/>
        <v>SUMIF(SIGGE_P!B:B,ReliquidacionEFACT!B25,SIGGE_P!V:V)</v>
      </c>
      <c r="I25" s="11" t="str">
        <f t="shared" si="5"/>
        <v>IFERROR((H25/G25),0)</v>
      </c>
      <c r="J25" s="10" t="str">
        <f t="shared" si="6"/>
        <v>(E25+H25)</v>
      </c>
      <c r="L25" s="37" t="str">
        <f>(MAPA_DATA!K50)</f>
        <v>EFACT_CNE</v>
      </c>
      <c r="M25" s="10" t="str">
        <f t="shared" si="7"/>
        <v>SUMIF(EFACT_CNE!B:B,ReliquidacionEFACT!B25,EFACT_CNE!S:S)</v>
      </c>
      <c r="N25" s="10" t="str">
        <f t="shared" si="8"/>
        <v>SUMIF(EFACT_CNE!B:B,ReliquidacionEFACT!B25,EFACT_CNE!T:T)</v>
      </c>
      <c r="O25" s="11" t="str">
        <f t="shared" si="9"/>
        <v>IFERROR((N25/M25),0)</v>
      </c>
      <c r="P25" s="12" t="str">
        <f t="shared" si="10"/>
        <v>SUMIF(EFACT_CNE!B:B,ReliquidacionEFACT!B25,EFACT_CNE!U:U)</v>
      </c>
      <c r="Q25" s="10" t="str">
        <f t="shared" si="11"/>
        <v>SUMIF(EFACT_CNE!B:B,ReliquidacionEFACT!B25,EFACT_CNE!V:V)</v>
      </c>
      <c r="R25" s="11" t="str">
        <f t="shared" si="12"/>
        <v>IFERROR((Q25/P25),0)</v>
      </c>
      <c r="S25" s="10" t="str">
        <f t="shared" si="13"/>
        <v>(N25+Q25)</v>
      </c>
      <c r="U25" s="49">
        <v>43831</v>
      </c>
      <c r="V25" s="25" t="str">
        <f t="shared" si="14"/>
        <v>(S25-J25)</v>
      </c>
      <c r="W25" s="50" t="s">
        <v>347</v>
      </c>
      <c r="X25" s="26">
        <v>44275</v>
      </c>
      <c r="Y25" s="27">
        <v>3.9100000000000003E-2</v>
      </c>
      <c r="Z25" s="28">
        <v>43886</v>
      </c>
      <c r="AA25" s="28">
        <f t="shared" si="20"/>
        <v>44377</v>
      </c>
      <c r="AB25" s="29" t="str">
        <f t="shared" si="15"/>
        <v>(AA25-Z25)</v>
      </c>
      <c r="AC25" s="29" t="str">
        <f t="shared" si="16"/>
        <v>(1+Y25)^(AB25/360)-1</v>
      </c>
      <c r="AD25" s="50" t="str">
        <f t="shared" si="17"/>
        <v>(AC25*V25)</v>
      </c>
      <c r="AE25" s="29" t="str">
        <f t="shared" si="18"/>
        <v>(V25+AD25)</v>
      </c>
    </row>
    <row r="26" spans="1:31" x14ac:dyDescent="0.25">
      <c r="A26" s="39">
        <f t="shared" si="19"/>
        <v>26</v>
      </c>
      <c r="B26" s="36">
        <v>43862</v>
      </c>
      <c r="C26" s="50" t="s">
        <v>290</v>
      </c>
      <c r="D26" s="10" t="str">
        <f t="shared" si="0"/>
        <v>SUMIF(SIGGE_E!B:B,ReliquidacionEFACT!B26,SIGGE_E!S:S)</v>
      </c>
      <c r="E26" s="10" t="str">
        <f t="shared" si="1"/>
        <v>SUMIF(SIGGE_E!B:B,ReliquidacionEFACT!B26,SIGGE_E!T:T)</v>
      </c>
      <c r="F26" s="11" t="str">
        <f t="shared" si="2"/>
        <v>IFERROR((E26/D26),0)</v>
      </c>
      <c r="G26" s="12" t="str">
        <f t="shared" si="3"/>
        <v>SUMIF(SIGGE_P!B:B,ReliquidacionEFACT!B26,SIGGE_P!U:U)</v>
      </c>
      <c r="H26" s="10" t="str">
        <f t="shared" si="4"/>
        <v>SUMIF(SIGGE_P!B:B,ReliquidacionEFACT!B26,SIGGE_P!V:V)</v>
      </c>
      <c r="I26" s="11" t="str">
        <f t="shared" si="5"/>
        <v>IFERROR((H26/G26),0)</v>
      </c>
      <c r="J26" s="10" t="str">
        <f t="shared" si="6"/>
        <v>(E26+H26)</v>
      </c>
      <c r="L26" s="37" t="str">
        <f>(MAPA_DATA!K51)</f>
        <v>EFACT_CNE</v>
      </c>
      <c r="M26" s="10" t="str">
        <f t="shared" si="7"/>
        <v>SUMIF(EFACT_CNE!B:B,ReliquidacionEFACT!B26,EFACT_CNE!S:S)</v>
      </c>
      <c r="N26" s="10" t="str">
        <f t="shared" si="8"/>
        <v>SUMIF(EFACT_CNE!B:B,ReliquidacionEFACT!B26,EFACT_CNE!T:T)</v>
      </c>
      <c r="O26" s="11" t="str">
        <f t="shared" si="9"/>
        <v>IFERROR((N26/M26),0)</v>
      </c>
      <c r="P26" s="12" t="str">
        <f t="shared" si="10"/>
        <v>SUMIF(EFACT_CNE!B:B,ReliquidacionEFACT!B26,EFACT_CNE!U:U)</v>
      </c>
      <c r="Q26" s="10" t="str">
        <f t="shared" si="11"/>
        <v>SUMIF(EFACT_CNE!B:B,ReliquidacionEFACT!B26,EFACT_CNE!V:V)</v>
      </c>
      <c r="R26" s="11" t="str">
        <f t="shared" si="12"/>
        <v>IFERROR((Q26/P26),0)</v>
      </c>
      <c r="S26" s="10" t="str">
        <f t="shared" si="13"/>
        <v>(N26+Q26)</v>
      </c>
      <c r="U26" s="49">
        <v>43862</v>
      </c>
      <c r="V26" s="25" t="str">
        <f t="shared" si="14"/>
        <v>(S26-J26)</v>
      </c>
      <c r="W26" s="50" t="s">
        <v>347</v>
      </c>
      <c r="X26" s="26">
        <v>44275</v>
      </c>
      <c r="Y26" s="27">
        <v>3.9100000000000003E-2</v>
      </c>
      <c r="Z26" s="28">
        <v>43915</v>
      </c>
      <c r="AA26" s="28">
        <f t="shared" si="20"/>
        <v>44377</v>
      </c>
      <c r="AB26" s="29" t="str">
        <f t="shared" si="15"/>
        <v>(AA26-Z26)</v>
      </c>
      <c r="AC26" s="29" t="str">
        <f t="shared" si="16"/>
        <v>(1+Y26)^(AB26/360)-1</v>
      </c>
      <c r="AD26" s="50" t="str">
        <f t="shared" si="17"/>
        <v>(AC26*V26)</v>
      </c>
      <c r="AE26" s="29" t="str">
        <f t="shared" si="18"/>
        <v>(V26+AD26)</v>
      </c>
    </row>
    <row r="27" spans="1:31" x14ac:dyDescent="0.25">
      <c r="A27" s="39">
        <f t="shared" si="19"/>
        <v>27</v>
      </c>
      <c r="B27" s="36">
        <v>43891</v>
      </c>
      <c r="C27" s="50" t="s">
        <v>290</v>
      </c>
      <c r="D27" s="10" t="str">
        <f t="shared" si="0"/>
        <v>SUMIF(SIGGE_E!B:B,ReliquidacionEFACT!B27,SIGGE_E!S:S)</v>
      </c>
      <c r="E27" s="10" t="str">
        <f t="shared" si="1"/>
        <v>SUMIF(SIGGE_E!B:B,ReliquidacionEFACT!B27,SIGGE_E!T:T)</v>
      </c>
      <c r="F27" s="11" t="str">
        <f t="shared" si="2"/>
        <v>IFERROR((E27/D27),0)</v>
      </c>
      <c r="G27" s="12" t="str">
        <f t="shared" si="3"/>
        <v>SUMIF(SIGGE_P!B:B,ReliquidacionEFACT!B27,SIGGE_P!U:U)</v>
      </c>
      <c r="H27" s="10" t="str">
        <f t="shared" si="4"/>
        <v>SUMIF(SIGGE_P!B:B,ReliquidacionEFACT!B27,SIGGE_P!V:V)</v>
      </c>
      <c r="I27" s="11" t="str">
        <f t="shared" si="5"/>
        <v>IFERROR((H27/G27),0)</v>
      </c>
      <c r="J27" s="10" t="str">
        <f t="shared" si="6"/>
        <v>(E27+H27)</v>
      </c>
      <c r="L27" s="37" t="str">
        <f>(MAPA_DATA!K52)</f>
        <v>EFACT_CNE</v>
      </c>
      <c r="M27" s="10" t="str">
        <f t="shared" si="7"/>
        <v>SUMIF(EFACT_CNE!B:B,ReliquidacionEFACT!B27,EFACT_CNE!S:S)</v>
      </c>
      <c r="N27" s="10" t="str">
        <f t="shared" si="8"/>
        <v>SUMIF(EFACT_CNE!B:B,ReliquidacionEFACT!B27,EFACT_CNE!T:T)</v>
      </c>
      <c r="O27" s="11" t="str">
        <f t="shared" si="9"/>
        <v>IFERROR((N27/M27),0)</v>
      </c>
      <c r="P27" s="12" t="str">
        <f t="shared" si="10"/>
        <v>SUMIF(EFACT_CNE!B:B,ReliquidacionEFACT!B27,EFACT_CNE!U:U)</v>
      </c>
      <c r="Q27" s="10" t="str">
        <f t="shared" si="11"/>
        <v>SUMIF(EFACT_CNE!B:B,ReliquidacionEFACT!B27,EFACT_CNE!V:V)</v>
      </c>
      <c r="R27" s="11" t="str">
        <f t="shared" si="12"/>
        <v>IFERROR((Q27/P27),0)</v>
      </c>
      <c r="S27" s="10" t="str">
        <f t="shared" si="13"/>
        <v>(N27+Q27)</v>
      </c>
      <c r="U27" s="49">
        <v>43891</v>
      </c>
      <c r="V27" s="25" t="str">
        <f t="shared" si="14"/>
        <v>(S27-J27)</v>
      </c>
      <c r="W27" s="50" t="s">
        <v>347</v>
      </c>
      <c r="X27" s="26">
        <v>44275</v>
      </c>
      <c r="Y27" s="27">
        <v>3.9100000000000003E-2</v>
      </c>
      <c r="Z27" s="28">
        <v>43946</v>
      </c>
      <c r="AA27" s="28">
        <f t="shared" si="20"/>
        <v>44377</v>
      </c>
      <c r="AB27" s="29" t="str">
        <f t="shared" si="15"/>
        <v>(AA27-Z27)</v>
      </c>
      <c r="AC27" s="29" t="str">
        <f t="shared" si="16"/>
        <v>(1+Y27)^(AB27/360)-1</v>
      </c>
      <c r="AD27" s="50" t="str">
        <f t="shared" si="17"/>
        <v>(AC27*V27)</v>
      </c>
      <c r="AE27" s="29" t="str">
        <f t="shared" si="18"/>
        <v>(V27+AD27)</v>
      </c>
    </row>
    <row r="28" spans="1:31" x14ac:dyDescent="0.25">
      <c r="A28" s="39">
        <f t="shared" si="19"/>
        <v>28</v>
      </c>
      <c r="B28" s="36">
        <v>43922</v>
      </c>
      <c r="C28" s="50" t="s">
        <v>290</v>
      </c>
      <c r="D28" s="10" t="str">
        <f t="shared" si="0"/>
        <v>SUMIF(SIGGE_E!B:B,ReliquidacionEFACT!B28,SIGGE_E!S:S)</v>
      </c>
      <c r="E28" s="10" t="str">
        <f t="shared" si="1"/>
        <v>SUMIF(SIGGE_E!B:B,ReliquidacionEFACT!B28,SIGGE_E!T:T)</v>
      </c>
      <c r="F28" s="11" t="str">
        <f t="shared" si="2"/>
        <v>IFERROR((E28/D28),0)</v>
      </c>
      <c r="G28" s="12" t="str">
        <f t="shared" si="3"/>
        <v>SUMIF(SIGGE_P!B:B,ReliquidacionEFACT!B28,SIGGE_P!U:U)</v>
      </c>
      <c r="H28" s="10" t="str">
        <f t="shared" si="4"/>
        <v>SUMIF(SIGGE_P!B:B,ReliquidacionEFACT!B28,SIGGE_P!V:V)</v>
      </c>
      <c r="I28" s="11" t="str">
        <f t="shared" si="5"/>
        <v>IFERROR((H28/G28),0)</v>
      </c>
      <c r="J28" s="10" t="str">
        <f t="shared" si="6"/>
        <v>(E28+H28)</v>
      </c>
      <c r="L28" s="37" t="str">
        <f>(MAPA_DATA!K53)</f>
        <v>EFACT_CNE</v>
      </c>
      <c r="M28" s="10" t="str">
        <f t="shared" si="7"/>
        <v>SUMIF(EFACT_CNE!B:B,ReliquidacionEFACT!B28,EFACT_CNE!S:S)</v>
      </c>
      <c r="N28" s="10" t="str">
        <f t="shared" si="8"/>
        <v>SUMIF(EFACT_CNE!B:B,ReliquidacionEFACT!B28,EFACT_CNE!T:T)</v>
      </c>
      <c r="O28" s="11" t="str">
        <f t="shared" si="9"/>
        <v>IFERROR((N28/M28),0)</v>
      </c>
      <c r="P28" s="12" t="str">
        <f t="shared" si="10"/>
        <v>SUMIF(EFACT_CNE!B:B,ReliquidacionEFACT!B28,EFACT_CNE!U:U)</v>
      </c>
      <c r="Q28" s="10" t="str">
        <f t="shared" si="11"/>
        <v>SUMIF(EFACT_CNE!B:B,ReliquidacionEFACT!B28,EFACT_CNE!V:V)</v>
      </c>
      <c r="R28" s="11" t="str">
        <f t="shared" si="12"/>
        <v>IFERROR((Q28/P28),0)</v>
      </c>
      <c r="S28" s="10" t="str">
        <f t="shared" si="13"/>
        <v>(N28+Q28)</v>
      </c>
      <c r="U28" s="49">
        <v>43922</v>
      </c>
      <c r="V28" s="25" t="str">
        <f t="shared" si="14"/>
        <v>(S28-J28)</v>
      </c>
      <c r="W28" s="50" t="s">
        <v>347</v>
      </c>
      <c r="X28" s="26">
        <v>44275</v>
      </c>
      <c r="Y28" s="27">
        <v>3.9100000000000003E-2</v>
      </c>
      <c r="Z28" s="28">
        <v>43976</v>
      </c>
      <c r="AA28" s="28">
        <f t="shared" si="20"/>
        <v>44377</v>
      </c>
      <c r="AB28" s="29" t="str">
        <f t="shared" si="15"/>
        <v>(AA28-Z28)</v>
      </c>
      <c r="AC28" s="29" t="str">
        <f t="shared" si="16"/>
        <v>(1+Y28)^(AB28/360)-1</v>
      </c>
      <c r="AD28" s="50" t="str">
        <f t="shared" si="17"/>
        <v>(AC28*V28)</v>
      </c>
      <c r="AE28" s="29" t="str">
        <f t="shared" si="18"/>
        <v>(V28+AD28)</v>
      </c>
    </row>
    <row r="29" spans="1:31" x14ac:dyDescent="0.25">
      <c r="A29" s="39">
        <f t="shared" si="19"/>
        <v>29</v>
      </c>
      <c r="B29" s="36">
        <v>43952</v>
      </c>
      <c r="C29" s="50" t="s">
        <v>290</v>
      </c>
      <c r="D29" s="10" t="str">
        <f t="shared" si="0"/>
        <v>SUMIF(SIGGE_E!B:B,ReliquidacionEFACT!B29,SIGGE_E!S:S)</v>
      </c>
      <c r="E29" s="10" t="str">
        <f t="shared" si="1"/>
        <v>SUMIF(SIGGE_E!B:B,ReliquidacionEFACT!B29,SIGGE_E!T:T)</v>
      </c>
      <c r="F29" s="11" t="str">
        <f t="shared" si="2"/>
        <v>IFERROR((E29/D29),0)</v>
      </c>
      <c r="G29" s="12" t="str">
        <f t="shared" si="3"/>
        <v>SUMIF(SIGGE_P!B:B,ReliquidacionEFACT!B29,SIGGE_P!U:U)</v>
      </c>
      <c r="H29" s="10" t="str">
        <f t="shared" si="4"/>
        <v>SUMIF(SIGGE_P!B:B,ReliquidacionEFACT!B29,SIGGE_P!V:V)</v>
      </c>
      <c r="I29" s="11" t="str">
        <f t="shared" si="5"/>
        <v>IFERROR((H29/G29),0)</v>
      </c>
      <c r="J29" s="10" t="str">
        <f t="shared" si="6"/>
        <v>(E29+H29)</v>
      </c>
      <c r="L29" s="37" t="str">
        <f>(MAPA_DATA!K54)</f>
        <v>EFACT_CNE</v>
      </c>
      <c r="M29" s="10" t="str">
        <f t="shared" si="7"/>
        <v>SUMIF(EFACT_CNE!B:B,ReliquidacionEFACT!B29,EFACT_CNE!S:S)</v>
      </c>
      <c r="N29" s="10" t="str">
        <f t="shared" si="8"/>
        <v>SUMIF(EFACT_CNE!B:B,ReliquidacionEFACT!B29,EFACT_CNE!T:T)</v>
      </c>
      <c r="O29" s="11" t="str">
        <f t="shared" si="9"/>
        <v>IFERROR((N29/M29),0)</v>
      </c>
      <c r="P29" s="12" t="str">
        <f t="shared" si="10"/>
        <v>SUMIF(EFACT_CNE!B:B,ReliquidacionEFACT!B29,EFACT_CNE!U:U)</v>
      </c>
      <c r="Q29" s="10" t="str">
        <f t="shared" si="11"/>
        <v>SUMIF(EFACT_CNE!B:B,ReliquidacionEFACT!B29,EFACT_CNE!V:V)</v>
      </c>
      <c r="R29" s="11" t="str">
        <f t="shared" si="12"/>
        <v>IFERROR((Q29/P29),0)</v>
      </c>
      <c r="S29" s="10" t="str">
        <f t="shared" si="13"/>
        <v>(N29+Q29)</v>
      </c>
      <c r="U29" s="49">
        <v>43952</v>
      </c>
      <c r="V29" s="25" t="str">
        <f t="shared" si="14"/>
        <v>(S29-J29)</v>
      </c>
      <c r="W29" s="50" t="s">
        <v>347</v>
      </c>
      <c r="X29" s="26">
        <v>44275</v>
      </c>
      <c r="Y29" s="27">
        <v>3.9100000000000003E-2</v>
      </c>
      <c r="Z29" s="28">
        <v>44007</v>
      </c>
      <c r="AA29" s="28">
        <f t="shared" si="20"/>
        <v>44377</v>
      </c>
      <c r="AB29" s="29" t="str">
        <f t="shared" si="15"/>
        <v>(AA29-Z29)</v>
      </c>
      <c r="AC29" s="29" t="str">
        <f t="shared" si="16"/>
        <v>(1+Y29)^(AB29/360)-1</v>
      </c>
      <c r="AD29" s="50" t="str">
        <f t="shared" si="17"/>
        <v>(AC29*V29)</v>
      </c>
      <c r="AE29" s="29" t="str">
        <f t="shared" si="18"/>
        <v>(V29+AD29)</v>
      </c>
    </row>
    <row r="30" spans="1:31" x14ac:dyDescent="0.25">
      <c r="A30" s="39">
        <f t="shared" si="19"/>
        <v>30</v>
      </c>
      <c r="B30" s="36">
        <v>43983</v>
      </c>
      <c r="C30" s="50" t="s">
        <v>290</v>
      </c>
      <c r="D30" s="10" t="str">
        <f t="shared" si="0"/>
        <v>SUMIF(SIGGE_E!B:B,ReliquidacionEFACT!B30,SIGGE_E!S:S)</v>
      </c>
      <c r="E30" s="10" t="str">
        <f t="shared" si="1"/>
        <v>SUMIF(SIGGE_E!B:B,ReliquidacionEFACT!B30,SIGGE_E!T:T)</v>
      </c>
      <c r="F30" s="11" t="str">
        <f t="shared" si="2"/>
        <v>IFERROR((E30/D30),0)</v>
      </c>
      <c r="G30" s="12" t="str">
        <f t="shared" si="3"/>
        <v>SUMIF(SIGGE_P!B:B,ReliquidacionEFACT!B30,SIGGE_P!U:U)</v>
      </c>
      <c r="H30" s="10" t="str">
        <f t="shared" si="4"/>
        <v>SUMIF(SIGGE_P!B:B,ReliquidacionEFACT!B30,SIGGE_P!V:V)</v>
      </c>
      <c r="I30" s="11" t="str">
        <f t="shared" si="5"/>
        <v>IFERROR((H30/G30),0)</v>
      </c>
      <c r="J30" s="10" t="str">
        <f t="shared" si="6"/>
        <v>(E30+H30)</v>
      </c>
      <c r="L30" s="37" t="str">
        <f>(MAPA_DATA!K55)</f>
        <v>EFACT_CNE</v>
      </c>
      <c r="M30" s="10" t="str">
        <f t="shared" si="7"/>
        <v>SUMIF(EFACT_CNE!B:B,ReliquidacionEFACT!B30,EFACT_CNE!S:S)</v>
      </c>
      <c r="N30" s="10" t="str">
        <f t="shared" si="8"/>
        <v>SUMIF(EFACT_CNE!B:B,ReliquidacionEFACT!B30,EFACT_CNE!T:T)</v>
      </c>
      <c r="O30" s="11" t="str">
        <f t="shared" si="9"/>
        <v>IFERROR((N30/M30),0)</v>
      </c>
      <c r="P30" s="12" t="str">
        <f t="shared" si="10"/>
        <v>SUMIF(EFACT_CNE!B:B,ReliquidacionEFACT!B30,EFACT_CNE!U:U)</v>
      </c>
      <c r="Q30" s="10" t="str">
        <f t="shared" si="11"/>
        <v>SUMIF(EFACT_CNE!B:B,ReliquidacionEFACT!B30,EFACT_CNE!V:V)</v>
      </c>
      <c r="R30" s="11" t="str">
        <f t="shared" si="12"/>
        <v>IFERROR((Q30/P30),0)</v>
      </c>
      <c r="S30" s="10" t="str">
        <f t="shared" si="13"/>
        <v>(N30+Q30)</v>
      </c>
      <c r="U30" s="49">
        <v>43983</v>
      </c>
      <c r="V30" s="25" t="str">
        <f t="shared" si="14"/>
        <v>(S30-J30)</v>
      </c>
      <c r="W30" s="50" t="s">
        <v>347</v>
      </c>
      <c r="X30" s="26">
        <v>44275</v>
      </c>
      <c r="Y30" s="27">
        <v>3.9100000000000003E-2</v>
      </c>
      <c r="Z30" s="28">
        <v>44037</v>
      </c>
      <c r="AA30" s="28">
        <f t="shared" si="20"/>
        <v>44377</v>
      </c>
      <c r="AB30" s="29" t="str">
        <f t="shared" si="15"/>
        <v>(AA30-Z30)</v>
      </c>
      <c r="AC30" s="29" t="str">
        <f t="shared" si="16"/>
        <v>(1+Y30)^(AB30/360)-1</v>
      </c>
      <c r="AD30" s="50" t="str">
        <f t="shared" si="17"/>
        <v>(AC30*V30)</v>
      </c>
      <c r="AE30" s="29" t="str">
        <f t="shared" si="18"/>
        <v>(V30+AD30)</v>
      </c>
    </row>
    <row r="31" spans="1:31" x14ac:dyDescent="0.25">
      <c r="A31" s="39">
        <f t="shared" si="19"/>
        <v>31</v>
      </c>
      <c r="B31" s="36">
        <v>44013</v>
      </c>
      <c r="C31" s="50" t="s">
        <v>290</v>
      </c>
      <c r="D31" s="10" t="str">
        <f t="shared" si="0"/>
        <v>SUMIF(SIGGE_E!B:B,ReliquidacionEFACT!B31,SIGGE_E!S:S)</v>
      </c>
      <c r="E31" s="10" t="str">
        <f t="shared" si="1"/>
        <v>SUMIF(SIGGE_E!B:B,ReliquidacionEFACT!B31,SIGGE_E!T:T)</v>
      </c>
      <c r="F31" s="11" t="str">
        <f t="shared" si="2"/>
        <v>IFERROR((E31/D31),0)</v>
      </c>
      <c r="G31" s="12" t="str">
        <f t="shared" si="3"/>
        <v>SUMIF(SIGGE_P!B:B,ReliquidacionEFACT!B31,SIGGE_P!U:U)</v>
      </c>
      <c r="H31" s="10" t="str">
        <f t="shared" si="4"/>
        <v>SUMIF(SIGGE_P!B:B,ReliquidacionEFACT!B31,SIGGE_P!V:V)</v>
      </c>
      <c r="I31" s="11" t="str">
        <f t="shared" si="5"/>
        <v>IFERROR((H31/G31),0)</v>
      </c>
      <c r="J31" s="10" t="str">
        <f t="shared" si="6"/>
        <v>(E31+H31)</v>
      </c>
      <c r="L31" s="37" t="str">
        <f>(MAPA_DATA!K56)</f>
        <v>EFACT_CNE</v>
      </c>
      <c r="M31" s="10" t="str">
        <f t="shared" si="7"/>
        <v>SUMIF(EFACT_CNE!B:B,ReliquidacionEFACT!B31,EFACT_CNE!S:S)</v>
      </c>
      <c r="N31" s="10" t="str">
        <f t="shared" si="8"/>
        <v>SUMIF(EFACT_CNE!B:B,ReliquidacionEFACT!B31,EFACT_CNE!T:T)</v>
      </c>
      <c r="O31" s="11" t="str">
        <f t="shared" si="9"/>
        <v>IFERROR((N31/M31),0)</v>
      </c>
      <c r="P31" s="12" t="str">
        <f t="shared" si="10"/>
        <v>SUMIF(EFACT_CNE!B:B,ReliquidacionEFACT!B31,EFACT_CNE!U:U)</v>
      </c>
      <c r="Q31" s="10" t="str">
        <f t="shared" si="11"/>
        <v>SUMIF(EFACT_CNE!B:B,ReliquidacionEFACT!B31,EFACT_CNE!V:V)</v>
      </c>
      <c r="R31" s="11" t="str">
        <f t="shared" si="12"/>
        <v>IFERROR((Q31/P31),0)</v>
      </c>
      <c r="S31" s="10" t="str">
        <f t="shared" si="13"/>
        <v>(N31+Q31)</v>
      </c>
      <c r="U31" s="49">
        <v>44013</v>
      </c>
      <c r="V31" s="25" t="str">
        <f t="shared" si="14"/>
        <v>(S31-J31)</v>
      </c>
      <c r="W31" s="50" t="s">
        <v>348</v>
      </c>
      <c r="X31" s="26">
        <v>44336</v>
      </c>
      <c r="Y31" s="27">
        <v>3.2800000000000003E-2</v>
      </c>
      <c r="Z31" s="28">
        <v>44068</v>
      </c>
      <c r="AA31" s="28">
        <f t="shared" si="20"/>
        <v>44377</v>
      </c>
      <c r="AB31" s="29" t="str">
        <f t="shared" si="15"/>
        <v>(AA31-Z31)</v>
      </c>
      <c r="AC31" s="29" t="str">
        <f t="shared" si="16"/>
        <v>(1+Y31)^(AB31/360)-1</v>
      </c>
      <c r="AD31" s="50" t="str">
        <f t="shared" si="17"/>
        <v>(AC31*V31)</v>
      </c>
      <c r="AE31" s="29" t="str">
        <f t="shared" si="18"/>
        <v>(V31+AD31)</v>
      </c>
    </row>
    <row r="32" spans="1:31" x14ac:dyDescent="0.25">
      <c r="A32" s="39">
        <f t="shared" si="19"/>
        <v>32</v>
      </c>
      <c r="B32" s="36">
        <v>44044</v>
      </c>
      <c r="C32" s="50" t="s">
        <v>290</v>
      </c>
      <c r="D32" s="10" t="str">
        <f t="shared" si="0"/>
        <v>SUMIF(SIGGE_E!B:B,ReliquidacionEFACT!B32,SIGGE_E!S:S)</v>
      </c>
      <c r="E32" s="10" t="str">
        <f t="shared" si="1"/>
        <v>SUMIF(SIGGE_E!B:B,ReliquidacionEFACT!B32,SIGGE_E!T:T)</v>
      </c>
      <c r="F32" s="11" t="str">
        <f t="shared" si="2"/>
        <v>IFERROR((E32/D32),0)</v>
      </c>
      <c r="G32" s="12" t="str">
        <f t="shared" si="3"/>
        <v>SUMIF(SIGGE_P!B:B,ReliquidacionEFACT!B32,SIGGE_P!U:U)</v>
      </c>
      <c r="H32" s="10" t="str">
        <f t="shared" si="4"/>
        <v>SUMIF(SIGGE_P!B:B,ReliquidacionEFACT!B32,SIGGE_P!V:V)</v>
      </c>
      <c r="I32" s="11" t="str">
        <f t="shared" si="5"/>
        <v>IFERROR((H32/G32),0)</v>
      </c>
      <c r="J32" s="10" t="str">
        <f t="shared" si="6"/>
        <v>(E32+H32)</v>
      </c>
      <c r="L32" s="37" t="str">
        <f>(MAPA_DATA!K57)</f>
        <v>EFACT_CNE</v>
      </c>
      <c r="M32" s="10" t="str">
        <f t="shared" si="7"/>
        <v>SUMIF(EFACT_CNE!B:B,ReliquidacionEFACT!B32,EFACT_CNE!S:S)</v>
      </c>
      <c r="N32" s="10" t="str">
        <f t="shared" si="8"/>
        <v>SUMIF(EFACT_CNE!B:B,ReliquidacionEFACT!B32,EFACT_CNE!T:T)</v>
      </c>
      <c r="O32" s="11" t="str">
        <f t="shared" si="9"/>
        <v>IFERROR((N32/M32),0)</v>
      </c>
      <c r="P32" s="12" t="str">
        <f t="shared" si="10"/>
        <v>SUMIF(EFACT_CNE!B:B,ReliquidacionEFACT!B32,EFACT_CNE!U:U)</v>
      </c>
      <c r="Q32" s="10" t="str">
        <f t="shared" si="11"/>
        <v>SUMIF(EFACT_CNE!B:B,ReliquidacionEFACT!B32,EFACT_CNE!V:V)</v>
      </c>
      <c r="R32" s="11" t="str">
        <f t="shared" si="12"/>
        <v>IFERROR((Q32/P32),0)</v>
      </c>
      <c r="S32" s="10" t="str">
        <f t="shared" si="13"/>
        <v>(N32+Q32)</v>
      </c>
      <c r="U32" s="49">
        <v>44044</v>
      </c>
      <c r="V32" s="25" t="str">
        <f t="shared" si="14"/>
        <v>(S32-J32)</v>
      </c>
      <c r="W32" s="50" t="s">
        <v>348</v>
      </c>
      <c r="X32" s="26">
        <v>44336</v>
      </c>
      <c r="Y32" s="27">
        <v>3.2800000000000003E-2</v>
      </c>
      <c r="Z32" s="28">
        <v>44099</v>
      </c>
      <c r="AA32" s="28">
        <f t="shared" si="20"/>
        <v>44377</v>
      </c>
      <c r="AB32" s="29" t="str">
        <f t="shared" si="15"/>
        <v>(AA32-Z32)</v>
      </c>
      <c r="AC32" s="29" t="str">
        <f t="shared" si="16"/>
        <v>(1+Y32)^(AB32/360)-1</v>
      </c>
      <c r="AD32" s="50" t="str">
        <f t="shared" si="17"/>
        <v>(AC32*V32)</v>
      </c>
      <c r="AE32" s="29" t="str">
        <f t="shared" si="18"/>
        <v>(V32+AD32)</v>
      </c>
    </row>
    <row r="33" spans="1:31" x14ac:dyDescent="0.25">
      <c r="A33" s="39">
        <f>A32+1</f>
        <v>33</v>
      </c>
      <c r="B33" s="36">
        <v>44075</v>
      </c>
      <c r="C33" s="50" t="s">
        <v>290</v>
      </c>
      <c r="D33" s="10" t="str">
        <f t="shared" si="0"/>
        <v>SUMIF(SIGGE_E!B:B,ReliquidacionEFACT!B33,SIGGE_E!S:S)</v>
      </c>
      <c r="E33" s="10" t="str">
        <f t="shared" si="1"/>
        <v>SUMIF(SIGGE_E!B:B,ReliquidacionEFACT!B33,SIGGE_E!T:T)</v>
      </c>
      <c r="F33" s="11" t="str">
        <f t="shared" si="2"/>
        <v>IFERROR((E33/D33),0)</v>
      </c>
      <c r="G33" s="12" t="str">
        <f t="shared" si="3"/>
        <v>SUMIF(SIGGE_P!B:B,ReliquidacionEFACT!B33,SIGGE_P!U:U)</v>
      </c>
      <c r="H33" s="10" t="str">
        <f t="shared" si="4"/>
        <v>SUMIF(SIGGE_P!B:B,ReliquidacionEFACT!B33,SIGGE_P!V:V)</v>
      </c>
      <c r="I33" s="11" t="str">
        <f t="shared" si="5"/>
        <v>IFERROR((H33/G33),0)</v>
      </c>
      <c r="J33" s="10" t="str">
        <f t="shared" si="6"/>
        <v>(E33+H33)</v>
      </c>
      <c r="L33" s="37" t="str">
        <f>(MAPA_DATA!K58)</f>
        <v>EFACT_CNE</v>
      </c>
      <c r="M33" s="10" t="str">
        <f t="shared" si="7"/>
        <v>SUMIF(EFACT_CNE!B:B,ReliquidacionEFACT!B33,EFACT_CNE!S:S)</v>
      </c>
      <c r="N33" s="10" t="str">
        <f t="shared" si="8"/>
        <v>SUMIF(EFACT_CNE!B:B,ReliquidacionEFACT!B33,EFACT_CNE!T:T)</v>
      </c>
      <c r="O33" s="11" t="str">
        <f t="shared" si="9"/>
        <v>IFERROR((N33/M33),0)</v>
      </c>
      <c r="P33" s="12" t="str">
        <f t="shared" si="10"/>
        <v>SUMIF(EFACT_CNE!B:B,ReliquidacionEFACT!B33,EFACT_CNE!U:U)</v>
      </c>
      <c r="Q33" s="10" t="str">
        <f t="shared" si="11"/>
        <v>SUMIF(EFACT_CNE!B:B,ReliquidacionEFACT!B33,EFACT_CNE!V:V)</v>
      </c>
      <c r="R33" s="11" t="str">
        <f t="shared" si="12"/>
        <v>IFERROR((Q33/P33),0)</v>
      </c>
      <c r="S33" s="10" t="str">
        <f t="shared" si="13"/>
        <v>(N33+Q33)</v>
      </c>
      <c r="U33" s="49">
        <v>44075</v>
      </c>
      <c r="V33" s="25" t="str">
        <f t="shared" si="14"/>
        <v>(S33-J33)</v>
      </c>
      <c r="W33" s="50" t="s">
        <v>348</v>
      </c>
      <c r="X33" s="26">
        <v>44336</v>
      </c>
      <c r="Y33" s="27">
        <v>3.2800000000000003E-2</v>
      </c>
      <c r="Z33" s="28">
        <v>44129</v>
      </c>
      <c r="AA33" s="28">
        <f t="shared" si="20"/>
        <v>44377</v>
      </c>
      <c r="AB33" s="29" t="str">
        <f t="shared" si="15"/>
        <v>(AA33-Z33)</v>
      </c>
      <c r="AC33" s="29" t="str">
        <f t="shared" si="16"/>
        <v>(1+Y33)^(AB33/360)-1</v>
      </c>
      <c r="AD33" s="50" t="str">
        <f t="shared" si="17"/>
        <v>(AC33*V33)</v>
      </c>
      <c r="AE33" s="29" t="str">
        <f t="shared" si="18"/>
        <v>(V33+AD33)</v>
      </c>
    </row>
    <row r="34" spans="1:31" ht="15.75" thickBot="1" x14ac:dyDescent="0.3">
      <c r="Z34" s="1"/>
      <c r="AD34" s="51" t="s">
        <v>70</v>
      </c>
      <c r="AE34" s="52" t="str">
        <f>CONCATENATE("SUM(AE9:AE33)")</f>
        <v>SUM(AE9:AE33)</v>
      </c>
    </row>
    <row r="36" spans="1:31" x14ac:dyDescent="0.25">
      <c r="AC36" s="17" t="s">
        <v>72</v>
      </c>
      <c r="AD36" s="18" t="s">
        <v>354</v>
      </c>
      <c r="AE36" s="19"/>
    </row>
    <row r="37" spans="1:31" x14ac:dyDescent="0.25">
      <c r="AC37" s="20" t="s">
        <v>73</v>
      </c>
      <c r="AD37" s="13" t="s">
        <v>355</v>
      </c>
      <c r="AE37" s="21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1E57-2BE4-4429-AE4F-4EF89B3018BD}">
  <dimension ref="A2:H34"/>
  <sheetViews>
    <sheetView showGridLines="0" tabSelected="1" zoomScale="80" zoomScaleNormal="80" workbookViewId="0">
      <selection activeCell="D13" sqref="D13"/>
    </sheetView>
  </sheetViews>
  <sheetFormatPr baseColWidth="10" defaultRowHeight="15" x14ac:dyDescent="0.25"/>
  <cols>
    <col min="1" max="1" width="12.28515625" style="38" bestFit="1" customWidth="1"/>
    <col min="2" max="2" width="9.7109375" style="5" customWidth="1"/>
    <col min="3" max="3" width="13.85546875" style="5" bestFit="1" customWidth="1"/>
    <col min="4" max="4" width="51.28515625" style="5" customWidth="1"/>
    <col min="5" max="5" width="55.5703125" customWidth="1"/>
    <col min="6" max="6" width="60" customWidth="1"/>
    <col min="7" max="7" width="59.140625" customWidth="1"/>
    <col min="8" max="8" width="67.28515625" customWidth="1"/>
  </cols>
  <sheetData>
    <row r="2" spans="1:8" x14ac:dyDescent="0.25">
      <c r="A2" s="6" t="s">
        <v>60</v>
      </c>
      <c r="B2" s="30" t="s">
        <v>96</v>
      </c>
    </row>
    <row r="3" spans="1:8" x14ac:dyDescent="0.25">
      <c r="A3" s="7" t="s">
        <v>61</v>
      </c>
      <c r="B3" s="31" t="s">
        <v>97</v>
      </c>
    </row>
    <row r="4" spans="1:8" x14ac:dyDescent="0.25">
      <c r="A4" s="7" t="s">
        <v>45</v>
      </c>
      <c r="B4" s="63" t="s">
        <v>65</v>
      </c>
    </row>
    <row r="5" spans="1:8" x14ac:dyDescent="0.25">
      <c r="A5" s="9" t="s">
        <v>42</v>
      </c>
      <c r="B5" s="32" t="s">
        <v>98</v>
      </c>
    </row>
    <row r="7" spans="1:8" ht="14.45" customHeight="1" x14ac:dyDescent="0.25">
      <c r="C7" s="58"/>
      <c r="D7" s="57"/>
      <c r="E7" s="59"/>
      <c r="F7" s="59"/>
      <c r="G7" s="60"/>
      <c r="H7" s="60"/>
    </row>
    <row r="8" spans="1:8" s="3" customFormat="1" ht="28.5" customHeight="1" x14ac:dyDescent="0.25">
      <c r="A8" s="33" t="s">
        <v>299</v>
      </c>
      <c r="B8" s="33" t="s">
        <v>298</v>
      </c>
      <c r="C8" s="33" t="s">
        <v>296</v>
      </c>
      <c r="D8" s="33" t="s">
        <v>356</v>
      </c>
      <c r="E8" s="33" t="s">
        <v>457</v>
      </c>
      <c r="F8" s="33" t="s">
        <v>458</v>
      </c>
      <c r="G8" s="33" t="s">
        <v>357</v>
      </c>
      <c r="H8" s="33" t="s">
        <v>358</v>
      </c>
    </row>
    <row r="9" spans="1:8" x14ac:dyDescent="0.25">
      <c r="A9" s="39">
        <f>9</f>
        <v>9</v>
      </c>
      <c r="B9" s="36">
        <v>43344</v>
      </c>
      <c r="C9" s="50" t="s">
        <v>290</v>
      </c>
      <c r="D9" s="10" t="str">
        <f>CONCATENATE("SUMIF(","SIGGE_E!B:B,ResumenRetiros!B",A9,",","SIGGE_E","!S:S)")</f>
        <v>SUMIF(SIGGE_E!B:B,ResumenRetiros!B9,SIGGE_E!S:S)</v>
      </c>
      <c r="E9" s="10" t="str">
        <f>CONCATENATE("SUMIF(","EFACT_CNE","!B:B,ResumenRetiros!B",A9,",","EFACT_CNE","!S:S)")</f>
        <v>SUMIF(EFACT_CNE!B:B,ResumenRetiros!B9,EFACT_CNE!S:S)</v>
      </c>
      <c r="F9" s="10" t="str">
        <f>CONCATENATE("SUMIF(","EfactCNE_BT","!B:B,ResumenRetiros!B",A9,",","EfactCNE_BT","!M:M)")</f>
        <v>SUMIF(EfactCNE_BT!B:B,ResumenRetiros!B9,EfactCNE_BT!M:M)</v>
      </c>
      <c r="G9" s="10" t="str">
        <f>CONCATENATE("SUMIF(CEN_Energia!B:B,ResumenRetiros!B",A9,",CEN_Energia!Z:Z)")</f>
        <v>SUMIF(CEN_Energia!B:B,ResumenRetiros!B9,CEN_Energia!Z:Z)</v>
      </c>
      <c r="H9" s="10" t="str">
        <f>CONCATENATE("SUMIF(CEN_EnergiaBT!B:B,ResumenRetiros!B",A9,",CEN_EnergiaBT!J:J)")</f>
        <v>SUMIF(CEN_EnergiaBT!B:B,ResumenRetiros!B9,CEN_EnergiaBT!J:J)</v>
      </c>
    </row>
    <row r="10" spans="1:8" x14ac:dyDescent="0.25">
      <c r="A10" s="39">
        <f t="shared" ref="A10:A32" si="0">A9+1</f>
        <v>10</v>
      </c>
      <c r="B10" s="36">
        <v>43374</v>
      </c>
      <c r="C10" s="50" t="s">
        <v>290</v>
      </c>
      <c r="D10" s="10" t="str">
        <f>CONCATENATE("SUMIF(","SIGGE_E!B:B,ResumenRetiros!B",A10,",","SIGGE_E","!S:S)")</f>
        <v>SUMIF(SIGGE_E!B:B,ResumenRetiros!B10,SIGGE_E!S:S)</v>
      </c>
      <c r="E10" s="10" t="str">
        <f>CONCATENATE("SUMIF(","EFACT_CNE","!B:B,ResumenRetiros!B",A10,",","EFACT_CNE","!S:S)")</f>
        <v>SUMIF(EFACT_CNE!B:B,ResumenRetiros!B10,EFACT_CNE!S:S)</v>
      </c>
      <c r="F10" s="10" t="str">
        <f>CONCATENATE("SUMIF(","EfactCNE_BT","!B:B,ResumenRetiros!B",A10,",","EfactCNE_BT","!M:M)")</f>
        <v>SUMIF(EfactCNE_BT!B:B,ResumenRetiros!B10,EfactCNE_BT!M:M)</v>
      </c>
      <c r="G10" s="10" t="str">
        <f>CONCATENATE("SUMIF(CEN_Energia!B:B,ResumenRetiros!B",A10,",CEN_Energia!Z:Z)")</f>
        <v>SUMIF(CEN_Energia!B:B,ResumenRetiros!B10,CEN_Energia!Z:Z)</v>
      </c>
      <c r="H10" s="10" t="str">
        <f>CONCATENATE("SUMIF(CEN_EnergiaBT!B:B,ResumenRetiros!B",A10,",CEN_EnergiaBT!J:J)")</f>
        <v>SUMIF(CEN_EnergiaBT!B:B,ResumenRetiros!B10,CEN_EnergiaBT!J:J)</v>
      </c>
    </row>
    <row r="11" spans="1:8" x14ac:dyDescent="0.25">
      <c r="A11" s="39">
        <f t="shared" si="0"/>
        <v>11</v>
      </c>
      <c r="B11" s="36">
        <v>43405</v>
      </c>
      <c r="C11" s="50" t="s">
        <v>290</v>
      </c>
      <c r="D11" s="10" t="str">
        <f>CONCATENATE("SUMIF(","SIGGE_E!B:B,ResumenRetiros!B",A11,",","SIGGE_E","!S:S)")</f>
        <v>SUMIF(SIGGE_E!B:B,ResumenRetiros!B11,SIGGE_E!S:S)</v>
      </c>
      <c r="E11" s="10" t="str">
        <f>CONCATENATE("SUMIF(","EFACT_CNE","!B:B,ResumenRetiros!B",A11,",","EFACT_CNE","!S:S)")</f>
        <v>SUMIF(EFACT_CNE!B:B,ResumenRetiros!B11,EFACT_CNE!S:S)</v>
      </c>
      <c r="F11" s="10" t="str">
        <f>CONCATENATE("SUMIF(","EfactCNE_BT","!B:B,ResumenRetiros!B",A11,",","EfactCNE_BT","!M:M)")</f>
        <v>SUMIF(EfactCNE_BT!B:B,ResumenRetiros!B11,EfactCNE_BT!M:M)</v>
      </c>
      <c r="G11" s="10" t="str">
        <f>CONCATENATE("SUMIF(CEN_Energia!B:B,ResumenRetiros!B",A11,",CEN_Energia!Z:Z)")</f>
        <v>SUMIF(CEN_Energia!B:B,ResumenRetiros!B11,CEN_Energia!Z:Z)</v>
      </c>
      <c r="H11" s="10" t="str">
        <f>CONCATENATE("SUMIF(CEN_EnergiaBT!B:B,ResumenRetiros!B",A11,",CEN_EnergiaBT!J:J)")</f>
        <v>SUMIF(CEN_EnergiaBT!B:B,ResumenRetiros!B11,CEN_EnergiaBT!J:J)</v>
      </c>
    </row>
    <row r="12" spans="1:8" x14ac:dyDescent="0.25">
      <c r="A12" s="39">
        <f t="shared" si="0"/>
        <v>12</v>
      </c>
      <c r="B12" s="36">
        <v>43435</v>
      </c>
      <c r="C12" s="50" t="s">
        <v>290</v>
      </c>
      <c r="D12" s="10" t="str">
        <f>CONCATENATE("SUMIF(","SIGGE_E!B:B,ResumenRetiros!B",A12,",","SIGGE_E","!S:S)")</f>
        <v>SUMIF(SIGGE_E!B:B,ResumenRetiros!B12,SIGGE_E!S:S)</v>
      </c>
      <c r="E12" s="10" t="str">
        <f>CONCATENATE("SUMIF(","EFACT_CNE","!B:B,ResumenRetiros!B",A12,",","EFACT_CNE","!S:S)")</f>
        <v>SUMIF(EFACT_CNE!B:B,ResumenRetiros!B12,EFACT_CNE!S:S)</v>
      </c>
      <c r="F12" s="10" t="str">
        <f>CONCATENATE("SUMIF(","EfactCNE_BT","!B:B,ResumenRetiros!B",A12,",","EfactCNE_BT","!M:M)")</f>
        <v>SUMIF(EfactCNE_BT!B:B,ResumenRetiros!B12,EfactCNE_BT!M:M)</v>
      </c>
      <c r="G12" s="10" t="str">
        <f>CONCATENATE("SUMIF(CEN_Energia!B:B,ResumenRetiros!B",A12,",CEN_Energia!Z:Z)")</f>
        <v>SUMIF(CEN_Energia!B:B,ResumenRetiros!B12,CEN_Energia!Z:Z)</v>
      </c>
      <c r="H12" s="10" t="str">
        <f>CONCATENATE("SUMIF(CEN_EnergiaBT!B:B,ResumenRetiros!B",A12,",CEN_EnergiaBT!J:J)")</f>
        <v>SUMIF(CEN_EnergiaBT!B:B,ResumenRetiros!B12,CEN_EnergiaBT!J:J)</v>
      </c>
    </row>
    <row r="13" spans="1:8" x14ac:dyDescent="0.25">
      <c r="A13" s="39">
        <f t="shared" si="0"/>
        <v>13</v>
      </c>
      <c r="B13" s="36">
        <v>43466</v>
      </c>
      <c r="C13" s="50" t="s">
        <v>290</v>
      </c>
      <c r="D13" s="10" t="str">
        <f>CONCATENATE("SUMIF(","SIGGE_E!B:B,ResumenRetiros!B",A13,",","SIGGE_E","!S:S)")</f>
        <v>SUMIF(SIGGE_E!B:B,ResumenRetiros!B13,SIGGE_E!S:S)</v>
      </c>
      <c r="E13" s="10" t="str">
        <f>CONCATENATE("SUMIF(","EFACT_CNE","!B:B,ResumenRetiros!B",A13,",","EFACT_CNE","!S:S)")</f>
        <v>SUMIF(EFACT_CNE!B:B,ResumenRetiros!B13,EFACT_CNE!S:S)</v>
      </c>
      <c r="F13" s="10" t="str">
        <f>CONCATENATE("SUMIF(","EfactCNE_BT","!B:B,ResumenRetiros!B",A13,",","EfactCNE_BT","!M:M)")</f>
        <v>SUMIF(EfactCNE_BT!B:B,ResumenRetiros!B13,EfactCNE_BT!M:M)</v>
      </c>
      <c r="G13" s="10" t="str">
        <f>CONCATENATE("SUMIF(CEN_Energia!B:B,ResumenRetiros!B",A13,",CEN_Energia!Z:Z)")</f>
        <v>SUMIF(CEN_Energia!B:B,ResumenRetiros!B13,CEN_Energia!Z:Z)</v>
      </c>
      <c r="H13" s="10" t="str">
        <f>CONCATENATE("SUMIF(CEN_EnergiaBT!B:B,ResumenRetiros!B",A13,",CEN_EnergiaBT!J:J)")</f>
        <v>SUMIF(CEN_EnergiaBT!B:B,ResumenRetiros!B13,CEN_EnergiaBT!J:J)</v>
      </c>
    </row>
    <row r="14" spans="1:8" x14ac:dyDescent="0.25">
      <c r="A14" s="39">
        <f t="shared" si="0"/>
        <v>14</v>
      </c>
      <c r="B14" s="36">
        <v>43497</v>
      </c>
      <c r="C14" s="50" t="s">
        <v>290</v>
      </c>
      <c r="D14" s="10" t="str">
        <f>CONCATENATE("SUMIF(","SIGGE_E!B:B,ResumenRetiros!B",A14,",","SIGGE_E","!S:S)")</f>
        <v>SUMIF(SIGGE_E!B:B,ResumenRetiros!B14,SIGGE_E!S:S)</v>
      </c>
      <c r="E14" s="10" t="str">
        <f>CONCATENATE("SUMIF(","EFACT_CNE","!B:B,ResumenRetiros!B",A14,",","EFACT_CNE","!S:S)")</f>
        <v>SUMIF(EFACT_CNE!B:B,ResumenRetiros!B14,EFACT_CNE!S:S)</v>
      </c>
      <c r="F14" s="10" t="str">
        <f>CONCATENATE("SUMIF(","EfactCNE_BT","!B:B,ResumenRetiros!B",A14,",","EfactCNE_BT","!M:M)")</f>
        <v>SUMIF(EfactCNE_BT!B:B,ResumenRetiros!B14,EfactCNE_BT!M:M)</v>
      </c>
      <c r="G14" s="10" t="str">
        <f>CONCATENATE("SUMIF(CEN_Energia!B:B,ResumenRetiros!B",A14,",CEN_Energia!Z:Z)")</f>
        <v>SUMIF(CEN_Energia!B:B,ResumenRetiros!B14,CEN_Energia!Z:Z)</v>
      </c>
      <c r="H14" s="10" t="str">
        <f>CONCATENATE("SUMIF(CEN_EnergiaBT!B:B,ResumenRetiros!B",A14,",CEN_EnergiaBT!J:J)")</f>
        <v>SUMIF(CEN_EnergiaBT!B:B,ResumenRetiros!B14,CEN_EnergiaBT!J:J)</v>
      </c>
    </row>
    <row r="15" spans="1:8" x14ac:dyDescent="0.25">
      <c r="A15" s="39">
        <f t="shared" si="0"/>
        <v>15</v>
      </c>
      <c r="B15" s="36">
        <v>43525</v>
      </c>
      <c r="C15" s="50" t="s">
        <v>290</v>
      </c>
      <c r="D15" s="10" t="str">
        <f>CONCATENATE("SUMIF(","SIGGE_E!B:B,ResumenRetiros!B",A15,",","SIGGE_E","!S:S)")</f>
        <v>SUMIF(SIGGE_E!B:B,ResumenRetiros!B15,SIGGE_E!S:S)</v>
      </c>
      <c r="E15" s="10" t="str">
        <f>CONCATENATE("SUMIF(","EFACT_CNE","!B:B,ResumenRetiros!B",A15,",","EFACT_CNE","!S:S)")</f>
        <v>SUMIF(EFACT_CNE!B:B,ResumenRetiros!B15,EFACT_CNE!S:S)</v>
      </c>
      <c r="F15" s="10" t="str">
        <f>CONCATENATE("SUMIF(","EfactCNE_BT","!B:B,ResumenRetiros!B",A15,",","EfactCNE_BT","!M:M)")</f>
        <v>SUMIF(EfactCNE_BT!B:B,ResumenRetiros!B15,EfactCNE_BT!M:M)</v>
      </c>
      <c r="G15" s="10" t="str">
        <f>CONCATENATE("SUMIF(CEN_Energia!B:B,ResumenRetiros!B",A15,",CEN_Energia!Z:Z)")</f>
        <v>SUMIF(CEN_Energia!B:B,ResumenRetiros!B15,CEN_Energia!Z:Z)</v>
      </c>
      <c r="H15" s="10" t="str">
        <f>CONCATENATE("SUMIF(CEN_EnergiaBT!B:B,ResumenRetiros!B",A15,",CEN_EnergiaBT!J:J)")</f>
        <v>SUMIF(CEN_EnergiaBT!B:B,ResumenRetiros!B15,CEN_EnergiaBT!J:J)</v>
      </c>
    </row>
    <row r="16" spans="1:8" x14ac:dyDescent="0.25">
      <c r="A16" s="39">
        <f t="shared" si="0"/>
        <v>16</v>
      </c>
      <c r="B16" s="36">
        <v>43556</v>
      </c>
      <c r="C16" s="50" t="s">
        <v>290</v>
      </c>
      <c r="D16" s="10" t="str">
        <f>CONCATENATE("SUMIF(","SIGGE_E!B:B,ResumenRetiros!B",A16,",","SIGGE_E","!S:S)")</f>
        <v>SUMIF(SIGGE_E!B:B,ResumenRetiros!B16,SIGGE_E!S:S)</v>
      </c>
      <c r="E16" s="10" t="str">
        <f>CONCATENATE("SUMIF(","EFACT_CNE","!B:B,ResumenRetiros!B",A16,",","EFACT_CNE","!S:S)")</f>
        <v>SUMIF(EFACT_CNE!B:B,ResumenRetiros!B16,EFACT_CNE!S:S)</v>
      </c>
      <c r="F16" s="10" t="str">
        <f>CONCATENATE("SUMIF(","EfactCNE_BT","!B:B,ResumenRetiros!B",A16,",","EfactCNE_BT","!M:M)")</f>
        <v>SUMIF(EfactCNE_BT!B:B,ResumenRetiros!B16,EfactCNE_BT!M:M)</v>
      </c>
      <c r="G16" s="10" t="str">
        <f>CONCATENATE("SUMIF(CEN_Energia!B:B,ResumenRetiros!B",A16,",CEN_Energia!Z:Z)")</f>
        <v>SUMIF(CEN_Energia!B:B,ResumenRetiros!B16,CEN_Energia!Z:Z)</v>
      </c>
      <c r="H16" s="10" t="str">
        <f>CONCATENATE("SUMIF(CEN_EnergiaBT!B:B,ResumenRetiros!B",A16,",CEN_EnergiaBT!J:J)")</f>
        <v>SUMIF(CEN_EnergiaBT!B:B,ResumenRetiros!B16,CEN_EnergiaBT!J:J)</v>
      </c>
    </row>
    <row r="17" spans="1:8" x14ac:dyDescent="0.25">
      <c r="A17" s="39">
        <f t="shared" si="0"/>
        <v>17</v>
      </c>
      <c r="B17" s="36">
        <v>43586</v>
      </c>
      <c r="C17" s="50" t="s">
        <v>290</v>
      </c>
      <c r="D17" s="10" t="str">
        <f>CONCATENATE("SUMIF(","SIGGE_E!B:B,ResumenRetiros!B",A17,",","SIGGE_E","!S:S)")</f>
        <v>SUMIF(SIGGE_E!B:B,ResumenRetiros!B17,SIGGE_E!S:S)</v>
      </c>
      <c r="E17" s="10" t="str">
        <f>CONCATENATE("SUMIF(","EFACT_CNE","!B:B,ResumenRetiros!B",A17,",","EFACT_CNE","!S:S)")</f>
        <v>SUMIF(EFACT_CNE!B:B,ResumenRetiros!B17,EFACT_CNE!S:S)</v>
      </c>
      <c r="F17" s="10" t="str">
        <f>CONCATENATE("SUMIF(","EfactCNE_BT","!B:B,ResumenRetiros!B",A17,",","EfactCNE_BT","!M:M)")</f>
        <v>SUMIF(EfactCNE_BT!B:B,ResumenRetiros!B17,EfactCNE_BT!M:M)</v>
      </c>
      <c r="G17" s="10" t="str">
        <f>CONCATENATE("SUMIF(CEN_Energia!B:B,ResumenRetiros!B",A17,",CEN_Energia!Z:Z)")</f>
        <v>SUMIF(CEN_Energia!B:B,ResumenRetiros!B17,CEN_Energia!Z:Z)</v>
      </c>
      <c r="H17" s="10" t="str">
        <f>CONCATENATE("SUMIF(CEN_EnergiaBT!B:B,ResumenRetiros!B",A17,",CEN_EnergiaBT!J:J)")</f>
        <v>SUMIF(CEN_EnergiaBT!B:B,ResumenRetiros!B17,CEN_EnergiaBT!J:J)</v>
      </c>
    </row>
    <row r="18" spans="1:8" x14ac:dyDescent="0.25">
      <c r="A18" s="39">
        <f t="shared" si="0"/>
        <v>18</v>
      </c>
      <c r="B18" s="36">
        <v>43617</v>
      </c>
      <c r="C18" s="50" t="s">
        <v>290</v>
      </c>
      <c r="D18" s="10" t="str">
        <f>CONCATENATE("SUMIF(","SIGGE_E!B:B,ResumenRetiros!B",A18,",","SIGGE_E","!S:S)")</f>
        <v>SUMIF(SIGGE_E!B:B,ResumenRetiros!B18,SIGGE_E!S:S)</v>
      </c>
      <c r="E18" s="10" t="str">
        <f>CONCATENATE("SUMIF(","EFACT_CNE","!B:B,ResumenRetiros!B",A18,",","EFACT_CNE","!S:S)")</f>
        <v>SUMIF(EFACT_CNE!B:B,ResumenRetiros!B18,EFACT_CNE!S:S)</v>
      </c>
      <c r="F18" s="10" t="str">
        <f>CONCATENATE("SUMIF(","EfactCNE_BT","!B:B,ResumenRetiros!B",A18,",","EfactCNE_BT","!M:M)")</f>
        <v>SUMIF(EfactCNE_BT!B:B,ResumenRetiros!B18,EfactCNE_BT!M:M)</v>
      </c>
      <c r="G18" s="10" t="str">
        <f>CONCATENATE("SUMIF(CEN_Energia!B:B,ResumenRetiros!B",A18,",CEN_Energia!Z:Z)")</f>
        <v>SUMIF(CEN_Energia!B:B,ResumenRetiros!B18,CEN_Energia!Z:Z)</v>
      </c>
      <c r="H18" s="10" t="str">
        <f>CONCATENATE("SUMIF(CEN_EnergiaBT!B:B,ResumenRetiros!B",A18,",CEN_EnergiaBT!J:J)")</f>
        <v>SUMIF(CEN_EnergiaBT!B:B,ResumenRetiros!B18,CEN_EnergiaBT!J:J)</v>
      </c>
    </row>
    <row r="19" spans="1:8" x14ac:dyDescent="0.25">
      <c r="A19" s="39">
        <f t="shared" si="0"/>
        <v>19</v>
      </c>
      <c r="B19" s="36">
        <v>43647</v>
      </c>
      <c r="C19" s="50" t="s">
        <v>290</v>
      </c>
      <c r="D19" s="10" t="str">
        <f>CONCATENATE("SUMIF(","SIGGE_E!B:B,ResumenRetiros!B",A19,",","SIGGE_E","!S:S)")</f>
        <v>SUMIF(SIGGE_E!B:B,ResumenRetiros!B19,SIGGE_E!S:S)</v>
      </c>
      <c r="E19" s="10" t="str">
        <f>CONCATENATE("SUMIF(","EFACT_CNE","!B:B,ResumenRetiros!B",A19,",","EFACT_CNE","!S:S)")</f>
        <v>SUMIF(EFACT_CNE!B:B,ResumenRetiros!B19,EFACT_CNE!S:S)</v>
      </c>
      <c r="F19" s="10" t="str">
        <f>CONCATENATE("SUMIF(","EfactCNE_BT","!B:B,ResumenRetiros!B",A19,",","EfactCNE_BT","!M:M)")</f>
        <v>SUMIF(EfactCNE_BT!B:B,ResumenRetiros!B19,EfactCNE_BT!M:M)</v>
      </c>
      <c r="G19" s="10" t="str">
        <f>CONCATENATE("SUMIF(CEN_Energia!B:B,ResumenRetiros!B",A19,",CEN_Energia!Z:Z)")</f>
        <v>SUMIF(CEN_Energia!B:B,ResumenRetiros!B19,CEN_Energia!Z:Z)</v>
      </c>
      <c r="H19" s="10" t="str">
        <f>CONCATENATE("SUMIF(CEN_EnergiaBT!B:B,ResumenRetiros!B",A19,",CEN_EnergiaBT!J:J)")</f>
        <v>SUMIF(CEN_EnergiaBT!B:B,ResumenRetiros!B19,CEN_EnergiaBT!J:J)</v>
      </c>
    </row>
    <row r="20" spans="1:8" x14ac:dyDescent="0.25">
      <c r="A20" s="39">
        <f t="shared" si="0"/>
        <v>20</v>
      </c>
      <c r="B20" s="36">
        <v>43678</v>
      </c>
      <c r="C20" s="50" t="s">
        <v>290</v>
      </c>
      <c r="D20" s="10" t="str">
        <f>CONCATENATE("SUMIF(","SIGGE_E!B:B,ResumenRetiros!B",A20,",","SIGGE_E","!S:S)")</f>
        <v>SUMIF(SIGGE_E!B:B,ResumenRetiros!B20,SIGGE_E!S:S)</v>
      </c>
      <c r="E20" s="10" t="str">
        <f>CONCATENATE("SUMIF(","EFACT_CNE","!B:B,ResumenRetiros!B",A20,",","EFACT_CNE","!S:S)")</f>
        <v>SUMIF(EFACT_CNE!B:B,ResumenRetiros!B20,EFACT_CNE!S:S)</v>
      </c>
      <c r="F20" s="10" t="str">
        <f>CONCATENATE("SUMIF(","EfactCNE_BT","!B:B,ResumenRetiros!B",A20,",","EfactCNE_BT","!M:M)")</f>
        <v>SUMIF(EfactCNE_BT!B:B,ResumenRetiros!B20,EfactCNE_BT!M:M)</v>
      </c>
      <c r="G20" s="10" t="str">
        <f>CONCATENATE("SUMIF(CEN_Energia!B:B,ResumenRetiros!B",A20,",CEN_Energia!Z:Z)")</f>
        <v>SUMIF(CEN_Energia!B:B,ResumenRetiros!B20,CEN_Energia!Z:Z)</v>
      </c>
      <c r="H20" s="10" t="str">
        <f>CONCATENATE("SUMIF(CEN_EnergiaBT!B:B,ResumenRetiros!B",A20,",CEN_EnergiaBT!J:J)")</f>
        <v>SUMIF(CEN_EnergiaBT!B:B,ResumenRetiros!B20,CEN_EnergiaBT!J:J)</v>
      </c>
    </row>
    <row r="21" spans="1:8" x14ac:dyDescent="0.25">
      <c r="A21" s="39">
        <f t="shared" si="0"/>
        <v>21</v>
      </c>
      <c r="B21" s="36">
        <v>43709</v>
      </c>
      <c r="C21" s="50" t="s">
        <v>290</v>
      </c>
      <c r="D21" s="10" t="str">
        <f>CONCATENATE("SUMIF(","SIGGE_E!B:B,ResumenRetiros!B",A21,",","SIGGE_E","!S:S)")</f>
        <v>SUMIF(SIGGE_E!B:B,ResumenRetiros!B21,SIGGE_E!S:S)</v>
      </c>
      <c r="E21" s="10" t="str">
        <f>CONCATENATE("SUMIF(","EFACT_CNE","!B:B,ResumenRetiros!B",A21,",","EFACT_CNE","!S:S)")</f>
        <v>SUMIF(EFACT_CNE!B:B,ResumenRetiros!B21,EFACT_CNE!S:S)</v>
      </c>
      <c r="F21" s="10" t="str">
        <f>CONCATENATE("SUMIF(","EfactCNE_BT","!B:B,ResumenRetiros!B",A21,",","EfactCNE_BT","!M:M)")</f>
        <v>SUMIF(EfactCNE_BT!B:B,ResumenRetiros!B21,EfactCNE_BT!M:M)</v>
      </c>
      <c r="G21" s="10" t="str">
        <f>CONCATENATE("SUMIF(CEN_Energia!B:B,ResumenRetiros!B",A21,",CEN_Energia!Z:Z)")</f>
        <v>SUMIF(CEN_Energia!B:B,ResumenRetiros!B21,CEN_Energia!Z:Z)</v>
      </c>
      <c r="H21" s="10" t="str">
        <f>CONCATENATE("SUMIF(CEN_EnergiaBT!B:B,ResumenRetiros!B",A21,",CEN_EnergiaBT!J:J)")</f>
        <v>SUMIF(CEN_EnergiaBT!B:B,ResumenRetiros!B21,CEN_EnergiaBT!J:J)</v>
      </c>
    </row>
    <row r="22" spans="1:8" x14ac:dyDescent="0.25">
      <c r="A22" s="39">
        <f t="shared" si="0"/>
        <v>22</v>
      </c>
      <c r="B22" s="36">
        <v>43739</v>
      </c>
      <c r="C22" s="50" t="s">
        <v>290</v>
      </c>
      <c r="D22" s="10" t="str">
        <f>CONCATENATE("SUMIF(","SIGGE_E!B:B,ResumenRetiros!B",A22,",","SIGGE_E","!S:S)")</f>
        <v>SUMIF(SIGGE_E!B:B,ResumenRetiros!B22,SIGGE_E!S:S)</v>
      </c>
      <c r="E22" s="10" t="str">
        <f>CONCATENATE("SUMIF(","EFACT_CNE","!B:B,ResumenRetiros!B",A22,",","EFACT_CNE","!S:S)")</f>
        <v>SUMIF(EFACT_CNE!B:B,ResumenRetiros!B22,EFACT_CNE!S:S)</v>
      </c>
      <c r="F22" s="10" t="str">
        <f>CONCATENATE("SUMIF(","EfactCNE_BT","!B:B,ResumenRetiros!B",A22,",","EfactCNE_BT","!M:M)")</f>
        <v>SUMIF(EfactCNE_BT!B:B,ResumenRetiros!B22,EfactCNE_BT!M:M)</v>
      </c>
      <c r="G22" s="10" t="str">
        <f>CONCATENATE("SUMIF(CEN_Energia!B:B,ResumenRetiros!B",A22,",CEN_Energia!Z:Z)")</f>
        <v>SUMIF(CEN_Energia!B:B,ResumenRetiros!B22,CEN_Energia!Z:Z)</v>
      </c>
      <c r="H22" s="10" t="str">
        <f>CONCATENATE("SUMIF(CEN_EnergiaBT!B:B,ResumenRetiros!B",A22,",CEN_EnergiaBT!J:J)")</f>
        <v>SUMIF(CEN_EnergiaBT!B:B,ResumenRetiros!B22,CEN_EnergiaBT!J:J)</v>
      </c>
    </row>
    <row r="23" spans="1:8" x14ac:dyDescent="0.25">
      <c r="A23" s="39">
        <f t="shared" si="0"/>
        <v>23</v>
      </c>
      <c r="B23" s="36">
        <v>43770</v>
      </c>
      <c r="C23" s="50" t="s">
        <v>290</v>
      </c>
      <c r="D23" s="10" t="str">
        <f>CONCATENATE("SUMIF(","SIGGE_E!B:B,ResumenRetiros!B",A23,",","SIGGE_E","!S:S)")</f>
        <v>SUMIF(SIGGE_E!B:B,ResumenRetiros!B23,SIGGE_E!S:S)</v>
      </c>
      <c r="E23" s="10" t="str">
        <f>CONCATENATE("SUMIF(","EFACT_CNE","!B:B,ResumenRetiros!B",A23,",","EFACT_CNE","!S:S)")</f>
        <v>SUMIF(EFACT_CNE!B:B,ResumenRetiros!B23,EFACT_CNE!S:S)</v>
      </c>
      <c r="F23" s="10" t="str">
        <f>CONCATENATE("SUMIF(","EfactCNE_BT","!B:B,ResumenRetiros!B",A23,",","EfactCNE_BT","!M:M)")</f>
        <v>SUMIF(EfactCNE_BT!B:B,ResumenRetiros!B23,EfactCNE_BT!M:M)</v>
      </c>
      <c r="G23" s="10" t="str">
        <f>CONCATENATE("SUMIF(CEN_Energia!B:B,ResumenRetiros!B",A23,",CEN_Energia!Z:Z)")</f>
        <v>SUMIF(CEN_Energia!B:B,ResumenRetiros!B23,CEN_Energia!Z:Z)</v>
      </c>
      <c r="H23" s="10" t="str">
        <f>CONCATENATE("SUMIF(CEN_EnergiaBT!B:B,ResumenRetiros!B",A23,",CEN_EnergiaBT!J:J)")</f>
        <v>SUMIF(CEN_EnergiaBT!B:B,ResumenRetiros!B23,CEN_EnergiaBT!J:J)</v>
      </c>
    </row>
    <row r="24" spans="1:8" x14ac:dyDescent="0.25">
      <c r="A24" s="39">
        <f t="shared" si="0"/>
        <v>24</v>
      </c>
      <c r="B24" s="36">
        <v>43800</v>
      </c>
      <c r="C24" s="50" t="s">
        <v>290</v>
      </c>
      <c r="D24" s="10" t="str">
        <f>CONCATENATE("SUMIF(","SIGGE_E!B:B,ResumenRetiros!B",A24,",","SIGGE_E","!S:S)")</f>
        <v>SUMIF(SIGGE_E!B:B,ResumenRetiros!B24,SIGGE_E!S:S)</v>
      </c>
      <c r="E24" s="10" t="str">
        <f>CONCATENATE("SUMIF(","EFACT_CNE","!B:B,ResumenRetiros!B",A24,",","EFACT_CNE","!S:S)")</f>
        <v>SUMIF(EFACT_CNE!B:B,ResumenRetiros!B24,EFACT_CNE!S:S)</v>
      </c>
      <c r="F24" s="10" t="str">
        <f>CONCATENATE("SUMIF(","EfactCNE_BT","!B:B,ResumenRetiros!B",A24,",","EfactCNE_BT","!M:M)")</f>
        <v>SUMIF(EfactCNE_BT!B:B,ResumenRetiros!B24,EfactCNE_BT!M:M)</v>
      </c>
      <c r="G24" s="10" t="str">
        <f>CONCATENATE("SUMIF(CEN_Energia!B:B,ResumenRetiros!B",A24,",CEN_Energia!Z:Z)")</f>
        <v>SUMIF(CEN_Energia!B:B,ResumenRetiros!B24,CEN_Energia!Z:Z)</v>
      </c>
      <c r="H24" s="10" t="str">
        <f>CONCATENATE("SUMIF(CEN_EnergiaBT!B:B,ResumenRetiros!B",A24,",CEN_EnergiaBT!J:J)")</f>
        <v>SUMIF(CEN_EnergiaBT!B:B,ResumenRetiros!B24,CEN_EnergiaBT!J:J)</v>
      </c>
    </row>
    <row r="25" spans="1:8" x14ac:dyDescent="0.25">
      <c r="A25" s="39">
        <f t="shared" si="0"/>
        <v>25</v>
      </c>
      <c r="B25" s="36">
        <v>43831</v>
      </c>
      <c r="C25" s="50" t="s">
        <v>290</v>
      </c>
      <c r="D25" s="10" t="str">
        <f>CONCATENATE("SUMIF(","SIGGE_E!B:B,ResumenRetiros!B",A25,",","SIGGE_E","!S:S)")</f>
        <v>SUMIF(SIGGE_E!B:B,ResumenRetiros!B25,SIGGE_E!S:S)</v>
      </c>
      <c r="E25" s="10" t="str">
        <f>CONCATENATE("SUMIF(","EFACT_CNE","!B:B,ResumenRetiros!B",A25,",","EFACT_CNE","!S:S)")</f>
        <v>SUMIF(EFACT_CNE!B:B,ResumenRetiros!B25,EFACT_CNE!S:S)</v>
      </c>
      <c r="F25" s="10" t="str">
        <f>CONCATENATE("SUMIF(","EfactCNE_BT","!B:B,ResumenRetiros!B",A25,",","EfactCNE_BT","!M:M)")</f>
        <v>SUMIF(EfactCNE_BT!B:B,ResumenRetiros!B25,EfactCNE_BT!M:M)</v>
      </c>
      <c r="G25" s="10" t="str">
        <f>CONCATENATE("SUMIF(CEN_Energia!B:B,ResumenRetiros!B",A25,",CEN_Energia!Z:Z)")</f>
        <v>SUMIF(CEN_Energia!B:B,ResumenRetiros!B25,CEN_Energia!Z:Z)</v>
      </c>
      <c r="H25" s="10" t="str">
        <f>CONCATENATE("SUMIF(CEN_EnergiaBT!B:B,ResumenRetiros!B",A25,",CEN_EnergiaBT!J:J)")</f>
        <v>SUMIF(CEN_EnergiaBT!B:B,ResumenRetiros!B25,CEN_EnergiaBT!J:J)</v>
      </c>
    </row>
    <row r="26" spans="1:8" x14ac:dyDescent="0.25">
      <c r="A26" s="39">
        <f t="shared" si="0"/>
        <v>26</v>
      </c>
      <c r="B26" s="36">
        <v>43862</v>
      </c>
      <c r="C26" s="50" t="s">
        <v>290</v>
      </c>
      <c r="D26" s="10" t="str">
        <f>CONCATENATE("SUMIF(","SIGGE_E!B:B,ResumenRetiros!B",A26,",","SIGGE_E","!S:S)")</f>
        <v>SUMIF(SIGGE_E!B:B,ResumenRetiros!B26,SIGGE_E!S:S)</v>
      </c>
      <c r="E26" s="10" t="str">
        <f>CONCATENATE("SUMIF(","EFACT_CNE","!B:B,ResumenRetiros!B",A26,",","EFACT_CNE","!S:S)")</f>
        <v>SUMIF(EFACT_CNE!B:B,ResumenRetiros!B26,EFACT_CNE!S:S)</v>
      </c>
      <c r="F26" s="10" t="str">
        <f>CONCATENATE("SUMIF(","EfactCNE_BT","!B:B,ResumenRetiros!B",A26,",","EfactCNE_BT","!M:M)")</f>
        <v>SUMIF(EfactCNE_BT!B:B,ResumenRetiros!B26,EfactCNE_BT!M:M)</v>
      </c>
      <c r="G26" s="10" t="str">
        <f>CONCATENATE("SUMIF(CEN_Energia!B:B,ResumenRetiros!B",A26,",CEN_Energia!Z:Z)")</f>
        <v>SUMIF(CEN_Energia!B:B,ResumenRetiros!B26,CEN_Energia!Z:Z)</v>
      </c>
      <c r="H26" s="10" t="str">
        <f>CONCATENATE("SUMIF(CEN_EnergiaBT!B:B,ResumenRetiros!B",A26,",CEN_EnergiaBT!J:J)")</f>
        <v>SUMIF(CEN_EnergiaBT!B:B,ResumenRetiros!B26,CEN_EnergiaBT!J:J)</v>
      </c>
    </row>
    <row r="27" spans="1:8" x14ac:dyDescent="0.25">
      <c r="A27" s="39">
        <f t="shared" si="0"/>
        <v>27</v>
      </c>
      <c r="B27" s="36">
        <v>43891</v>
      </c>
      <c r="C27" s="50" t="s">
        <v>290</v>
      </c>
      <c r="D27" s="10" t="str">
        <f>CONCATENATE("SUMIF(","SIGGE_E!B:B,ResumenRetiros!B",A27,",","SIGGE_E","!S:S)")</f>
        <v>SUMIF(SIGGE_E!B:B,ResumenRetiros!B27,SIGGE_E!S:S)</v>
      </c>
      <c r="E27" s="10" t="str">
        <f>CONCATENATE("SUMIF(","EFACT_CNE","!B:B,ResumenRetiros!B",A27,",","EFACT_CNE","!S:S)")</f>
        <v>SUMIF(EFACT_CNE!B:B,ResumenRetiros!B27,EFACT_CNE!S:S)</v>
      </c>
      <c r="F27" s="10" t="str">
        <f>CONCATENATE("SUMIF(","EfactCNE_BT","!B:B,ResumenRetiros!B",A27,",","EfactCNE_BT","!M:M)")</f>
        <v>SUMIF(EfactCNE_BT!B:B,ResumenRetiros!B27,EfactCNE_BT!M:M)</v>
      </c>
      <c r="G27" s="10" t="str">
        <f>CONCATENATE("SUMIF(CEN_Energia!B:B,ResumenRetiros!B",A27,",CEN_Energia!Z:Z)")</f>
        <v>SUMIF(CEN_Energia!B:B,ResumenRetiros!B27,CEN_Energia!Z:Z)</v>
      </c>
      <c r="H27" s="10" t="str">
        <f>CONCATENATE("SUMIF(CEN_EnergiaBT!B:B,ResumenRetiros!B",A27,",CEN_EnergiaBT!J:J)")</f>
        <v>SUMIF(CEN_EnergiaBT!B:B,ResumenRetiros!B27,CEN_EnergiaBT!J:J)</v>
      </c>
    </row>
    <row r="28" spans="1:8" x14ac:dyDescent="0.25">
      <c r="A28" s="39">
        <f t="shared" si="0"/>
        <v>28</v>
      </c>
      <c r="B28" s="36">
        <v>43922</v>
      </c>
      <c r="C28" s="50" t="s">
        <v>290</v>
      </c>
      <c r="D28" s="10" t="str">
        <f>CONCATENATE("SUMIF(","SIGGE_E!B:B,ResumenRetiros!B",A28,",","SIGGE_E","!S:S)")</f>
        <v>SUMIF(SIGGE_E!B:B,ResumenRetiros!B28,SIGGE_E!S:S)</v>
      </c>
      <c r="E28" s="10" t="str">
        <f>CONCATENATE("SUMIF(","EFACT_CNE","!B:B,ResumenRetiros!B",A28,",","EFACT_CNE","!S:S)")</f>
        <v>SUMIF(EFACT_CNE!B:B,ResumenRetiros!B28,EFACT_CNE!S:S)</v>
      </c>
      <c r="F28" s="10" t="str">
        <f>CONCATENATE("SUMIF(","EfactCNE_BT","!B:B,ResumenRetiros!B",A28,",","EfactCNE_BT","!M:M)")</f>
        <v>SUMIF(EfactCNE_BT!B:B,ResumenRetiros!B28,EfactCNE_BT!M:M)</v>
      </c>
      <c r="G28" s="10" t="str">
        <f>CONCATENATE("SUMIF(CEN_Energia!B:B,ResumenRetiros!B",A28,",CEN_Energia!Z:Z)")</f>
        <v>SUMIF(CEN_Energia!B:B,ResumenRetiros!B28,CEN_Energia!Z:Z)</v>
      </c>
      <c r="H28" s="10" t="str">
        <f>CONCATENATE("SUMIF(CEN_EnergiaBT!B:B,ResumenRetiros!B",A28,",CEN_EnergiaBT!J:J)")</f>
        <v>SUMIF(CEN_EnergiaBT!B:B,ResumenRetiros!B28,CEN_EnergiaBT!J:J)</v>
      </c>
    </row>
    <row r="29" spans="1:8" x14ac:dyDescent="0.25">
      <c r="A29" s="39">
        <f t="shared" si="0"/>
        <v>29</v>
      </c>
      <c r="B29" s="36">
        <v>43952</v>
      </c>
      <c r="C29" s="50" t="s">
        <v>290</v>
      </c>
      <c r="D29" s="10" t="str">
        <f>CONCATENATE("SUMIF(","SIGGE_E!B:B,ResumenRetiros!B",A29,",","SIGGE_E","!S:S)")</f>
        <v>SUMIF(SIGGE_E!B:B,ResumenRetiros!B29,SIGGE_E!S:S)</v>
      </c>
      <c r="E29" s="10" t="str">
        <f>CONCATENATE("SUMIF(","EFACT_CNE","!B:B,ResumenRetiros!B",A29,",","EFACT_CNE","!S:S)")</f>
        <v>SUMIF(EFACT_CNE!B:B,ResumenRetiros!B29,EFACT_CNE!S:S)</v>
      </c>
      <c r="F29" s="10" t="str">
        <f>CONCATENATE("SUMIF(","EfactCNE_BT","!B:B,ResumenRetiros!B",A29,",","EfactCNE_BT","!M:M)")</f>
        <v>SUMIF(EfactCNE_BT!B:B,ResumenRetiros!B29,EfactCNE_BT!M:M)</v>
      </c>
      <c r="G29" s="10" t="str">
        <f>CONCATENATE("SUMIF(CEN_Energia!B:B,ResumenRetiros!B",A29,",CEN_Energia!Z:Z)")</f>
        <v>SUMIF(CEN_Energia!B:B,ResumenRetiros!B29,CEN_Energia!Z:Z)</v>
      </c>
      <c r="H29" s="10" t="str">
        <f>CONCATENATE("SUMIF(CEN_EnergiaBT!B:B,ResumenRetiros!B",A29,",CEN_EnergiaBT!J:J)")</f>
        <v>SUMIF(CEN_EnergiaBT!B:B,ResumenRetiros!B29,CEN_EnergiaBT!J:J)</v>
      </c>
    </row>
    <row r="30" spans="1:8" x14ac:dyDescent="0.25">
      <c r="A30" s="39">
        <f t="shared" si="0"/>
        <v>30</v>
      </c>
      <c r="B30" s="36">
        <v>43983</v>
      </c>
      <c r="C30" s="50" t="s">
        <v>290</v>
      </c>
      <c r="D30" s="10" t="str">
        <f>CONCATENATE("SUMIF(","SIGGE_E!B:B,ResumenRetiros!B",A30,",","SIGGE_E","!S:S)")</f>
        <v>SUMIF(SIGGE_E!B:B,ResumenRetiros!B30,SIGGE_E!S:S)</v>
      </c>
      <c r="E30" s="10" t="str">
        <f>CONCATENATE("SUMIF(","EFACT_CNE","!B:B,ResumenRetiros!B",A30,",","EFACT_CNE","!S:S)")</f>
        <v>SUMIF(EFACT_CNE!B:B,ResumenRetiros!B30,EFACT_CNE!S:S)</v>
      </c>
      <c r="F30" s="10" t="str">
        <f>CONCATENATE("SUMIF(","EfactCNE_BT","!B:B,ResumenRetiros!B",A30,",","EfactCNE_BT","!M:M)")</f>
        <v>SUMIF(EfactCNE_BT!B:B,ResumenRetiros!B30,EfactCNE_BT!M:M)</v>
      </c>
      <c r="G30" s="10" t="str">
        <f>CONCATENATE("SUMIF(CEN_Energia!B:B,ResumenRetiros!B",A30,",CEN_Energia!Z:Z)")</f>
        <v>SUMIF(CEN_Energia!B:B,ResumenRetiros!B30,CEN_Energia!Z:Z)</v>
      </c>
      <c r="H30" s="10" t="str">
        <f>CONCATENATE("SUMIF(CEN_EnergiaBT!B:B,ResumenRetiros!B",A30,",CEN_EnergiaBT!J:J)")</f>
        <v>SUMIF(CEN_EnergiaBT!B:B,ResumenRetiros!B30,CEN_EnergiaBT!J:J)</v>
      </c>
    </row>
    <row r="31" spans="1:8" x14ac:dyDescent="0.25">
      <c r="A31" s="39">
        <f t="shared" si="0"/>
        <v>31</v>
      </c>
      <c r="B31" s="36">
        <v>44013</v>
      </c>
      <c r="C31" s="50" t="s">
        <v>290</v>
      </c>
      <c r="D31" s="10" t="str">
        <f>CONCATENATE("SUMIF(","SIGGE_E!B:B,ResumenRetiros!B",A31,",","SIGGE_E","!S:S)")</f>
        <v>SUMIF(SIGGE_E!B:B,ResumenRetiros!B31,SIGGE_E!S:S)</v>
      </c>
      <c r="E31" s="10" t="str">
        <f>CONCATENATE("SUMIF(","EFACT_CNE","!B:B,ResumenRetiros!B",A31,",","EFACT_CNE","!S:S)")</f>
        <v>SUMIF(EFACT_CNE!B:B,ResumenRetiros!B31,EFACT_CNE!S:S)</v>
      </c>
      <c r="F31" s="10" t="str">
        <f>CONCATENATE("SUMIF(","EfactCNE_BT","!B:B,ResumenRetiros!B",A31,",","EfactCNE_BT","!M:M)")</f>
        <v>SUMIF(EfactCNE_BT!B:B,ResumenRetiros!B31,EfactCNE_BT!M:M)</v>
      </c>
      <c r="G31" s="10" t="str">
        <f>CONCATENATE("SUMIF(CEN_Energia!B:B,ResumenRetiros!B",A31,",CEN_Energia!Z:Z)")</f>
        <v>SUMIF(CEN_Energia!B:B,ResumenRetiros!B31,CEN_Energia!Z:Z)</v>
      </c>
      <c r="H31" s="10" t="str">
        <f>CONCATENATE("SUMIF(CEN_EnergiaBT!B:B,ResumenRetiros!B",A31,",CEN_EnergiaBT!J:J)")</f>
        <v>SUMIF(CEN_EnergiaBT!B:B,ResumenRetiros!B31,CEN_EnergiaBT!J:J)</v>
      </c>
    </row>
    <row r="32" spans="1:8" x14ac:dyDescent="0.25">
      <c r="A32" s="39">
        <f t="shared" si="0"/>
        <v>32</v>
      </c>
      <c r="B32" s="36">
        <v>44044</v>
      </c>
      <c r="C32" s="50" t="s">
        <v>290</v>
      </c>
      <c r="D32" s="10" t="str">
        <f>CONCATENATE("SUMIF(","SIGGE_E!B:B,ResumenRetiros!B",A32,",","SIGGE_E","!S:S)")</f>
        <v>SUMIF(SIGGE_E!B:B,ResumenRetiros!B32,SIGGE_E!S:S)</v>
      </c>
      <c r="E32" s="10" t="str">
        <f>CONCATENATE("SUMIF(","EFACT_CNE","!B:B,ResumenRetiros!B",A32,",","EFACT_CNE","!S:S)")</f>
        <v>SUMIF(EFACT_CNE!B:B,ResumenRetiros!B32,EFACT_CNE!S:S)</v>
      </c>
      <c r="F32" s="10" t="str">
        <f>CONCATENATE("SUMIF(","EfactCNE_BT","!B:B,ResumenRetiros!B",A32,",","EfactCNE_BT","!M:M)")</f>
        <v>SUMIF(EfactCNE_BT!B:B,ResumenRetiros!B32,EfactCNE_BT!M:M)</v>
      </c>
      <c r="G32" s="10" t="str">
        <f>CONCATENATE("SUMIF(CEN_Energia!B:B,ResumenRetiros!B",A32,",CEN_Energia!Z:Z)")</f>
        <v>SUMIF(CEN_Energia!B:B,ResumenRetiros!B32,CEN_Energia!Z:Z)</v>
      </c>
      <c r="H32" s="10" t="str">
        <f>CONCATENATE("SUMIF(CEN_EnergiaBT!B:B,ResumenRetiros!B",A32,",CEN_EnergiaBT!J:J)")</f>
        <v>SUMIF(CEN_EnergiaBT!B:B,ResumenRetiros!B32,CEN_EnergiaBT!J:J)</v>
      </c>
    </row>
    <row r="33" spans="1:8" x14ac:dyDescent="0.25">
      <c r="A33" s="39">
        <f>A32+1</f>
        <v>33</v>
      </c>
      <c r="B33" s="36">
        <v>44075</v>
      </c>
      <c r="C33" s="50" t="s">
        <v>290</v>
      </c>
      <c r="D33" s="10" t="str">
        <f>CONCATENATE("SUMIF(","SIGGE_E!B:B,ResumenRetiros!B",A33,",","SIGGE_E","!S:S)")</f>
        <v>SUMIF(SIGGE_E!B:B,ResumenRetiros!B33,SIGGE_E!S:S)</v>
      </c>
      <c r="E33" s="10" t="str">
        <f>CONCATENATE("SUMIF(","EFACT_CNE","!B:B,ResumenRetiros!B",A33,",","EFACT_CNE","!S:S)")</f>
        <v>SUMIF(EFACT_CNE!B:B,ResumenRetiros!B33,EFACT_CNE!S:S)</v>
      </c>
      <c r="F33" s="10" t="str">
        <f>CONCATENATE("SUMIF(","EfactCNE_BT","!B:B,ResumenRetiros!B",A33,",","EfactCNE_BT","!M:M)")</f>
        <v>SUMIF(EfactCNE_BT!B:B,ResumenRetiros!B33,EfactCNE_BT!M:M)</v>
      </c>
      <c r="G33" s="10" t="str">
        <f>CONCATENATE("SUMIF(CEN_Energia!B:B,ResumenRetiros!B",A33,",CEN_Energia!Z:Z)")</f>
        <v>SUMIF(CEN_Energia!B:B,ResumenRetiros!B33,CEN_Energia!Z:Z)</v>
      </c>
      <c r="H33" s="10" t="str">
        <f>CONCATENATE("SUMIF(CEN_EnergiaBT!B:B,ResumenRetiros!B",A33,",CEN_EnergiaBT!J:J)")</f>
        <v>SUMIF(CEN_EnergiaBT!B:B,ResumenRetiros!B33,CEN_EnergiaBT!J:J)</v>
      </c>
    </row>
    <row r="34" spans="1:8" x14ac:dyDescent="0.25">
      <c r="D34" s="50" t="str">
        <f>CONCATENATE("SUM(D9:D33)")</f>
        <v>SUM(D9:D33)</v>
      </c>
      <c r="E34" s="50" t="str">
        <f>CONCATENATE("SUM(E9:E33)")</f>
        <v>SUM(E9:E33)</v>
      </c>
      <c r="F34" s="50" t="str">
        <f>CONCATENATE("SUM(F9:F33)")</f>
        <v>SUM(F9:F33)</v>
      </c>
      <c r="G34" s="50" t="str">
        <f>CONCATENATE("SUM(G9:G33)")</f>
        <v>SUM(G9:G33)</v>
      </c>
      <c r="H34" s="50" t="str">
        <f>CONCATENATE("SUM(H9:H33)")</f>
        <v>SUM(H9:H33)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W735"/>
  <sheetViews>
    <sheetView zoomScale="60" zoomScaleNormal="60" workbookViewId="0">
      <selection activeCell="A19" sqref="A19"/>
    </sheetView>
  </sheetViews>
  <sheetFormatPr baseColWidth="10" defaultRowHeight="15" x14ac:dyDescent="0.25"/>
  <cols>
    <col min="1" max="1" width="12" bestFit="1" customWidth="1"/>
    <col min="2" max="2" width="21.140625" style="1" bestFit="1" customWidth="1"/>
    <col min="3" max="3" width="45.85546875" bestFit="1" customWidth="1"/>
    <col min="4" max="4" width="54.425781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4" t="s">
        <v>29</v>
      </c>
      <c r="B1" s="34" t="s">
        <v>1</v>
      </c>
      <c r="C1" s="34" t="s">
        <v>30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4" t="s">
        <v>39</v>
      </c>
      <c r="J1" s="34" t="s">
        <v>40</v>
      </c>
      <c r="K1" s="34" t="s">
        <v>41</v>
      </c>
      <c r="L1" s="34" t="s">
        <v>42</v>
      </c>
      <c r="M1" s="34" t="s">
        <v>43</v>
      </c>
      <c r="N1" s="34" t="s">
        <v>44</v>
      </c>
      <c r="O1" s="34" t="s">
        <v>45</v>
      </c>
      <c r="P1" s="34" t="s">
        <v>46</v>
      </c>
      <c r="Q1" s="34" t="s">
        <v>31</v>
      </c>
      <c r="R1" s="34" t="s">
        <v>32</v>
      </c>
      <c r="S1" s="34" t="s">
        <v>18</v>
      </c>
      <c r="T1" s="34" t="s">
        <v>19</v>
      </c>
      <c r="U1" s="34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3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349</v>
      </c>
      <c r="V2" t="s">
        <v>349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3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349</v>
      </c>
      <c r="V3" t="s">
        <v>349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3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349</v>
      </c>
      <c r="V4" t="s">
        <v>349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3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349</v>
      </c>
      <c r="V5" t="s">
        <v>349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3">
        <v>43539</v>
      </c>
      <c r="H6">
        <v>33</v>
      </c>
      <c r="I6" t="s">
        <v>349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349</v>
      </c>
      <c r="V6" t="s">
        <v>349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3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349</v>
      </c>
      <c r="V7" t="s">
        <v>349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3">
        <v>43539</v>
      </c>
      <c r="H8">
        <v>33</v>
      </c>
      <c r="I8" t="s">
        <v>349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349</v>
      </c>
      <c r="V8" t="s">
        <v>349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3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349</v>
      </c>
      <c r="V9" t="s">
        <v>349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3">
        <v>43539</v>
      </c>
      <c r="H10">
        <v>33</v>
      </c>
      <c r="I10" t="s">
        <v>349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349</v>
      </c>
      <c r="V10" t="s">
        <v>349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3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349</v>
      </c>
      <c r="V11" t="s">
        <v>349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3">
        <v>43539</v>
      </c>
      <c r="H12">
        <v>33</v>
      </c>
      <c r="I12" t="s">
        <v>349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349</v>
      </c>
      <c r="V12" t="s">
        <v>349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3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349</v>
      </c>
      <c r="V13" t="s">
        <v>349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3">
        <v>43539</v>
      </c>
      <c r="H14">
        <v>33</v>
      </c>
      <c r="I14" t="s">
        <v>349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349</v>
      </c>
      <c r="V14" t="s">
        <v>349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3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349</v>
      </c>
      <c r="V15" t="s">
        <v>349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3">
        <v>43564</v>
      </c>
      <c r="H16">
        <v>61</v>
      </c>
      <c r="I16" t="s">
        <v>349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349</v>
      </c>
      <c r="V16" t="s">
        <v>349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3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349</v>
      </c>
      <c r="V17" t="s">
        <v>349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3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349</v>
      </c>
      <c r="V18" t="s">
        <v>349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3">
        <v>43564</v>
      </c>
      <c r="H19">
        <v>61</v>
      </c>
      <c r="I19" t="s">
        <v>349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349</v>
      </c>
      <c r="V19" t="s">
        <v>349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3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349</v>
      </c>
      <c r="V20" t="s">
        <v>349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3">
        <v>43564</v>
      </c>
      <c r="H21">
        <v>61</v>
      </c>
      <c r="I21" t="s">
        <v>349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349</v>
      </c>
      <c r="V21" t="s">
        <v>349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3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349</v>
      </c>
      <c r="V22" t="s">
        <v>349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3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349</v>
      </c>
      <c r="V23" t="s">
        <v>349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3">
        <v>43598</v>
      </c>
      <c r="H24">
        <v>33</v>
      </c>
      <c r="I24" t="s">
        <v>349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349</v>
      </c>
      <c r="V24" t="s">
        <v>349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3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349</v>
      </c>
      <c r="V25" t="s">
        <v>349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3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349</v>
      </c>
      <c r="V26" t="s">
        <v>349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3">
        <v>43598</v>
      </c>
      <c r="H27">
        <v>33</v>
      </c>
      <c r="I27" t="s">
        <v>349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349</v>
      </c>
      <c r="V27" t="s">
        <v>349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3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349</v>
      </c>
      <c r="V28" t="s">
        <v>349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3">
        <v>43598</v>
      </c>
      <c r="H29">
        <v>33</v>
      </c>
      <c r="I29" t="s">
        <v>349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349</v>
      </c>
      <c r="V29" t="s">
        <v>349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3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349</v>
      </c>
      <c r="V30" t="s">
        <v>349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3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349</v>
      </c>
      <c r="V31" t="s">
        <v>349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54</v>
      </c>
      <c r="E32" t="s">
        <v>21</v>
      </c>
      <c r="F32" t="s">
        <v>170</v>
      </c>
      <c r="G32" s="53">
        <v>43598</v>
      </c>
      <c r="H32">
        <v>33</v>
      </c>
      <c r="I32">
        <v>8451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349</v>
      </c>
      <c r="T32" t="s">
        <v>349</v>
      </c>
      <c r="U32">
        <v>0</v>
      </c>
      <c r="V32">
        <v>0</v>
      </c>
      <c r="W32">
        <v>0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93</v>
      </c>
      <c r="E33" t="s">
        <v>49</v>
      </c>
      <c r="F33" t="s">
        <v>169</v>
      </c>
      <c r="G33" s="53">
        <v>43913.49763888889</v>
      </c>
      <c r="H33">
        <v>61</v>
      </c>
      <c r="I33" t="s">
        <v>349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1</v>
      </c>
      <c r="T33">
        <v>-1091</v>
      </c>
      <c r="U33" t="s">
        <v>349</v>
      </c>
      <c r="V33" t="s">
        <v>349</v>
      </c>
      <c r="W33">
        <v>-1091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48</v>
      </c>
      <c r="E34" t="s">
        <v>49</v>
      </c>
      <c r="F34" t="s">
        <v>171</v>
      </c>
      <c r="G34" s="53">
        <v>43598</v>
      </c>
      <c r="H34">
        <v>33</v>
      </c>
      <c r="I34">
        <v>8451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>
        <v>897.96509900000001</v>
      </c>
      <c r="T34">
        <v>66.900000000000006</v>
      </c>
      <c r="U34" t="s">
        <v>349</v>
      </c>
      <c r="V34" t="s">
        <v>349</v>
      </c>
      <c r="W34">
        <v>60074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54</v>
      </c>
      <c r="E35" t="s">
        <v>21</v>
      </c>
      <c r="F35" t="s">
        <v>170</v>
      </c>
      <c r="G35" s="53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349</v>
      </c>
      <c r="T35" t="s">
        <v>349</v>
      </c>
      <c r="U35">
        <v>0</v>
      </c>
      <c r="V35">
        <v>0</v>
      </c>
      <c r="W35">
        <v>0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3">
        <v>43913.49763888889</v>
      </c>
      <c r="H36">
        <v>61</v>
      </c>
      <c r="I36" t="s">
        <v>349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>
        <v>1</v>
      </c>
      <c r="T36">
        <v>-8</v>
      </c>
      <c r="U36" t="s">
        <v>349</v>
      </c>
      <c r="V36" t="s">
        <v>349</v>
      </c>
      <c r="W36">
        <v>-8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3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>
        <v>5.9124509999999999</v>
      </c>
      <c r="T37">
        <v>69.013999999999996</v>
      </c>
      <c r="U37" t="s">
        <v>349</v>
      </c>
      <c r="V37" t="s">
        <v>349</v>
      </c>
      <c r="W37">
        <v>408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54</v>
      </c>
      <c r="E38" t="s">
        <v>21</v>
      </c>
      <c r="F38" t="s">
        <v>170</v>
      </c>
      <c r="G38" s="53">
        <v>43598</v>
      </c>
      <c r="H38">
        <v>33</v>
      </c>
      <c r="I38">
        <v>8451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349</v>
      </c>
      <c r="T38" t="s">
        <v>349</v>
      </c>
      <c r="U38">
        <v>0</v>
      </c>
      <c r="V38">
        <v>0</v>
      </c>
      <c r="W38">
        <v>0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93</v>
      </c>
      <c r="E39" t="s">
        <v>49</v>
      </c>
      <c r="F39" t="s">
        <v>169</v>
      </c>
      <c r="G39" s="53">
        <v>43913.49763888889</v>
      </c>
      <c r="H39">
        <v>61</v>
      </c>
      <c r="I39" t="s">
        <v>349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>
        <v>1</v>
      </c>
      <c r="T39">
        <v>-327</v>
      </c>
      <c r="U39" t="s">
        <v>349</v>
      </c>
      <c r="V39" t="s">
        <v>349</v>
      </c>
      <c r="W39">
        <v>-327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48</v>
      </c>
      <c r="E40" t="s">
        <v>49</v>
      </c>
      <c r="F40" t="s">
        <v>171</v>
      </c>
      <c r="G40" s="53">
        <v>43598</v>
      </c>
      <c r="H40">
        <v>33</v>
      </c>
      <c r="I40">
        <v>8451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>
        <v>278.37088999999997</v>
      </c>
      <c r="T40">
        <v>63.27</v>
      </c>
      <c r="U40" t="s">
        <v>349</v>
      </c>
      <c r="V40" t="s">
        <v>349</v>
      </c>
      <c r="W40">
        <v>17613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54</v>
      </c>
      <c r="E41" t="s">
        <v>21</v>
      </c>
      <c r="F41" t="s">
        <v>170</v>
      </c>
      <c r="G41" s="53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349</v>
      </c>
      <c r="T41" t="s">
        <v>349</v>
      </c>
      <c r="U41">
        <v>0</v>
      </c>
      <c r="V41">
        <v>0</v>
      </c>
      <c r="W41">
        <v>0</v>
      </c>
    </row>
    <row r="42" spans="1:23" x14ac:dyDescent="0.25">
      <c r="A42" s="1">
        <v>43556</v>
      </c>
      <c r="B42" s="1">
        <v>43556</v>
      </c>
      <c r="C42" t="s">
        <v>157</v>
      </c>
      <c r="D42" t="s">
        <v>93</v>
      </c>
      <c r="E42" t="s">
        <v>49</v>
      </c>
      <c r="F42" t="s">
        <v>169</v>
      </c>
      <c r="G42" s="53">
        <v>43913.49763888889</v>
      </c>
      <c r="H42">
        <v>61</v>
      </c>
      <c r="I42" t="s">
        <v>349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>
        <v>1</v>
      </c>
      <c r="T42">
        <v>-1638</v>
      </c>
      <c r="U42" t="s">
        <v>349</v>
      </c>
      <c r="V42" t="s">
        <v>349</v>
      </c>
      <c r="W42">
        <v>-1638</v>
      </c>
    </row>
    <row r="43" spans="1:23" x14ac:dyDescent="0.25">
      <c r="A43" s="1">
        <v>43556</v>
      </c>
      <c r="B43" s="1">
        <v>43556</v>
      </c>
      <c r="C43" t="s">
        <v>157</v>
      </c>
      <c r="D43" t="s">
        <v>48</v>
      </c>
      <c r="E43" t="s">
        <v>49</v>
      </c>
      <c r="F43" t="s">
        <v>171</v>
      </c>
      <c r="G43" s="53">
        <v>43598</v>
      </c>
      <c r="H43">
        <v>33</v>
      </c>
      <c r="I43">
        <v>8451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>
        <v>1366.2586240000001</v>
      </c>
      <c r="T43">
        <v>65.349000000000004</v>
      </c>
      <c r="U43" t="s">
        <v>349</v>
      </c>
      <c r="V43" t="s">
        <v>349</v>
      </c>
      <c r="W43">
        <v>89284</v>
      </c>
    </row>
    <row r="44" spans="1:23" x14ac:dyDescent="0.25">
      <c r="A44" s="1">
        <v>43556</v>
      </c>
      <c r="B44" s="1">
        <v>43556</v>
      </c>
      <c r="C44" t="s">
        <v>157</v>
      </c>
      <c r="D44" t="s">
        <v>54</v>
      </c>
      <c r="E44" t="s">
        <v>21</v>
      </c>
      <c r="F44" t="s">
        <v>170</v>
      </c>
      <c r="G44" s="53">
        <v>43598</v>
      </c>
      <c r="H44">
        <v>33</v>
      </c>
      <c r="I44">
        <v>8451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349</v>
      </c>
      <c r="T44" t="s">
        <v>349</v>
      </c>
      <c r="U44">
        <v>0</v>
      </c>
      <c r="V44">
        <v>0</v>
      </c>
      <c r="W44">
        <v>0</v>
      </c>
    </row>
    <row r="45" spans="1:23" x14ac:dyDescent="0.25">
      <c r="A45" s="1">
        <v>43556</v>
      </c>
      <c r="B45" s="1">
        <v>43556</v>
      </c>
      <c r="C45" t="s">
        <v>157</v>
      </c>
      <c r="D45" t="s">
        <v>93</v>
      </c>
      <c r="E45" t="s">
        <v>49</v>
      </c>
      <c r="F45" t="s">
        <v>169</v>
      </c>
      <c r="G45" s="53">
        <v>43913.49763888889</v>
      </c>
      <c r="H45">
        <v>61</v>
      </c>
      <c r="I45" t="s">
        <v>349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>
        <v>1</v>
      </c>
      <c r="T45">
        <v>-7</v>
      </c>
      <c r="U45" t="s">
        <v>349</v>
      </c>
      <c r="V45" t="s">
        <v>349</v>
      </c>
      <c r="W45">
        <v>-7</v>
      </c>
    </row>
    <row r="46" spans="1:23" x14ac:dyDescent="0.25">
      <c r="A46" s="1">
        <v>43556</v>
      </c>
      <c r="B46" s="1">
        <v>43556</v>
      </c>
      <c r="C46" t="s">
        <v>157</v>
      </c>
      <c r="D46" t="s">
        <v>48</v>
      </c>
      <c r="E46" t="s">
        <v>49</v>
      </c>
      <c r="F46" t="s">
        <v>171</v>
      </c>
      <c r="G46" s="53">
        <v>43598</v>
      </c>
      <c r="H46">
        <v>33</v>
      </c>
      <c r="I46">
        <v>8451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>
        <v>5.4320240000000002</v>
      </c>
      <c r="T46">
        <v>69.367999999999995</v>
      </c>
      <c r="U46" t="s">
        <v>349</v>
      </c>
      <c r="V46" t="s">
        <v>349</v>
      </c>
      <c r="W46">
        <v>377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54</v>
      </c>
      <c r="E47" t="s">
        <v>21</v>
      </c>
      <c r="F47" t="s">
        <v>173</v>
      </c>
      <c r="G47" s="53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349</v>
      </c>
      <c r="T47" t="s">
        <v>349</v>
      </c>
      <c r="U47">
        <v>0</v>
      </c>
      <c r="V47">
        <v>0</v>
      </c>
      <c r="W47">
        <v>0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3">
        <v>43915.631481481483</v>
      </c>
      <c r="H48">
        <v>61</v>
      </c>
      <c r="I48" t="s">
        <v>349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1</v>
      </c>
      <c r="R48" t="s">
        <v>83</v>
      </c>
      <c r="S48">
        <v>1</v>
      </c>
      <c r="T48">
        <v>-337</v>
      </c>
      <c r="U48" t="s">
        <v>349</v>
      </c>
      <c r="V48" t="s">
        <v>349</v>
      </c>
      <c r="W48">
        <v>-337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3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1</v>
      </c>
      <c r="R49" t="s">
        <v>83</v>
      </c>
      <c r="S49">
        <v>885.88966900000003</v>
      </c>
      <c r="T49">
        <v>74.400999999999996</v>
      </c>
      <c r="U49" t="s">
        <v>349</v>
      </c>
      <c r="V49" t="s">
        <v>349</v>
      </c>
      <c r="W49">
        <v>65911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54</v>
      </c>
      <c r="E50" t="s">
        <v>21</v>
      </c>
      <c r="F50" t="s">
        <v>173</v>
      </c>
      <c r="G50" s="53">
        <v>43627</v>
      </c>
      <c r="H50">
        <v>33</v>
      </c>
      <c r="I50">
        <v>8768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2</v>
      </c>
      <c r="R50" t="s">
        <v>94</v>
      </c>
      <c r="S50" t="s">
        <v>349</v>
      </c>
      <c r="T50" t="s">
        <v>349</v>
      </c>
      <c r="U50">
        <v>0</v>
      </c>
      <c r="V50">
        <v>0</v>
      </c>
      <c r="W50">
        <v>0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93</v>
      </c>
      <c r="E51" t="s">
        <v>49</v>
      </c>
      <c r="F51" t="s">
        <v>172</v>
      </c>
      <c r="G51" s="53">
        <v>43915.631481481483</v>
      </c>
      <c r="H51">
        <v>61</v>
      </c>
      <c r="I51" t="s">
        <v>349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2</v>
      </c>
      <c r="R51" t="s">
        <v>94</v>
      </c>
      <c r="S51">
        <v>1</v>
      </c>
      <c r="T51">
        <v>-2</v>
      </c>
      <c r="U51" t="s">
        <v>349</v>
      </c>
      <c r="V51" t="s">
        <v>349</v>
      </c>
      <c r="W51">
        <v>-2</v>
      </c>
    </row>
    <row r="52" spans="1:23" x14ac:dyDescent="0.25">
      <c r="A52" s="1">
        <v>43586</v>
      </c>
      <c r="B52" s="1">
        <v>43586</v>
      </c>
      <c r="C52" t="s">
        <v>157</v>
      </c>
      <c r="D52" t="s">
        <v>48</v>
      </c>
      <c r="E52" t="s">
        <v>49</v>
      </c>
      <c r="F52" t="s">
        <v>174</v>
      </c>
      <c r="G52" s="53">
        <v>43627</v>
      </c>
      <c r="H52">
        <v>33</v>
      </c>
      <c r="I52">
        <v>8768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2</v>
      </c>
      <c r="R52" t="s">
        <v>94</v>
      </c>
      <c r="S52">
        <v>5.7284470000000001</v>
      </c>
      <c r="T52">
        <v>75.736999999999995</v>
      </c>
      <c r="U52" t="s">
        <v>349</v>
      </c>
      <c r="V52" t="s">
        <v>349</v>
      </c>
      <c r="W52">
        <v>434</v>
      </c>
    </row>
    <row r="53" spans="1:23" x14ac:dyDescent="0.25">
      <c r="A53" s="1">
        <v>43586</v>
      </c>
      <c r="B53" s="1">
        <v>43586</v>
      </c>
      <c r="C53" t="s">
        <v>157</v>
      </c>
      <c r="D53" t="s">
        <v>54</v>
      </c>
      <c r="E53" t="s">
        <v>21</v>
      </c>
      <c r="F53" t="s">
        <v>173</v>
      </c>
      <c r="G53" s="53">
        <v>43627</v>
      </c>
      <c r="H53">
        <v>33</v>
      </c>
      <c r="I53">
        <v>8768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3</v>
      </c>
      <c r="R53" t="s">
        <v>81</v>
      </c>
      <c r="S53" t="s">
        <v>349</v>
      </c>
      <c r="T53" t="s">
        <v>349</v>
      </c>
      <c r="U53">
        <v>0</v>
      </c>
      <c r="V53">
        <v>0</v>
      </c>
      <c r="W53">
        <v>0</v>
      </c>
    </row>
    <row r="54" spans="1:23" x14ac:dyDescent="0.25">
      <c r="A54" s="1">
        <v>43586</v>
      </c>
      <c r="B54" s="1">
        <v>43586</v>
      </c>
      <c r="C54" t="s">
        <v>157</v>
      </c>
      <c r="D54" t="s">
        <v>93</v>
      </c>
      <c r="E54" t="s">
        <v>49</v>
      </c>
      <c r="F54" t="s">
        <v>172</v>
      </c>
      <c r="G54" s="53">
        <v>43915.631481481483</v>
      </c>
      <c r="H54">
        <v>61</v>
      </c>
      <c r="I54" t="s">
        <v>349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>
        <v>1</v>
      </c>
      <c r="T54">
        <v>-99</v>
      </c>
      <c r="U54" t="s">
        <v>349</v>
      </c>
      <c r="V54" t="s">
        <v>349</v>
      </c>
      <c r="W54">
        <v>-99</v>
      </c>
    </row>
    <row r="55" spans="1:23" x14ac:dyDescent="0.25">
      <c r="A55" s="1">
        <v>43586</v>
      </c>
      <c r="B55" s="1">
        <v>43586</v>
      </c>
      <c r="C55" t="s">
        <v>157</v>
      </c>
      <c r="D55" t="s">
        <v>48</v>
      </c>
      <c r="E55" t="s">
        <v>49</v>
      </c>
      <c r="F55" t="s">
        <v>174</v>
      </c>
      <c r="G55" s="53">
        <v>43627</v>
      </c>
      <c r="H55">
        <v>33</v>
      </c>
      <c r="I55">
        <v>8768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3</v>
      </c>
      <c r="R55" t="s">
        <v>81</v>
      </c>
      <c r="S55">
        <v>273.818037</v>
      </c>
      <c r="T55">
        <v>70.436999999999998</v>
      </c>
      <c r="U55" t="s">
        <v>349</v>
      </c>
      <c r="V55" t="s">
        <v>349</v>
      </c>
      <c r="W55">
        <v>19287</v>
      </c>
    </row>
    <row r="56" spans="1:23" x14ac:dyDescent="0.25">
      <c r="A56" s="1">
        <v>43586</v>
      </c>
      <c r="B56" s="1">
        <v>43586</v>
      </c>
      <c r="C56" t="s">
        <v>157</v>
      </c>
      <c r="D56" t="s">
        <v>54</v>
      </c>
      <c r="E56" t="s">
        <v>21</v>
      </c>
      <c r="F56" t="s">
        <v>173</v>
      </c>
      <c r="G56" s="53">
        <v>43627</v>
      </c>
      <c r="H56">
        <v>33</v>
      </c>
      <c r="I56">
        <v>8768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4</v>
      </c>
      <c r="R56" t="s">
        <v>27</v>
      </c>
      <c r="S56" t="s">
        <v>349</v>
      </c>
      <c r="T56" t="s">
        <v>349</v>
      </c>
      <c r="U56">
        <v>0</v>
      </c>
      <c r="V56">
        <v>0</v>
      </c>
      <c r="W56">
        <v>0</v>
      </c>
    </row>
    <row r="57" spans="1:23" x14ac:dyDescent="0.25">
      <c r="A57" s="1">
        <v>43586</v>
      </c>
      <c r="B57" s="1">
        <v>43586</v>
      </c>
      <c r="C57" t="s">
        <v>157</v>
      </c>
      <c r="D57" t="s">
        <v>93</v>
      </c>
      <c r="E57" t="s">
        <v>49</v>
      </c>
      <c r="F57" t="s">
        <v>172</v>
      </c>
      <c r="G57" s="53">
        <v>43915.631481481483</v>
      </c>
      <c r="H57">
        <v>61</v>
      </c>
      <c r="I57" t="s">
        <v>349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4</v>
      </c>
      <c r="R57" t="s">
        <v>27</v>
      </c>
      <c r="S57">
        <v>1</v>
      </c>
      <c r="T57">
        <v>-494</v>
      </c>
      <c r="U57" t="s">
        <v>349</v>
      </c>
      <c r="V57" t="s">
        <v>349</v>
      </c>
      <c r="W57">
        <v>-494</v>
      </c>
    </row>
    <row r="58" spans="1:23" x14ac:dyDescent="0.25">
      <c r="A58" s="1">
        <v>43586</v>
      </c>
      <c r="B58" s="1">
        <v>43586</v>
      </c>
      <c r="C58" t="s">
        <v>157</v>
      </c>
      <c r="D58" t="s">
        <v>48</v>
      </c>
      <c r="E58" t="s">
        <v>49</v>
      </c>
      <c r="F58" t="s">
        <v>174</v>
      </c>
      <c r="G58" s="53">
        <v>43627</v>
      </c>
      <c r="H58">
        <v>33</v>
      </c>
      <c r="I58">
        <v>8768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1341.725692</v>
      </c>
      <c r="T58">
        <v>71.983999999999995</v>
      </c>
      <c r="U58" t="s">
        <v>349</v>
      </c>
      <c r="V58" t="s">
        <v>349</v>
      </c>
      <c r="W58">
        <v>96583</v>
      </c>
    </row>
    <row r="59" spans="1:23" x14ac:dyDescent="0.25">
      <c r="A59" s="1">
        <v>43586</v>
      </c>
      <c r="B59" s="1">
        <v>43586</v>
      </c>
      <c r="C59" t="s">
        <v>157</v>
      </c>
      <c r="D59" t="s">
        <v>54</v>
      </c>
      <c r="E59" t="s">
        <v>21</v>
      </c>
      <c r="F59" t="s">
        <v>173</v>
      </c>
      <c r="G59" s="53">
        <v>43627</v>
      </c>
      <c r="H59">
        <v>33</v>
      </c>
      <c r="I59">
        <v>8768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5</v>
      </c>
      <c r="R59" t="s">
        <v>28</v>
      </c>
      <c r="S59" t="s">
        <v>349</v>
      </c>
      <c r="T59" t="s">
        <v>349</v>
      </c>
      <c r="U59">
        <v>0</v>
      </c>
      <c r="V59">
        <v>0</v>
      </c>
      <c r="W59">
        <v>0</v>
      </c>
    </row>
    <row r="60" spans="1:23" x14ac:dyDescent="0.25">
      <c r="A60" s="1">
        <v>43586</v>
      </c>
      <c r="B60" s="1">
        <v>43586</v>
      </c>
      <c r="C60" t="s">
        <v>157</v>
      </c>
      <c r="D60" t="s">
        <v>93</v>
      </c>
      <c r="E60" t="s">
        <v>49</v>
      </c>
      <c r="F60" t="s">
        <v>172</v>
      </c>
      <c r="G60" s="53">
        <v>43915.631481481483</v>
      </c>
      <c r="H60">
        <v>61</v>
      </c>
      <c r="I60" t="s">
        <v>349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</v>
      </c>
      <c r="T60">
        <v>-2</v>
      </c>
      <c r="U60" t="s">
        <v>349</v>
      </c>
      <c r="V60" t="s">
        <v>349</v>
      </c>
      <c r="W60">
        <v>-2</v>
      </c>
    </row>
    <row r="61" spans="1:23" x14ac:dyDescent="0.25">
      <c r="A61" s="1">
        <v>43586</v>
      </c>
      <c r="B61" s="1">
        <v>43586</v>
      </c>
      <c r="C61" t="s">
        <v>157</v>
      </c>
      <c r="D61" t="s">
        <v>48</v>
      </c>
      <c r="E61" t="s">
        <v>49</v>
      </c>
      <c r="F61" t="s">
        <v>174</v>
      </c>
      <c r="G61" s="53">
        <v>43627</v>
      </c>
      <c r="H61">
        <v>33</v>
      </c>
      <c r="I61">
        <v>8768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5.2645299999999997</v>
      </c>
      <c r="T61">
        <v>75.617000000000004</v>
      </c>
      <c r="U61" t="s">
        <v>349</v>
      </c>
      <c r="V61" t="s">
        <v>349</v>
      </c>
      <c r="W61">
        <v>398</v>
      </c>
    </row>
    <row r="62" spans="1:23" x14ac:dyDescent="0.25">
      <c r="A62" s="1">
        <v>43617</v>
      </c>
      <c r="B62" s="1">
        <v>43617</v>
      </c>
      <c r="C62" t="s">
        <v>157</v>
      </c>
      <c r="D62" t="s">
        <v>54</v>
      </c>
      <c r="E62" t="s">
        <v>21</v>
      </c>
      <c r="F62" t="s">
        <v>175</v>
      </c>
      <c r="G62" s="53">
        <v>43655</v>
      </c>
      <c r="H62">
        <v>33</v>
      </c>
      <c r="I62">
        <v>9022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349</v>
      </c>
      <c r="T62" t="s">
        <v>349</v>
      </c>
      <c r="U62">
        <v>0</v>
      </c>
      <c r="V62">
        <v>0</v>
      </c>
      <c r="W62">
        <v>0</v>
      </c>
    </row>
    <row r="63" spans="1:23" x14ac:dyDescent="0.25">
      <c r="A63" s="1">
        <v>43617</v>
      </c>
      <c r="B63" s="1">
        <v>43617</v>
      </c>
      <c r="C63" t="s">
        <v>157</v>
      </c>
      <c r="D63" t="s">
        <v>93</v>
      </c>
      <c r="E63" t="s">
        <v>49</v>
      </c>
      <c r="F63" t="s">
        <v>176</v>
      </c>
      <c r="G63" s="53">
        <v>43693</v>
      </c>
      <c r="H63">
        <v>33</v>
      </c>
      <c r="I63" t="s">
        <v>349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1.7759450000000001</v>
      </c>
      <c r="T63">
        <v>74.400999999999996</v>
      </c>
      <c r="U63" t="s">
        <v>349</v>
      </c>
      <c r="V63" t="s">
        <v>349</v>
      </c>
      <c r="W63">
        <v>132</v>
      </c>
    </row>
    <row r="64" spans="1:23" x14ac:dyDescent="0.25">
      <c r="A64" s="1">
        <v>43617</v>
      </c>
      <c r="B64" s="1">
        <v>43617</v>
      </c>
      <c r="C64" t="s">
        <v>157</v>
      </c>
      <c r="D64" t="s">
        <v>48</v>
      </c>
      <c r="E64" t="s">
        <v>49</v>
      </c>
      <c r="F64" t="s">
        <v>177</v>
      </c>
      <c r="G64" s="53">
        <v>43655</v>
      </c>
      <c r="H64">
        <v>33</v>
      </c>
      <c r="I64">
        <v>9022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1</v>
      </c>
      <c r="R64" t="s">
        <v>83</v>
      </c>
      <c r="S64">
        <v>790.40862500000003</v>
      </c>
      <c r="T64">
        <v>74.400999999999996</v>
      </c>
      <c r="U64" t="s">
        <v>349</v>
      </c>
      <c r="V64" t="s">
        <v>349</v>
      </c>
      <c r="W64">
        <v>58807</v>
      </c>
    </row>
    <row r="65" spans="1:23" x14ac:dyDescent="0.25">
      <c r="A65" s="1">
        <v>43617</v>
      </c>
      <c r="B65" s="1">
        <v>43617</v>
      </c>
      <c r="C65" t="s">
        <v>157</v>
      </c>
      <c r="D65" t="s">
        <v>54</v>
      </c>
      <c r="E65" t="s">
        <v>21</v>
      </c>
      <c r="F65" t="s">
        <v>175</v>
      </c>
      <c r="G65" s="53">
        <v>43655</v>
      </c>
      <c r="H65">
        <v>33</v>
      </c>
      <c r="I65">
        <v>9022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2</v>
      </c>
      <c r="R65" t="s">
        <v>94</v>
      </c>
      <c r="S65" t="s">
        <v>349</v>
      </c>
      <c r="T65" t="s">
        <v>349</v>
      </c>
      <c r="U65">
        <v>0</v>
      </c>
      <c r="V65">
        <v>0</v>
      </c>
      <c r="W65">
        <v>0</v>
      </c>
    </row>
    <row r="66" spans="1:23" x14ac:dyDescent="0.25">
      <c r="A66" s="1">
        <v>43617</v>
      </c>
      <c r="B66" s="1">
        <v>43617</v>
      </c>
      <c r="C66" t="s">
        <v>157</v>
      </c>
      <c r="D66" t="s">
        <v>93</v>
      </c>
      <c r="E66" t="s">
        <v>49</v>
      </c>
      <c r="F66" t="s">
        <v>176</v>
      </c>
      <c r="G66" s="53">
        <v>43693</v>
      </c>
      <c r="H66">
        <v>33</v>
      </c>
      <c r="I66" t="s">
        <v>349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2</v>
      </c>
      <c r="R66" t="s">
        <v>94</v>
      </c>
      <c r="S66">
        <v>1.1665999999999999E-2</v>
      </c>
      <c r="T66">
        <v>75.736999999999995</v>
      </c>
      <c r="U66" t="s">
        <v>349</v>
      </c>
      <c r="V66" t="s">
        <v>349</v>
      </c>
      <c r="W66">
        <v>1</v>
      </c>
    </row>
    <row r="67" spans="1:23" x14ac:dyDescent="0.25">
      <c r="A67" s="1">
        <v>43617</v>
      </c>
      <c r="B67" s="1">
        <v>43617</v>
      </c>
      <c r="C67" t="s">
        <v>157</v>
      </c>
      <c r="D67" t="s">
        <v>48</v>
      </c>
      <c r="E67" t="s">
        <v>49</v>
      </c>
      <c r="F67" t="s">
        <v>177</v>
      </c>
      <c r="G67" s="53">
        <v>43655</v>
      </c>
      <c r="H67">
        <v>33</v>
      </c>
      <c r="I67">
        <v>9022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2</v>
      </c>
      <c r="R67" t="s">
        <v>94</v>
      </c>
      <c r="S67">
        <v>5.1920700000000002</v>
      </c>
      <c r="T67">
        <v>75.736999999999995</v>
      </c>
      <c r="U67" t="s">
        <v>349</v>
      </c>
      <c r="V67" t="s">
        <v>349</v>
      </c>
      <c r="W67">
        <v>393</v>
      </c>
    </row>
    <row r="68" spans="1:23" x14ac:dyDescent="0.25">
      <c r="A68" s="1">
        <v>43617</v>
      </c>
      <c r="B68" s="1">
        <v>43617</v>
      </c>
      <c r="C68" t="s">
        <v>157</v>
      </c>
      <c r="D68" t="s">
        <v>54</v>
      </c>
      <c r="E68" t="s">
        <v>21</v>
      </c>
      <c r="F68" t="s">
        <v>175</v>
      </c>
      <c r="G68" s="53">
        <v>43655</v>
      </c>
      <c r="H68">
        <v>33</v>
      </c>
      <c r="I68">
        <v>9022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3</v>
      </c>
      <c r="R68" t="s">
        <v>81</v>
      </c>
      <c r="S68" t="s">
        <v>349</v>
      </c>
      <c r="T68" t="s">
        <v>349</v>
      </c>
      <c r="U68">
        <v>0</v>
      </c>
      <c r="V68">
        <v>0</v>
      </c>
      <c r="W68">
        <v>0</v>
      </c>
    </row>
    <row r="69" spans="1:23" x14ac:dyDescent="0.25">
      <c r="A69" s="1">
        <v>43617</v>
      </c>
      <c r="B69" s="1">
        <v>43617</v>
      </c>
      <c r="C69" t="s">
        <v>157</v>
      </c>
      <c r="D69" t="s">
        <v>93</v>
      </c>
      <c r="E69" t="s">
        <v>49</v>
      </c>
      <c r="F69" t="s">
        <v>176</v>
      </c>
      <c r="G69" s="53">
        <v>43693</v>
      </c>
      <c r="H69">
        <v>33</v>
      </c>
      <c r="I69" t="s">
        <v>349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>
        <v>0.55193199999999998</v>
      </c>
      <c r="T69">
        <v>70.436999999999998</v>
      </c>
      <c r="U69" t="s">
        <v>349</v>
      </c>
      <c r="V69" t="s">
        <v>349</v>
      </c>
      <c r="W69">
        <v>39</v>
      </c>
    </row>
    <row r="70" spans="1:23" x14ac:dyDescent="0.25">
      <c r="A70" s="1">
        <v>43617</v>
      </c>
      <c r="B70" s="1">
        <v>43617</v>
      </c>
      <c r="C70" t="s">
        <v>157</v>
      </c>
      <c r="D70" t="s">
        <v>48</v>
      </c>
      <c r="E70" t="s">
        <v>49</v>
      </c>
      <c r="F70" t="s">
        <v>177</v>
      </c>
      <c r="G70" s="53">
        <v>43655</v>
      </c>
      <c r="H70">
        <v>33</v>
      </c>
      <c r="I70">
        <v>9022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3</v>
      </c>
      <c r="R70" t="s">
        <v>81</v>
      </c>
      <c r="S70">
        <v>245.64497900000001</v>
      </c>
      <c r="T70">
        <v>70.436999999999998</v>
      </c>
      <c r="U70" t="s">
        <v>349</v>
      </c>
      <c r="V70" t="s">
        <v>349</v>
      </c>
      <c r="W70">
        <v>17302</v>
      </c>
    </row>
    <row r="71" spans="1:23" x14ac:dyDescent="0.25">
      <c r="A71" s="1">
        <v>43617</v>
      </c>
      <c r="B71" s="1">
        <v>43617</v>
      </c>
      <c r="C71" t="s">
        <v>157</v>
      </c>
      <c r="D71" t="s">
        <v>54</v>
      </c>
      <c r="E71" t="s">
        <v>21</v>
      </c>
      <c r="F71" t="s">
        <v>175</v>
      </c>
      <c r="G71" s="53">
        <v>43655</v>
      </c>
      <c r="H71">
        <v>33</v>
      </c>
      <c r="I71">
        <v>9022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4</v>
      </c>
      <c r="R71" t="s">
        <v>27</v>
      </c>
      <c r="S71" t="s">
        <v>349</v>
      </c>
      <c r="T71" t="s">
        <v>349</v>
      </c>
      <c r="U71">
        <v>0</v>
      </c>
      <c r="V71">
        <v>0</v>
      </c>
      <c r="W71">
        <v>0</v>
      </c>
    </row>
    <row r="72" spans="1:23" x14ac:dyDescent="0.25">
      <c r="A72" s="1">
        <v>43617</v>
      </c>
      <c r="B72" s="1">
        <v>43617</v>
      </c>
      <c r="C72" t="s">
        <v>157</v>
      </c>
      <c r="D72" t="s">
        <v>93</v>
      </c>
      <c r="E72" t="s">
        <v>49</v>
      </c>
      <c r="F72" t="s">
        <v>176</v>
      </c>
      <c r="G72" s="53">
        <v>43693</v>
      </c>
      <c r="H72">
        <v>33</v>
      </c>
      <c r="I72" t="s">
        <v>349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4</v>
      </c>
      <c r="R72" t="s">
        <v>27</v>
      </c>
      <c r="S72">
        <v>2.701975</v>
      </c>
      <c r="T72">
        <v>71.983999999999995</v>
      </c>
      <c r="U72" t="s">
        <v>349</v>
      </c>
      <c r="V72" t="s">
        <v>349</v>
      </c>
      <c r="W72">
        <v>194</v>
      </c>
    </row>
    <row r="73" spans="1:23" x14ac:dyDescent="0.25">
      <c r="A73" s="1">
        <v>43617</v>
      </c>
      <c r="B73" s="1">
        <v>43617</v>
      </c>
      <c r="C73" t="s">
        <v>157</v>
      </c>
      <c r="D73" t="s">
        <v>48</v>
      </c>
      <c r="E73" t="s">
        <v>49</v>
      </c>
      <c r="F73" t="s">
        <v>177</v>
      </c>
      <c r="G73" s="53">
        <v>43655</v>
      </c>
      <c r="H73">
        <v>33</v>
      </c>
      <c r="I73">
        <v>9022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4</v>
      </c>
      <c r="R73" t="s">
        <v>27</v>
      </c>
      <c r="S73">
        <v>1202.550551</v>
      </c>
      <c r="T73">
        <v>71.983999999999995</v>
      </c>
      <c r="U73" t="s">
        <v>349</v>
      </c>
      <c r="V73" t="s">
        <v>349</v>
      </c>
      <c r="W73">
        <v>86564</v>
      </c>
    </row>
    <row r="74" spans="1:23" x14ac:dyDescent="0.25">
      <c r="A74" s="1">
        <v>43617</v>
      </c>
      <c r="B74" s="1">
        <v>43617</v>
      </c>
      <c r="C74" t="s">
        <v>157</v>
      </c>
      <c r="D74" t="s">
        <v>54</v>
      </c>
      <c r="E74" t="s">
        <v>21</v>
      </c>
      <c r="F74" t="s">
        <v>175</v>
      </c>
      <c r="G74" s="53">
        <v>43655</v>
      </c>
      <c r="H74">
        <v>33</v>
      </c>
      <c r="I74">
        <v>9022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5</v>
      </c>
      <c r="R74" t="s">
        <v>28</v>
      </c>
      <c r="S74" t="s">
        <v>349</v>
      </c>
      <c r="T74" t="s">
        <v>349</v>
      </c>
      <c r="U74">
        <v>0</v>
      </c>
      <c r="V74">
        <v>0</v>
      </c>
      <c r="W74">
        <v>0</v>
      </c>
    </row>
    <row r="75" spans="1:23" x14ac:dyDescent="0.25">
      <c r="A75" s="1">
        <v>43617</v>
      </c>
      <c r="B75" s="1">
        <v>43617</v>
      </c>
      <c r="C75" t="s">
        <v>157</v>
      </c>
      <c r="D75" t="s">
        <v>93</v>
      </c>
      <c r="E75" t="s">
        <v>49</v>
      </c>
      <c r="F75" t="s">
        <v>176</v>
      </c>
      <c r="G75" s="53">
        <v>43693</v>
      </c>
      <c r="H75">
        <v>33</v>
      </c>
      <c r="I75" t="s">
        <v>349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5</v>
      </c>
      <c r="R75" t="s">
        <v>28</v>
      </c>
      <c r="S75">
        <v>1.0723999999999999E-2</v>
      </c>
      <c r="T75">
        <v>75.617000000000004</v>
      </c>
      <c r="U75" t="s">
        <v>349</v>
      </c>
      <c r="V75" t="s">
        <v>349</v>
      </c>
      <c r="W75">
        <v>1</v>
      </c>
    </row>
    <row r="76" spans="1:23" x14ac:dyDescent="0.25">
      <c r="A76" s="1">
        <v>43617</v>
      </c>
      <c r="B76" s="1">
        <v>43617</v>
      </c>
      <c r="C76" t="s">
        <v>157</v>
      </c>
      <c r="D76" t="s">
        <v>48</v>
      </c>
      <c r="E76" t="s">
        <v>49</v>
      </c>
      <c r="F76" t="s">
        <v>177</v>
      </c>
      <c r="G76" s="53">
        <v>43655</v>
      </c>
      <c r="H76">
        <v>33</v>
      </c>
      <c r="I76">
        <v>9022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>
        <v>4.7729540000000004</v>
      </c>
      <c r="T76">
        <v>75.617000000000004</v>
      </c>
      <c r="U76" t="s">
        <v>349</v>
      </c>
      <c r="V76" t="s">
        <v>349</v>
      </c>
      <c r="W76">
        <v>361</v>
      </c>
    </row>
    <row r="77" spans="1:23" x14ac:dyDescent="0.25">
      <c r="A77" s="1">
        <v>43647</v>
      </c>
      <c r="B77" s="1">
        <v>43647</v>
      </c>
      <c r="C77" t="s">
        <v>157</v>
      </c>
      <c r="D77" t="s">
        <v>54</v>
      </c>
      <c r="E77" t="s">
        <v>21</v>
      </c>
      <c r="F77" t="s">
        <v>180</v>
      </c>
      <c r="G77" s="53">
        <v>43686</v>
      </c>
      <c r="H77">
        <v>33</v>
      </c>
      <c r="I77">
        <v>9466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349</v>
      </c>
      <c r="T77" t="s">
        <v>349</v>
      </c>
      <c r="U77">
        <v>0</v>
      </c>
      <c r="V77">
        <v>0</v>
      </c>
      <c r="W77">
        <v>0</v>
      </c>
    </row>
    <row r="78" spans="1:23" x14ac:dyDescent="0.25">
      <c r="A78" s="1">
        <v>43647</v>
      </c>
      <c r="B78" s="1">
        <v>43647</v>
      </c>
      <c r="C78" t="s">
        <v>157</v>
      </c>
      <c r="D78" t="s">
        <v>93</v>
      </c>
      <c r="E78" t="s">
        <v>49</v>
      </c>
      <c r="F78" t="s">
        <v>179</v>
      </c>
      <c r="G78" s="53">
        <v>43914.908402777779</v>
      </c>
      <c r="H78">
        <v>61</v>
      </c>
      <c r="I78" t="s">
        <v>349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1</v>
      </c>
      <c r="R78" t="s">
        <v>83</v>
      </c>
      <c r="S78">
        <v>1</v>
      </c>
      <c r="T78">
        <v>-19</v>
      </c>
      <c r="U78" t="s">
        <v>349</v>
      </c>
      <c r="V78" t="s">
        <v>349</v>
      </c>
      <c r="W78">
        <v>-19</v>
      </c>
    </row>
    <row r="79" spans="1:23" x14ac:dyDescent="0.25">
      <c r="A79" s="1">
        <v>43647</v>
      </c>
      <c r="B79" s="1">
        <v>43647</v>
      </c>
      <c r="C79" t="s">
        <v>157</v>
      </c>
      <c r="D79" t="s">
        <v>48</v>
      </c>
      <c r="E79" t="s">
        <v>49</v>
      </c>
      <c r="F79" t="s">
        <v>178</v>
      </c>
      <c r="G79" s="53">
        <v>43686</v>
      </c>
      <c r="H79">
        <v>33</v>
      </c>
      <c r="I79">
        <v>9466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1</v>
      </c>
      <c r="R79" t="s">
        <v>83</v>
      </c>
      <c r="S79">
        <v>842.75503100000003</v>
      </c>
      <c r="T79">
        <v>74.400999999999996</v>
      </c>
      <c r="U79" t="s">
        <v>349</v>
      </c>
      <c r="V79" t="s">
        <v>349</v>
      </c>
      <c r="W79">
        <v>62702</v>
      </c>
    </row>
    <row r="80" spans="1:23" x14ac:dyDescent="0.25">
      <c r="A80" s="1">
        <v>43647</v>
      </c>
      <c r="B80" s="1">
        <v>43647</v>
      </c>
      <c r="C80" t="s">
        <v>157</v>
      </c>
      <c r="D80" t="s">
        <v>54</v>
      </c>
      <c r="E80" t="s">
        <v>21</v>
      </c>
      <c r="F80" t="s">
        <v>180</v>
      </c>
      <c r="G80" s="53">
        <v>43686</v>
      </c>
      <c r="H80">
        <v>33</v>
      </c>
      <c r="I80">
        <v>9466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2</v>
      </c>
      <c r="R80" t="s">
        <v>94</v>
      </c>
      <c r="S80" t="s">
        <v>349</v>
      </c>
      <c r="T80" t="s">
        <v>349</v>
      </c>
      <c r="U80">
        <v>0</v>
      </c>
      <c r="V80">
        <v>0</v>
      </c>
      <c r="W80">
        <v>0</v>
      </c>
    </row>
    <row r="81" spans="1:23" x14ac:dyDescent="0.25">
      <c r="A81" s="1">
        <v>43647</v>
      </c>
      <c r="B81" s="1">
        <v>43647</v>
      </c>
      <c r="C81" t="s">
        <v>157</v>
      </c>
      <c r="D81" t="s">
        <v>48</v>
      </c>
      <c r="E81" t="s">
        <v>49</v>
      </c>
      <c r="F81" t="s">
        <v>178</v>
      </c>
      <c r="G81" s="53">
        <v>43686</v>
      </c>
      <c r="H81">
        <v>33</v>
      </c>
      <c r="I81">
        <v>9466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3.6725080000000001</v>
      </c>
      <c r="T81">
        <v>75.736999999999995</v>
      </c>
      <c r="U81" t="s">
        <v>349</v>
      </c>
      <c r="V81" t="s">
        <v>349</v>
      </c>
      <c r="W81">
        <v>278</v>
      </c>
    </row>
    <row r="82" spans="1:23" x14ac:dyDescent="0.25">
      <c r="A82" s="1">
        <v>43647</v>
      </c>
      <c r="B82" s="1">
        <v>43647</v>
      </c>
      <c r="C82" t="s">
        <v>157</v>
      </c>
      <c r="D82" t="s">
        <v>54</v>
      </c>
      <c r="E82" t="s">
        <v>21</v>
      </c>
      <c r="F82" t="s">
        <v>180</v>
      </c>
      <c r="G82" s="53">
        <v>43686</v>
      </c>
      <c r="H82">
        <v>33</v>
      </c>
      <c r="I82">
        <v>9466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 t="s">
        <v>349</v>
      </c>
      <c r="T82" t="s">
        <v>349</v>
      </c>
      <c r="U82">
        <v>0</v>
      </c>
      <c r="V82">
        <v>0</v>
      </c>
      <c r="W82">
        <v>0</v>
      </c>
    </row>
    <row r="83" spans="1:23" x14ac:dyDescent="0.25">
      <c r="A83" s="1">
        <v>43647</v>
      </c>
      <c r="B83" s="1">
        <v>43647</v>
      </c>
      <c r="C83" t="s">
        <v>157</v>
      </c>
      <c r="D83" t="s">
        <v>93</v>
      </c>
      <c r="E83" t="s">
        <v>49</v>
      </c>
      <c r="F83" t="s">
        <v>179</v>
      </c>
      <c r="G83" s="53">
        <v>43914.908402777779</v>
      </c>
      <c r="H83">
        <v>61</v>
      </c>
      <c r="I83" t="s">
        <v>349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3</v>
      </c>
      <c r="R83" t="s">
        <v>81</v>
      </c>
      <c r="S83">
        <v>1</v>
      </c>
      <c r="T83">
        <v>-3</v>
      </c>
      <c r="U83" t="s">
        <v>349</v>
      </c>
      <c r="V83" t="s">
        <v>349</v>
      </c>
      <c r="W83">
        <v>-3</v>
      </c>
    </row>
    <row r="84" spans="1:23" x14ac:dyDescent="0.25">
      <c r="A84" s="1">
        <v>43647</v>
      </c>
      <c r="B84" s="1">
        <v>43647</v>
      </c>
      <c r="C84" t="s">
        <v>157</v>
      </c>
      <c r="D84" t="s">
        <v>48</v>
      </c>
      <c r="E84" t="s">
        <v>49</v>
      </c>
      <c r="F84" t="s">
        <v>178</v>
      </c>
      <c r="G84" s="53">
        <v>43686</v>
      </c>
      <c r="H84">
        <v>33</v>
      </c>
      <c r="I84">
        <v>9466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>
        <v>171.56035499999999</v>
      </c>
      <c r="T84">
        <v>70.436999999999998</v>
      </c>
      <c r="U84" t="s">
        <v>349</v>
      </c>
      <c r="V84" t="s">
        <v>349</v>
      </c>
      <c r="W84">
        <v>12084</v>
      </c>
    </row>
    <row r="85" spans="1:23" x14ac:dyDescent="0.25">
      <c r="A85" s="1">
        <v>43647</v>
      </c>
      <c r="B85" s="1">
        <v>43647</v>
      </c>
      <c r="C85" t="s">
        <v>157</v>
      </c>
      <c r="D85" t="s">
        <v>54</v>
      </c>
      <c r="E85" t="s">
        <v>21</v>
      </c>
      <c r="F85" t="s">
        <v>180</v>
      </c>
      <c r="G85" s="53">
        <v>43686</v>
      </c>
      <c r="H85">
        <v>33</v>
      </c>
      <c r="I85">
        <v>9466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349</v>
      </c>
      <c r="T85" t="s">
        <v>349</v>
      </c>
      <c r="U85">
        <v>0</v>
      </c>
      <c r="V85">
        <v>0</v>
      </c>
      <c r="W85">
        <v>0</v>
      </c>
    </row>
    <row r="86" spans="1:23" x14ac:dyDescent="0.25">
      <c r="A86" s="1">
        <v>43647</v>
      </c>
      <c r="B86" s="1">
        <v>43647</v>
      </c>
      <c r="C86" t="s">
        <v>157</v>
      </c>
      <c r="D86" t="s">
        <v>93</v>
      </c>
      <c r="E86" t="s">
        <v>49</v>
      </c>
      <c r="F86" t="s">
        <v>179</v>
      </c>
      <c r="G86" s="53">
        <v>43914.908402777779</v>
      </c>
      <c r="H86">
        <v>61</v>
      </c>
      <c r="I86" t="s">
        <v>349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4</v>
      </c>
      <c r="R86" t="s">
        <v>27</v>
      </c>
      <c r="S86">
        <v>1</v>
      </c>
      <c r="T86">
        <v>-25</v>
      </c>
      <c r="U86" t="s">
        <v>349</v>
      </c>
      <c r="V86" t="s">
        <v>349</v>
      </c>
      <c r="W86">
        <v>-25</v>
      </c>
    </row>
    <row r="87" spans="1:23" x14ac:dyDescent="0.25">
      <c r="A87" s="1">
        <v>43647</v>
      </c>
      <c r="B87" s="1">
        <v>43647</v>
      </c>
      <c r="C87" t="s">
        <v>157</v>
      </c>
      <c r="D87" t="s">
        <v>48</v>
      </c>
      <c r="E87" t="s">
        <v>49</v>
      </c>
      <c r="F87" t="s">
        <v>178</v>
      </c>
      <c r="G87" s="53">
        <v>43686</v>
      </c>
      <c r="H87">
        <v>33</v>
      </c>
      <c r="I87">
        <v>9466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4</v>
      </c>
      <c r="R87" t="s">
        <v>27</v>
      </c>
      <c r="S87">
        <v>1210.3736879999999</v>
      </c>
      <c r="T87">
        <v>71.983999999999995</v>
      </c>
      <c r="U87" t="s">
        <v>349</v>
      </c>
      <c r="V87" t="s">
        <v>349</v>
      </c>
      <c r="W87">
        <v>87128</v>
      </c>
    </row>
    <row r="88" spans="1:23" x14ac:dyDescent="0.25">
      <c r="A88" s="1">
        <v>43647</v>
      </c>
      <c r="B88" s="1">
        <v>43647</v>
      </c>
      <c r="C88" t="s">
        <v>157</v>
      </c>
      <c r="D88" t="s">
        <v>54</v>
      </c>
      <c r="E88" t="s">
        <v>21</v>
      </c>
      <c r="F88" t="s">
        <v>180</v>
      </c>
      <c r="G88" s="53">
        <v>43686</v>
      </c>
      <c r="H88">
        <v>33</v>
      </c>
      <c r="I88">
        <v>9466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5</v>
      </c>
      <c r="R88" t="s">
        <v>28</v>
      </c>
      <c r="S88" t="s">
        <v>349</v>
      </c>
      <c r="T88" t="s">
        <v>349</v>
      </c>
      <c r="U88">
        <v>0</v>
      </c>
      <c r="V88">
        <v>0</v>
      </c>
      <c r="W88">
        <v>0</v>
      </c>
    </row>
    <row r="89" spans="1:23" x14ac:dyDescent="0.25">
      <c r="A89" s="1">
        <v>43647</v>
      </c>
      <c r="B89" s="1">
        <v>43647</v>
      </c>
      <c r="C89" t="s">
        <v>157</v>
      </c>
      <c r="D89" t="s">
        <v>48</v>
      </c>
      <c r="E89" t="s">
        <v>49</v>
      </c>
      <c r="F89" t="s">
        <v>178</v>
      </c>
      <c r="G89" s="53">
        <v>43686</v>
      </c>
      <c r="H89">
        <v>33</v>
      </c>
      <c r="I89">
        <v>9466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5</v>
      </c>
      <c r="R89" t="s">
        <v>28</v>
      </c>
      <c r="S89">
        <v>3.7772670000000002</v>
      </c>
      <c r="T89">
        <v>75.617000000000004</v>
      </c>
      <c r="U89" t="s">
        <v>349</v>
      </c>
      <c r="V89" t="s">
        <v>349</v>
      </c>
      <c r="W89">
        <v>286</v>
      </c>
    </row>
    <row r="90" spans="1:23" x14ac:dyDescent="0.25">
      <c r="A90" s="1">
        <v>43678</v>
      </c>
      <c r="B90" s="1">
        <v>43678</v>
      </c>
      <c r="C90" t="s">
        <v>157</v>
      </c>
      <c r="D90" t="s">
        <v>93</v>
      </c>
      <c r="E90" t="s">
        <v>49</v>
      </c>
      <c r="F90" t="s">
        <v>182</v>
      </c>
      <c r="G90" s="53">
        <v>43915.393750000003</v>
      </c>
      <c r="H90">
        <v>61</v>
      </c>
      <c r="I90" t="s">
        <v>349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1</v>
      </c>
      <c r="R90" t="s">
        <v>83</v>
      </c>
      <c r="S90">
        <v>1</v>
      </c>
      <c r="T90">
        <v>-415</v>
      </c>
      <c r="U90" t="s">
        <v>349</v>
      </c>
      <c r="V90" t="s">
        <v>349</v>
      </c>
      <c r="W90">
        <v>-415</v>
      </c>
    </row>
    <row r="91" spans="1:23" x14ac:dyDescent="0.25">
      <c r="A91" s="1">
        <v>43678</v>
      </c>
      <c r="B91" s="1">
        <v>43678</v>
      </c>
      <c r="C91" t="s">
        <v>157</v>
      </c>
      <c r="D91" t="s">
        <v>48</v>
      </c>
      <c r="E91" t="s">
        <v>49</v>
      </c>
      <c r="F91" t="s">
        <v>181</v>
      </c>
      <c r="G91" s="53">
        <v>43719</v>
      </c>
      <c r="H91">
        <v>33</v>
      </c>
      <c r="I91">
        <v>9996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1</v>
      </c>
      <c r="R91" t="s">
        <v>83</v>
      </c>
      <c r="S91">
        <v>797.16753600000004</v>
      </c>
      <c r="T91">
        <v>74.400999999999996</v>
      </c>
      <c r="U91" t="s">
        <v>349</v>
      </c>
      <c r="V91" t="s">
        <v>349</v>
      </c>
      <c r="W91">
        <v>59310</v>
      </c>
    </row>
    <row r="92" spans="1:23" x14ac:dyDescent="0.25">
      <c r="A92" s="1">
        <v>43678</v>
      </c>
      <c r="B92" s="1">
        <v>43739</v>
      </c>
      <c r="C92" t="s">
        <v>157</v>
      </c>
      <c r="D92" t="s">
        <v>54</v>
      </c>
      <c r="E92" t="s">
        <v>21</v>
      </c>
      <c r="F92" t="s">
        <v>183</v>
      </c>
      <c r="G92" s="53">
        <v>43719</v>
      </c>
      <c r="H92">
        <v>33</v>
      </c>
      <c r="I92">
        <v>9996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349</v>
      </c>
      <c r="T92" t="s">
        <v>349</v>
      </c>
      <c r="U92">
        <v>0</v>
      </c>
      <c r="V92">
        <v>0</v>
      </c>
      <c r="W92">
        <v>0</v>
      </c>
    </row>
    <row r="93" spans="1:23" x14ac:dyDescent="0.25">
      <c r="A93" s="1">
        <v>43678</v>
      </c>
      <c r="B93" s="1">
        <v>43678</v>
      </c>
      <c r="C93" t="s">
        <v>157</v>
      </c>
      <c r="D93" t="s">
        <v>93</v>
      </c>
      <c r="E93" t="s">
        <v>49</v>
      </c>
      <c r="F93" t="s">
        <v>182</v>
      </c>
      <c r="G93" s="53">
        <v>43915.393750000003</v>
      </c>
      <c r="H93">
        <v>61</v>
      </c>
      <c r="I93" t="s">
        <v>349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>
        <v>1</v>
      </c>
      <c r="T93">
        <v>-2</v>
      </c>
      <c r="U93" t="s">
        <v>349</v>
      </c>
      <c r="V93" t="s">
        <v>349</v>
      </c>
      <c r="W93">
        <v>-2</v>
      </c>
    </row>
    <row r="94" spans="1:23" x14ac:dyDescent="0.25">
      <c r="A94" s="1">
        <v>43678</v>
      </c>
      <c r="B94" s="1">
        <v>43678</v>
      </c>
      <c r="C94" t="s">
        <v>157</v>
      </c>
      <c r="D94" t="s">
        <v>48</v>
      </c>
      <c r="E94" t="s">
        <v>49</v>
      </c>
      <c r="F94" t="s">
        <v>181</v>
      </c>
      <c r="G94" s="53">
        <v>43719</v>
      </c>
      <c r="H94">
        <v>33</v>
      </c>
      <c r="I94">
        <v>9996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2</v>
      </c>
      <c r="R94" t="s">
        <v>94</v>
      </c>
      <c r="S94">
        <v>3.3512949999999999</v>
      </c>
      <c r="T94">
        <v>75.736999999999995</v>
      </c>
      <c r="U94" t="s">
        <v>349</v>
      </c>
      <c r="V94" t="s">
        <v>349</v>
      </c>
      <c r="W94">
        <v>254</v>
      </c>
    </row>
    <row r="95" spans="1:23" x14ac:dyDescent="0.25">
      <c r="A95" s="1">
        <v>43678</v>
      </c>
      <c r="B95" s="1">
        <v>43739</v>
      </c>
      <c r="C95" t="s">
        <v>157</v>
      </c>
      <c r="D95" t="s">
        <v>54</v>
      </c>
      <c r="E95" t="s">
        <v>21</v>
      </c>
      <c r="F95" t="s">
        <v>183</v>
      </c>
      <c r="G95" s="53">
        <v>43719</v>
      </c>
      <c r="H95">
        <v>33</v>
      </c>
      <c r="I95">
        <v>9996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2</v>
      </c>
      <c r="R95" t="s">
        <v>94</v>
      </c>
      <c r="S95" t="s">
        <v>349</v>
      </c>
      <c r="T95" t="s">
        <v>349</v>
      </c>
      <c r="U95">
        <v>0</v>
      </c>
      <c r="V95">
        <v>0</v>
      </c>
      <c r="W95">
        <v>0</v>
      </c>
    </row>
    <row r="96" spans="1:23" x14ac:dyDescent="0.25">
      <c r="A96" s="1">
        <v>43678</v>
      </c>
      <c r="B96" s="1">
        <v>43678</v>
      </c>
      <c r="C96" t="s">
        <v>157</v>
      </c>
      <c r="D96" t="s">
        <v>93</v>
      </c>
      <c r="E96" t="s">
        <v>49</v>
      </c>
      <c r="F96" t="s">
        <v>182</v>
      </c>
      <c r="G96" s="53">
        <v>43915.393750000003</v>
      </c>
      <c r="H96">
        <v>61</v>
      </c>
      <c r="I96" t="s">
        <v>349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</v>
      </c>
      <c r="T96">
        <v>-80</v>
      </c>
      <c r="U96" t="s">
        <v>349</v>
      </c>
      <c r="V96" t="s">
        <v>349</v>
      </c>
      <c r="W96">
        <v>-80</v>
      </c>
    </row>
    <row r="97" spans="1:23" x14ac:dyDescent="0.25">
      <c r="A97" s="1">
        <v>43678</v>
      </c>
      <c r="B97" s="1">
        <v>43678</v>
      </c>
      <c r="C97" t="s">
        <v>157</v>
      </c>
      <c r="D97" t="s">
        <v>48</v>
      </c>
      <c r="E97" t="s">
        <v>49</v>
      </c>
      <c r="F97" t="s">
        <v>181</v>
      </c>
      <c r="G97" s="53">
        <v>43719</v>
      </c>
      <c r="H97">
        <v>33</v>
      </c>
      <c r="I97">
        <v>9996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3</v>
      </c>
      <c r="R97" t="s">
        <v>81</v>
      </c>
      <c r="S97">
        <v>162.116804</v>
      </c>
      <c r="T97">
        <v>70.436999999999998</v>
      </c>
      <c r="U97" t="s">
        <v>349</v>
      </c>
      <c r="V97" t="s">
        <v>349</v>
      </c>
      <c r="W97">
        <v>11419</v>
      </c>
    </row>
    <row r="98" spans="1:23" x14ac:dyDescent="0.25">
      <c r="A98" s="1">
        <v>43678</v>
      </c>
      <c r="B98" s="1">
        <v>43739</v>
      </c>
      <c r="C98" t="s">
        <v>157</v>
      </c>
      <c r="D98" t="s">
        <v>54</v>
      </c>
      <c r="E98" t="s">
        <v>21</v>
      </c>
      <c r="F98" t="s">
        <v>183</v>
      </c>
      <c r="G98" s="53">
        <v>43719</v>
      </c>
      <c r="H98">
        <v>33</v>
      </c>
      <c r="I98">
        <v>9996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3</v>
      </c>
      <c r="R98" t="s">
        <v>81</v>
      </c>
      <c r="S98" t="s">
        <v>349</v>
      </c>
      <c r="T98" t="s">
        <v>349</v>
      </c>
      <c r="U98">
        <v>0</v>
      </c>
      <c r="V98">
        <v>0</v>
      </c>
      <c r="W98">
        <v>0</v>
      </c>
    </row>
    <row r="99" spans="1:23" x14ac:dyDescent="0.25">
      <c r="A99" s="1">
        <v>43678</v>
      </c>
      <c r="B99" s="1">
        <v>43678</v>
      </c>
      <c r="C99" t="s">
        <v>157</v>
      </c>
      <c r="D99" t="s">
        <v>93</v>
      </c>
      <c r="E99" t="s">
        <v>49</v>
      </c>
      <c r="F99" t="s">
        <v>182</v>
      </c>
      <c r="G99" s="53">
        <v>43915.393750000003</v>
      </c>
      <c r="H99">
        <v>61</v>
      </c>
      <c r="I99" t="s">
        <v>349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-572</v>
      </c>
      <c r="U99" t="s">
        <v>349</v>
      </c>
      <c r="V99" t="s">
        <v>349</v>
      </c>
      <c r="W99">
        <v>-572</v>
      </c>
    </row>
    <row r="100" spans="1:23" x14ac:dyDescent="0.25">
      <c r="A100" s="1">
        <v>43678</v>
      </c>
      <c r="B100" s="1">
        <v>43678</v>
      </c>
      <c r="C100" t="s">
        <v>157</v>
      </c>
      <c r="D100" t="s">
        <v>48</v>
      </c>
      <c r="E100" t="s">
        <v>49</v>
      </c>
      <c r="F100" t="s">
        <v>181</v>
      </c>
      <c r="G100" s="53">
        <v>43719</v>
      </c>
      <c r="H100">
        <v>33</v>
      </c>
      <c r="I100">
        <v>9996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1136.702366</v>
      </c>
      <c r="T100">
        <v>71.983999999999995</v>
      </c>
      <c r="U100" t="s">
        <v>349</v>
      </c>
      <c r="V100" t="s">
        <v>349</v>
      </c>
      <c r="W100">
        <v>81824</v>
      </c>
    </row>
    <row r="101" spans="1:23" x14ac:dyDescent="0.25">
      <c r="A101" s="1">
        <v>43678</v>
      </c>
      <c r="B101" s="1">
        <v>43739</v>
      </c>
      <c r="C101" t="s">
        <v>157</v>
      </c>
      <c r="D101" t="s">
        <v>54</v>
      </c>
      <c r="E101" t="s">
        <v>21</v>
      </c>
      <c r="F101" t="s">
        <v>183</v>
      </c>
      <c r="G101" s="53">
        <v>43719</v>
      </c>
      <c r="H101">
        <v>33</v>
      </c>
      <c r="I101">
        <v>9996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4</v>
      </c>
      <c r="R101" t="s">
        <v>27</v>
      </c>
      <c r="S101" t="s">
        <v>349</v>
      </c>
      <c r="T101" t="s">
        <v>349</v>
      </c>
      <c r="U101">
        <v>0</v>
      </c>
      <c r="V101">
        <v>0</v>
      </c>
      <c r="W101">
        <v>0</v>
      </c>
    </row>
    <row r="102" spans="1:23" x14ac:dyDescent="0.25">
      <c r="A102" s="1">
        <v>43678</v>
      </c>
      <c r="B102" s="1">
        <v>43678</v>
      </c>
      <c r="C102" t="s">
        <v>157</v>
      </c>
      <c r="D102" t="s">
        <v>93</v>
      </c>
      <c r="E102" t="s">
        <v>49</v>
      </c>
      <c r="F102" t="s">
        <v>182</v>
      </c>
      <c r="G102" s="53">
        <v>43915.393750000003</v>
      </c>
      <c r="H102">
        <v>61</v>
      </c>
      <c r="I102" t="s">
        <v>349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1</v>
      </c>
      <c r="T102">
        <v>-2</v>
      </c>
      <c r="U102" t="s">
        <v>349</v>
      </c>
      <c r="V102" t="s">
        <v>349</v>
      </c>
      <c r="W102">
        <v>-2</v>
      </c>
    </row>
    <row r="103" spans="1:23" x14ac:dyDescent="0.25">
      <c r="A103" s="1">
        <v>43678</v>
      </c>
      <c r="B103" s="1">
        <v>43678</v>
      </c>
      <c r="C103" t="s">
        <v>157</v>
      </c>
      <c r="D103" t="s">
        <v>48</v>
      </c>
      <c r="E103" t="s">
        <v>49</v>
      </c>
      <c r="F103" t="s">
        <v>181</v>
      </c>
      <c r="G103" s="53">
        <v>43719</v>
      </c>
      <c r="H103">
        <v>33</v>
      </c>
      <c r="I103">
        <v>9996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3.471597</v>
      </c>
      <c r="T103">
        <v>75.617000000000004</v>
      </c>
      <c r="U103" t="s">
        <v>349</v>
      </c>
      <c r="V103" t="s">
        <v>349</v>
      </c>
      <c r="W103">
        <v>263</v>
      </c>
    </row>
    <row r="104" spans="1:23" x14ac:dyDescent="0.25">
      <c r="A104" s="1">
        <v>43678</v>
      </c>
      <c r="B104" s="1">
        <v>43739</v>
      </c>
      <c r="C104" t="s">
        <v>157</v>
      </c>
      <c r="D104" t="s">
        <v>54</v>
      </c>
      <c r="E104" t="s">
        <v>21</v>
      </c>
      <c r="F104" t="s">
        <v>183</v>
      </c>
      <c r="G104" s="53">
        <v>43719</v>
      </c>
      <c r="H104">
        <v>33</v>
      </c>
      <c r="I104">
        <v>9996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 t="s">
        <v>349</v>
      </c>
      <c r="T104" t="s">
        <v>349</v>
      </c>
      <c r="U104">
        <v>0</v>
      </c>
      <c r="V104">
        <v>0</v>
      </c>
      <c r="W104">
        <v>0</v>
      </c>
    </row>
    <row r="105" spans="1:23" x14ac:dyDescent="0.25">
      <c r="A105" s="1">
        <v>43709</v>
      </c>
      <c r="B105" s="1">
        <v>43709</v>
      </c>
      <c r="C105" t="s">
        <v>157</v>
      </c>
      <c r="D105" t="s">
        <v>48</v>
      </c>
      <c r="E105" t="s">
        <v>49</v>
      </c>
      <c r="F105" t="s">
        <v>184</v>
      </c>
      <c r="G105" s="53">
        <v>43748</v>
      </c>
      <c r="H105">
        <v>33</v>
      </c>
      <c r="I105">
        <v>10390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755.96651699999995</v>
      </c>
      <c r="T105">
        <v>77.384</v>
      </c>
      <c r="U105" t="s">
        <v>349</v>
      </c>
      <c r="V105" t="s">
        <v>349</v>
      </c>
      <c r="W105">
        <v>58500</v>
      </c>
    </row>
    <row r="106" spans="1:23" x14ac:dyDescent="0.25">
      <c r="A106" s="1">
        <v>43709</v>
      </c>
      <c r="B106" s="1">
        <v>43739</v>
      </c>
      <c r="C106" t="s">
        <v>157</v>
      </c>
      <c r="D106" t="s">
        <v>54</v>
      </c>
      <c r="E106" t="s">
        <v>21</v>
      </c>
      <c r="F106" t="s">
        <v>183</v>
      </c>
      <c r="G106" s="53">
        <v>43748</v>
      </c>
      <c r="H106">
        <v>33</v>
      </c>
      <c r="I106">
        <v>10390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 t="s">
        <v>349</v>
      </c>
      <c r="T106" t="s">
        <v>349</v>
      </c>
      <c r="U106">
        <v>0</v>
      </c>
      <c r="V106">
        <v>0</v>
      </c>
      <c r="W106">
        <v>0</v>
      </c>
    </row>
    <row r="107" spans="1:23" x14ac:dyDescent="0.25">
      <c r="A107" s="1">
        <v>43709</v>
      </c>
      <c r="B107" s="1">
        <v>43709</v>
      </c>
      <c r="C107" t="s">
        <v>157</v>
      </c>
      <c r="D107" t="s">
        <v>48</v>
      </c>
      <c r="E107" t="s">
        <v>49</v>
      </c>
      <c r="F107" t="s">
        <v>184</v>
      </c>
      <c r="G107" s="53">
        <v>43748</v>
      </c>
      <c r="H107">
        <v>33</v>
      </c>
      <c r="I107">
        <v>10390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3.2400500000000001</v>
      </c>
      <c r="T107">
        <v>79.429000000000002</v>
      </c>
      <c r="U107" t="s">
        <v>349</v>
      </c>
      <c r="V107" t="s">
        <v>349</v>
      </c>
      <c r="W107">
        <v>257</v>
      </c>
    </row>
    <row r="108" spans="1:23" x14ac:dyDescent="0.25">
      <c r="A108" s="1">
        <v>43709</v>
      </c>
      <c r="B108" s="1">
        <v>43739</v>
      </c>
      <c r="C108" t="s">
        <v>157</v>
      </c>
      <c r="D108" t="s">
        <v>54</v>
      </c>
      <c r="E108" t="s">
        <v>21</v>
      </c>
      <c r="F108" t="s">
        <v>183</v>
      </c>
      <c r="G108" s="53">
        <v>43748</v>
      </c>
      <c r="H108">
        <v>33</v>
      </c>
      <c r="I108">
        <v>10390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349</v>
      </c>
      <c r="T108" t="s">
        <v>349</v>
      </c>
      <c r="U108">
        <v>0</v>
      </c>
      <c r="V108">
        <v>0</v>
      </c>
      <c r="W108">
        <v>0</v>
      </c>
    </row>
    <row r="109" spans="1:23" x14ac:dyDescent="0.25">
      <c r="A109" s="1">
        <v>43709</v>
      </c>
      <c r="B109" s="1">
        <v>43709</v>
      </c>
      <c r="C109" t="s">
        <v>157</v>
      </c>
      <c r="D109" t="s">
        <v>48</v>
      </c>
      <c r="E109" t="s">
        <v>49</v>
      </c>
      <c r="F109" t="s">
        <v>184</v>
      </c>
      <c r="G109" s="53">
        <v>43748</v>
      </c>
      <c r="H109">
        <v>33</v>
      </c>
      <c r="I109">
        <v>10390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154.713278</v>
      </c>
      <c r="T109">
        <v>72.400000000000006</v>
      </c>
      <c r="U109" t="s">
        <v>349</v>
      </c>
      <c r="V109" t="s">
        <v>349</v>
      </c>
      <c r="W109">
        <v>11201</v>
      </c>
    </row>
    <row r="110" spans="1:23" x14ac:dyDescent="0.25">
      <c r="A110" s="1">
        <v>43709</v>
      </c>
      <c r="B110" s="1">
        <v>43739</v>
      </c>
      <c r="C110" t="s">
        <v>157</v>
      </c>
      <c r="D110" t="s">
        <v>54</v>
      </c>
      <c r="E110" t="s">
        <v>21</v>
      </c>
      <c r="F110" t="s">
        <v>183</v>
      </c>
      <c r="G110" s="53">
        <v>43748</v>
      </c>
      <c r="H110">
        <v>33</v>
      </c>
      <c r="I110">
        <v>10390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3</v>
      </c>
      <c r="R110" t="s">
        <v>81</v>
      </c>
      <c r="S110" t="s">
        <v>349</v>
      </c>
      <c r="T110" t="s">
        <v>349</v>
      </c>
      <c r="U110">
        <v>0</v>
      </c>
      <c r="V110">
        <v>0</v>
      </c>
      <c r="W110">
        <v>0</v>
      </c>
    </row>
    <row r="111" spans="1:23" x14ac:dyDescent="0.25">
      <c r="A111" s="1">
        <v>43709</v>
      </c>
      <c r="B111" s="1">
        <v>43709</v>
      </c>
      <c r="C111" t="s">
        <v>157</v>
      </c>
      <c r="D111" t="s">
        <v>48</v>
      </c>
      <c r="E111" t="s">
        <v>49</v>
      </c>
      <c r="F111" t="s">
        <v>184</v>
      </c>
      <c r="G111" s="53">
        <v>43748</v>
      </c>
      <c r="H111">
        <v>33</v>
      </c>
      <c r="I111">
        <v>10390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1084.175843</v>
      </c>
      <c r="T111">
        <v>74.936000000000007</v>
      </c>
      <c r="U111" t="s">
        <v>349</v>
      </c>
      <c r="V111" t="s">
        <v>349</v>
      </c>
      <c r="W111">
        <v>81244</v>
      </c>
    </row>
    <row r="112" spans="1:23" x14ac:dyDescent="0.25">
      <c r="A112" s="1">
        <v>43709</v>
      </c>
      <c r="B112" s="1">
        <v>43739</v>
      </c>
      <c r="C112" t="s">
        <v>157</v>
      </c>
      <c r="D112" t="s">
        <v>54</v>
      </c>
      <c r="E112" t="s">
        <v>21</v>
      </c>
      <c r="F112" t="s">
        <v>183</v>
      </c>
      <c r="G112" s="53">
        <v>43748</v>
      </c>
      <c r="H112">
        <v>33</v>
      </c>
      <c r="I112">
        <v>10390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4</v>
      </c>
      <c r="R112" t="s">
        <v>27</v>
      </c>
      <c r="S112" t="s">
        <v>349</v>
      </c>
      <c r="T112" t="s">
        <v>349</v>
      </c>
      <c r="U112">
        <v>0</v>
      </c>
      <c r="V112">
        <v>0</v>
      </c>
      <c r="W112">
        <v>0</v>
      </c>
    </row>
    <row r="113" spans="1:23" x14ac:dyDescent="0.25">
      <c r="A113" s="1">
        <v>43709</v>
      </c>
      <c r="B113" s="1">
        <v>43709</v>
      </c>
      <c r="C113" t="s">
        <v>157</v>
      </c>
      <c r="D113" t="s">
        <v>48</v>
      </c>
      <c r="E113" t="s">
        <v>49</v>
      </c>
      <c r="F113" t="s">
        <v>184</v>
      </c>
      <c r="G113" s="53">
        <v>43748</v>
      </c>
      <c r="H113">
        <v>33</v>
      </c>
      <c r="I113">
        <v>10390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3.3587340000000001</v>
      </c>
      <c r="T113">
        <v>75.665000000000006</v>
      </c>
      <c r="U113" t="s">
        <v>349</v>
      </c>
      <c r="V113" t="s">
        <v>349</v>
      </c>
      <c r="W113">
        <v>254</v>
      </c>
    </row>
    <row r="114" spans="1:23" x14ac:dyDescent="0.25">
      <c r="A114" s="1">
        <v>43709</v>
      </c>
      <c r="B114" s="1">
        <v>43739</v>
      </c>
      <c r="C114" t="s">
        <v>157</v>
      </c>
      <c r="D114" t="s">
        <v>54</v>
      </c>
      <c r="E114" t="s">
        <v>21</v>
      </c>
      <c r="F114" t="s">
        <v>183</v>
      </c>
      <c r="G114" s="53">
        <v>43748</v>
      </c>
      <c r="H114">
        <v>33</v>
      </c>
      <c r="I114">
        <v>10390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5</v>
      </c>
      <c r="R114" t="s">
        <v>28</v>
      </c>
      <c r="S114" t="s">
        <v>349</v>
      </c>
      <c r="T114" t="s">
        <v>349</v>
      </c>
      <c r="U114">
        <v>0</v>
      </c>
      <c r="V114">
        <v>0</v>
      </c>
      <c r="W114">
        <v>0</v>
      </c>
    </row>
    <row r="115" spans="1:23" x14ac:dyDescent="0.25">
      <c r="A115" s="1">
        <v>43739</v>
      </c>
      <c r="B115" s="1">
        <v>43709</v>
      </c>
      <c r="C115" t="s">
        <v>157</v>
      </c>
      <c r="D115" t="s">
        <v>57</v>
      </c>
      <c r="E115" t="s">
        <v>49</v>
      </c>
      <c r="F115" t="s">
        <v>185</v>
      </c>
      <c r="G115" s="53">
        <v>43944.47278935185</v>
      </c>
      <c r="H115">
        <v>61</v>
      </c>
      <c r="I115" t="s">
        <v>349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-755.96651699999995</v>
      </c>
      <c r="T115">
        <v>77.384</v>
      </c>
      <c r="U115" t="s">
        <v>349</v>
      </c>
      <c r="V115" t="s">
        <v>349</v>
      </c>
      <c r="W115">
        <v>-58500</v>
      </c>
    </row>
    <row r="116" spans="1:23" x14ac:dyDescent="0.25">
      <c r="A116" s="1">
        <v>43739</v>
      </c>
      <c r="B116" s="1">
        <v>43709</v>
      </c>
      <c r="C116" t="s">
        <v>157</v>
      </c>
      <c r="D116" t="s">
        <v>58</v>
      </c>
      <c r="E116" t="s">
        <v>21</v>
      </c>
      <c r="F116" t="s">
        <v>186</v>
      </c>
      <c r="G116" s="53">
        <v>43944.47278935185</v>
      </c>
      <c r="H116">
        <v>61</v>
      </c>
      <c r="I116" t="s">
        <v>349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1</v>
      </c>
      <c r="R116" t="s">
        <v>83</v>
      </c>
      <c r="S116" t="s">
        <v>349</v>
      </c>
      <c r="T116" t="s">
        <v>349</v>
      </c>
      <c r="U116">
        <v>0</v>
      </c>
      <c r="V116">
        <v>5969.53</v>
      </c>
      <c r="W116">
        <v>0</v>
      </c>
    </row>
    <row r="117" spans="1:23" x14ac:dyDescent="0.25">
      <c r="A117" s="1">
        <v>43739</v>
      </c>
      <c r="B117" s="1">
        <v>43709</v>
      </c>
      <c r="C117" t="s">
        <v>157</v>
      </c>
      <c r="D117" t="s">
        <v>58</v>
      </c>
      <c r="E117" t="s">
        <v>21</v>
      </c>
      <c r="F117" t="s">
        <v>190</v>
      </c>
      <c r="G117" s="53">
        <v>43944.47278935185</v>
      </c>
      <c r="H117">
        <v>61</v>
      </c>
      <c r="I117" t="s">
        <v>349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349</v>
      </c>
      <c r="T117" t="s">
        <v>349</v>
      </c>
      <c r="U117">
        <v>0</v>
      </c>
      <c r="V117">
        <v>6360.2</v>
      </c>
      <c r="W117">
        <v>0</v>
      </c>
    </row>
    <row r="118" spans="1:23" x14ac:dyDescent="0.25">
      <c r="A118" s="1">
        <v>43739</v>
      </c>
      <c r="B118" s="1">
        <v>43709</v>
      </c>
      <c r="C118" t="s">
        <v>157</v>
      </c>
      <c r="D118" t="s">
        <v>57</v>
      </c>
      <c r="E118" t="s">
        <v>49</v>
      </c>
      <c r="F118" t="s">
        <v>188</v>
      </c>
      <c r="G118" s="53">
        <v>43944.47278935185</v>
      </c>
      <c r="H118">
        <v>61</v>
      </c>
      <c r="I118" t="s">
        <v>349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1</v>
      </c>
      <c r="R118" t="s">
        <v>83</v>
      </c>
      <c r="S118">
        <v>764.87856799999997</v>
      </c>
      <c r="T118">
        <v>74.400999999999996</v>
      </c>
      <c r="U118" t="s">
        <v>349</v>
      </c>
      <c r="V118" t="s">
        <v>349</v>
      </c>
      <c r="W118">
        <v>56908</v>
      </c>
    </row>
    <row r="119" spans="1:23" x14ac:dyDescent="0.25">
      <c r="A119" s="1">
        <v>43739</v>
      </c>
      <c r="B119" s="1">
        <v>43739</v>
      </c>
      <c r="C119" t="s">
        <v>157</v>
      </c>
      <c r="D119" t="s">
        <v>54</v>
      </c>
      <c r="E119" t="s">
        <v>21</v>
      </c>
      <c r="F119" t="s">
        <v>183</v>
      </c>
      <c r="G119" s="53">
        <v>43781</v>
      </c>
      <c r="H119">
        <v>33</v>
      </c>
      <c r="I119">
        <v>10809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1</v>
      </c>
      <c r="R119" t="s">
        <v>83</v>
      </c>
      <c r="S119" t="s">
        <v>349</v>
      </c>
      <c r="T119" t="s">
        <v>349</v>
      </c>
      <c r="U119">
        <v>0</v>
      </c>
      <c r="V119">
        <v>5969.53</v>
      </c>
      <c r="W119">
        <v>0</v>
      </c>
    </row>
    <row r="120" spans="1:23" x14ac:dyDescent="0.25">
      <c r="A120" s="1">
        <v>43739</v>
      </c>
      <c r="B120" s="1">
        <v>43739</v>
      </c>
      <c r="C120" t="s">
        <v>157</v>
      </c>
      <c r="D120" t="s">
        <v>93</v>
      </c>
      <c r="E120" t="s">
        <v>49</v>
      </c>
      <c r="F120" t="s">
        <v>187</v>
      </c>
      <c r="G120" s="53">
        <v>43812</v>
      </c>
      <c r="H120">
        <v>61</v>
      </c>
      <c r="I120" t="s">
        <v>349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1</v>
      </c>
      <c r="R120" t="s">
        <v>83</v>
      </c>
      <c r="S120">
        <v>1</v>
      </c>
      <c r="T120">
        <v>-194</v>
      </c>
      <c r="U120" t="s">
        <v>349</v>
      </c>
      <c r="V120" t="s">
        <v>349</v>
      </c>
      <c r="W120">
        <v>-194</v>
      </c>
    </row>
    <row r="121" spans="1:23" x14ac:dyDescent="0.25">
      <c r="A121" s="1">
        <v>43739</v>
      </c>
      <c r="B121" s="1">
        <v>43739</v>
      </c>
      <c r="C121" t="s">
        <v>157</v>
      </c>
      <c r="D121" t="s">
        <v>48</v>
      </c>
      <c r="E121" t="s">
        <v>49</v>
      </c>
      <c r="F121" t="s">
        <v>189</v>
      </c>
      <c r="G121" s="53">
        <v>43781</v>
      </c>
      <c r="H121">
        <v>33</v>
      </c>
      <c r="I121">
        <v>10809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1</v>
      </c>
      <c r="R121" t="s">
        <v>83</v>
      </c>
      <c r="S121">
        <v>910.42412200000001</v>
      </c>
      <c r="T121">
        <v>74.400999999999996</v>
      </c>
      <c r="U121" t="s">
        <v>349</v>
      </c>
      <c r="V121" t="s">
        <v>349</v>
      </c>
      <c r="W121">
        <v>67736</v>
      </c>
    </row>
    <row r="122" spans="1:23" x14ac:dyDescent="0.25">
      <c r="A122" s="1">
        <v>43739</v>
      </c>
      <c r="B122" s="1">
        <v>43709</v>
      </c>
      <c r="C122" t="s">
        <v>157</v>
      </c>
      <c r="D122" t="s">
        <v>57</v>
      </c>
      <c r="E122" t="s">
        <v>49</v>
      </c>
      <c r="F122" t="s">
        <v>185</v>
      </c>
      <c r="G122" s="53">
        <v>43944.47278935185</v>
      </c>
      <c r="H122">
        <v>61</v>
      </c>
      <c r="I122" t="s">
        <v>349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2</v>
      </c>
      <c r="R122" t="s">
        <v>94</v>
      </c>
      <c r="S122">
        <v>-3.2400500000000001</v>
      </c>
      <c r="T122">
        <v>79.429000000000002</v>
      </c>
      <c r="U122" t="s">
        <v>349</v>
      </c>
      <c r="V122" t="s">
        <v>349</v>
      </c>
      <c r="W122">
        <v>-257</v>
      </c>
    </row>
    <row r="123" spans="1:23" x14ac:dyDescent="0.25">
      <c r="A123" s="1">
        <v>43739</v>
      </c>
      <c r="B123" s="1">
        <v>43709</v>
      </c>
      <c r="C123" t="s">
        <v>157</v>
      </c>
      <c r="D123" t="s">
        <v>58</v>
      </c>
      <c r="E123" t="s">
        <v>21</v>
      </c>
      <c r="F123" t="s">
        <v>186</v>
      </c>
      <c r="G123" s="53">
        <v>43944.47278935185</v>
      </c>
      <c r="H123">
        <v>61</v>
      </c>
      <c r="I123" t="s">
        <v>349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349</v>
      </c>
      <c r="T123" t="s">
        <v>349</v>
      </c>
      <c r="U123">
        <v>0</v>
      </c>
      <c r="V123">
        <v>6128.55</v>
      </c>
      <c r="W123">
        <v>0</v>
      </c>
    </row>
    <row r="124" spans="1:23" x14ac:dyDescent="0.25">
      <c r="A124" s="1">
        <v>43739</v>
      </c>
      <c r="B124" s="1">
        <v>43709</v>
      </c>
      <c r="C124" t="s">
        <v>157</v>
      </c>
      <c r="D124" t="s">
        <v>58</v>
      </c>
      <c r="E124" t="s">
        <v>21</v>
      </c>
      <c r="F124" t="s">
        <v>190</v>
      </c>
      <c r="G124" s="53">
        <v>43944.47278935185</v>
      </c>
      <c r="H124">
        <v>61</v>
      </c>
      <c r="I124" t="s">
        <v>349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2</v>
      </c>
      <c r="R124" t="s">
        <v>94</v>
      </c>
      <c r="S124" t="s">
        <v>349</v>
      </c>
      <c r="T124" t="s">
        <v>349</v>
      </c>
      <c r="U124">
        <v>0</v>
      </c>
      <c r="V124">
        <v>6409.16</v>
      </c>
      <c r="W124">
        <v>0</v>
      </c>
    </row>
    <row r="125" spans="1:23" x14ac:dyDescent="0.25">
      <c r="A125" s="1">
        <v>43739</v>
      </c>
      <c r="B125" s="1">
        <v>43709</v>
      </c>
      <c r="C125" t="s">
        <v>157</v>
      </c>
      <c r="D125" t="s">
        <v>57</v>
      </c>
      <c r="E125" t="s">
        <v>49</v>
      </c>
      <c r="F125" t="s">
        <v>188</v>
      </c>
      <c r="G125" s="53">
        <v>43944.47278935185</v>
      </c>
      <c r="H125">
        <v>61</v>
      </c>
      <c r="I125" t="s">
        <v>349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2</v>
      </c>
      <c r="R125" t="s">
        <v>94</v>
      </c>
      <c r="S125">
        <v>3.2782469999999999</v>
      </c>
      <c r="T125">
        <v>75.736999999999995</v>
      </c>
      <c r="U125" t="s">
        <v>349</v>
      </c>
      <c r="V125" t="s">
        <v>349</v>
      </c>
      <c r="W125">
        <v>248</v>
      </c>
    </row>
    <row r="126" spans="1:23" x14ac:dyDescent="0.25">
      <c r="A126" s="1">
        <v>43739</v>
      </c>
      <c r="B126" s="1">
        <v>43739</v>
      </c>
      <c r="C126" t="s">
        <v>157</v>
      </c>
      <c r="D126" t="s">
        <v>54</v>
      </c>
      <c r="E126" t="s">
        <v>21</v>
      </c>
      <c r="F126" t="s">
        <v>183</v>
      </c>
      <c r="G126" s="53">
        <v>43781</v>
      </c>
      <c r="H126">
        <v>33</v>
      </c>
      <c r="I126">
        <v>10809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 t="s">
        <v>349</v>
      </c>
      <c r="T126" t="s">
        <v>349</v>
      </c>
      <c r="U126">
        <v>0</v>
      </c>
      <c r="V126">
        <v>6128.55</v>
      </c>
      <c r="W126">
        <v>0</v>
      </c>
    </row>
    <row r="127" spans="1:23" x14ac:dyDescent="0.25">
      <c r="A127" s="1">
        <v>43739</v>
      </c>
      <c r="B127" s="1">
        <v>43739</v>
      </c>
      <c r="C127" t="s">
        <v>157</v>
      </c>
      <c r="D127" t="s">
        <v>93</v>
      </c>
      <c r="E127" t="s">
        <v>49</v>
      </c>
      <c r="F127" t="s">
        <v>187</v>
      </c>
      <c r="G127" s="53">
        <v>43812</v>
      </c>
      <c r="H127">
        <v>61</v>
      </c>
      <c r="I127" t="s">
        <v>349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1</v>
      </c>
      <c r="T127">
        <v>-1</v>
      </c>
      <c r="U127" t="s">
        <v>349</v>
      </c>
      <c r="V127" t="s">
        <v>349</v>
      </c>
      <c r="W127">
        <v>-1</v>
      </c>
    </row>
    <row r="128" spans="1:23" x14ac:dyDescent="0.25">
      <c r="A128" s="1">
        <v>43739</v>
      </c>
      <c r="B128" s="1">
        <v>43739</v>
      </c>
      <c r="C128" t="s">
        <v>157</v>
      </c>
      <c r="D128" t="s">
        <v>48</v>
      </c>
      <c r="E128" t="s">
        <v>49</v>
      </c>
      <c r="F128" t="s">
        <v>189</v>
      </c>
      <c r="G128" s="53">
        <v>43781</v>
      </c>
      <c r="H128">
        <v>33</v>
      </c>
      <c r="I128">
        <v>10809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>
        <v>3.9241600000000001</v>
      </c>
      <c r="T128">
        <v>75.736999999999995</v>
      </c>
      <c r="U128" t="s">
        <v>349</v>
      </c>
      <c r="V128" t="s">
        <v>349</v>
      </c>
      <c r="W128">
        <v>297</v>
      </c>
    </row>
    <row r="129" spans="1:23" x14ac:dyDescent="0.25">
      <c r="A129" s="1">
        <v>43739</v>
      </c>
      <c r="B129" s="1">
        <v>43709</v>
      </c>
      <c r="C129" t="s">
        <v>157</v>
      </c>
      <c r="D129" t="s">
        <v>57</v>
      </c>
      <c r="E129" t="s">
        <v>49</v>
      </c>
      <c r="F129" t="s">
        <v>185</v>
      </c>
      <c r="G129" s="53">
        <v>43944.47278935185</v>
      </c>
      <c r="H129">
        <v>61</v>
      </c>
      <c r="I129" t="s">
        <v>349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-154.713278</v>
      </c>
      <c r="T129">
        <v>72.400000000000006</v>
      </c>
      <c r="U129" t="s">
        <v>349</v>
      </c>
      <c r="V129" t="s">
        <v>349</v>
      </c>
      <c r="W129">
        <v>-11201</v>
      </c>
    </row>
    <row r="130" spans="1:23" x14ac:dyDescent="0.25">
      <c r="A130" s="1">
        <v>43739</v>
      </c>
      <c r="B130" s="1">
        <v>43709</v>
      </c>
      <c r="C130" t="s">
        <v>157</v>
      </c>
      <c r="D130" t="s">
        <v>58</v>
      </c>
      <c r="E130" t="s">
        <v>21</v>
      </c>
      <c r="F130" t="s">
        <v>186</v>
      </c>
      <c r="G130" s="53">
        <v>43944.47278935185</v>
      </c>
      <c r="H130">
        <v>61</v>
      </c>
      <c r="I130" t="s">
        <v>349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3</v>
      </c>
      <c r="R130" t="s">
        <v>81</v>
      </c>
      <c r="S130" t="s">
        <v>349</v>
      </c>
      <c r="T130" t="s">
        <v>349</v>
      </c>
      <c r="U130">
        <v>0</v>
      </c>
      <c r="V130">
        <v>5735.8</v>
      </c>
      <c r="W130">
        <v>0</v>
      </c>
    </row>
    <row r="131" spans="1:23" x14ac:dyDescent="0.25">
      <c r="A131" s="1">
        <v>43739</v>
      </c>
      <c r="B131" s="1">
        <v>43709</v>
      </c>
      <c r="C131" t="s">
        <v>157</v>
      </c>
      <c r="D131" t="s">
        <v>58</v>
      </c>
      <c r="E131" t="s">
        <v>21</v>
      </c>
      <c r="F131" t="s">
        <v>190</v>
      </c>
      <c r="G131" s="53">
        <v>43944.47278935185</v>
      </c>
      <c r="H131">
        <v>61</v>
      </c>
      <c r="I131" t="s">
        <v>349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3</v>
      </c>
      <c r="R131" t="s">
        <v>81</v>
      </c>
      <c r="S131" t="s">
        <v>349</v>
      </c>
      <c r="T131" t="s">
        <v>349</v>
      </c>
      <c r="U131">
        <v>0</v>
      </c>
      <c r="V131">
        <v>6046.73</v>
      </c>
      <c r="W131">
        <v>0</v>
      </c>
    </row>
    <row r="132" spans="1:23" x14ac:dyDescent="0.25">
      <c r="A132" s="1">
        <v>43739</v>
      </c>
      <c r="B132" s="1">
        <v>43709</v>
      </c>
      <c r="C132" t="s">
        <v>157</v>
      </c>
      <c r="D132" t="s">
        <v>57</v>
      </c>
      <c r="E132" t="s">
        <v>49</v>
      </c>
      <c r="F132" t="s">
        <v>188</v>
      </c>
      <c r="G132" s="53">
        <v>43944.47278935185</v>
      </c>
      <c r="H132">
        <v>61</v>
      </c>
      <c r="I132" t="s">
        <v>349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3</v>
      </c>
      <c r="R132" t="s">
        <v>81</v>
      </c>
      <c r="S132">
        <v>156.53718499999999</v>
      </c>
      <c r="T132">
        <v>70.436999999999998</v>
      </c>
      <c r="U132" t="s">
        <v>349</v>
      </c>
      <c r="V132" t="s">
        <v>349</v>
      </c>
      <c r="W132">
        <v>11026</v>
      </c>
    </row>
    <row r="133" spans="1:23" x14ac:dyDescent="0.25">
      <c r="A133" s="1">
        <v>43739</v>
      </c>
      <c r="B133" s="1">
        <v>43739</v>
      </c>
      <c r="C133" t="s">
        <v>157</v>
      </c>
      <c r="D133" t="s">
        <v>54</v>
      </c>
      <c r="E133" t="s">
        <v>21</v>
      </c>
      <c r="F133" t="s">
        <v>183</v>
      </c>
      <c r="G133" s="53">
        <v>43781</v>
      </c>
      <c r="H133">
        <v>33</v>
      </c>
      <c r="I133">
        <v>10809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3</v>
      </c>
      <c r="R133" t="s">
        <v>81</v>
      </c>
      <c r="S133" t="s">
        <v>349</v>
      </c>
      <c r="T133" t="s">
        <v>349</v>
      </c>
      <c r="U133">
        <v>0</v>
      </c>
      <c r="V133">
        <v>5735.8</v>
      </c>
      <c r="W133">
        <v>0</v>
      </c>
    </row>
    <row r="134" spans="1:23" x14ac:dyDescent="0.25">
      <c r="A134" s="1">
        <v>43739</v>
      </c>
      <c r="B134" s="1">
        <v>43739</v>
      </c>
      <c r="C134" t="s">
        <v>157</v>
      </c>
      <c r="D134" t="s">
        <v>93</v>
      </c>
      <c r="E134" t="s">
        <v>49</v>
      </c>
      <c r="F134" t="s">
        <v>187</v>
      </c>
      <c r="G134" s="53">
        <v>43812</v>
      </c>
      <c r="H134">
        <v>61</v>
      </c>
      <c r="I134" t="s">
        <v>349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>
        <v>1</v>
      </c>
      <c r="T134">
        <v>-38</v>
      </c>
      <c r="U134" t="s">
        <v>349</v>
      </c>
      <c r="V134" t="s">
        <v>349</v>
      </c>
      <c r="W134">
        <v>-38</v>
      </c>
    </row>
    <row r="135" spans="1:23" x14ac:dyDescent="0.25">
      <c r="A135" s="1">
        <v>43739</v>
      </c>
      <c r="B135" s="1">
        <v>43739</v>
      </c>
      <c r="C135" t="s">
        <v>157</v>
      </c>
      <c r="D135" t="s">
        <v>48</v>
      </c>
      <c r="E135" t="s">
        <v>49</v>
      </c>
      <c r="F135" t="s">
        <v>189</v>
      </c>
      <c r="G135" s="53">
        <v>43781</v>
      </c>
      <c r="H135">
        <v>33</v>
      </c>
      <c r="I135">
        <v>10809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3</v>
      </c>
      <c r="R135" t="s">
        <v>81</v>
      </c>
      <c r="S135">
        <v>188.286708</v>
      </c>
      <c r="T135">
        <v>70.436999999999998</v>
      </c>
      <c r="U135" t="s">
        <v>349</v>
      </c>
      <c r="V135" t="s">
        <v>349</v>
      </c>
      <c r="W135">
        <v>13262</v>
      </c>
    </row>
    <row r="136" spans="1:23" x14ac:dyDescent="0.25">
      <c r="A136" s="1">
        <v>43739</v>
      </c>
      <c r="B136" s="1">
        <v>43709</v>
      </c>
      <c r="C136" t="s">
        <v>157</v>
      </c>
      <c r="D136" t="s">
        <v>57</v>
      </c>
      <c r="E136" t="s">
        <v>49</v>
      </c>
      <c r="F136" t="s">
        <v>185</v>
      </c>
      <c r="G136" s="53">
        <v>43944.47278935185</v>
      </c>
      <c r="H136">
        <v>61</v>
      </c>
      <c r="I136" t="s">
        <v>349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4</v>
      </c>
      <c r="R136" t="s">
        <v>27</v>
      </c>
      <c r="S136">
        <v>-1084.175843</v>
      </c>
      <c r="T136">
        <v>74.936000000000007</v>
      </c>
      <c r="U136" t="s">
        <v>349</v>
      </c>
      <c r="V136" t="s">
        <v>349</v>
      </c>
      <c r="W136">
        <v>-81244</v>
      </c>
    </row>
    <row r="137" spans="1:23" x14ac:dyDescent="0.25">
      <c r="A137" s="1">
        <v>43739</v>
      </c>
      <c r="B137" s="1">
        <v>43709</v>
      </c>
      <c r="C137" t="s">
        <v>157</v>
      </c>
      <c r="D137" t="s">
        <v>58</v>
      </c>
      <c r="E137" t="s">
        <v>21</v>
      </c>
      <c r="F137" t="s">
        <v>186</v>
      </c>
      <c r="G137" s="53">
        <v>43944.47278935185</v>
      </c>
      <c r="H137">
        <v>61</v>
      </c>
      <c r="I137" t="s">
        <v>349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4</v>
      </c>
      <c r="R137" t="s">
        <v>27</v>
      </c>
      <c r="S137" t="s">
        <v>349</v>
      </c>
      <c r="T137" t="s">
        <v>349</v>
      </c>
      <c r="U137">
        <v>0</v>
      </c>
      <c r="V137">
        <v>5821.34</v>
      </c>
      <c r="W137">
        <v>0</v>
      </c>
    </row>
    <row r="138" spans="1:23" x14ac:dyDescent="0.25">
      <c r="A138" s="1">
        <v>43739</v>
      </c>
      <c r="B138" s="1">
        <v>43709</v>
      </c>
      <c r="C138" t="s">
        <v>157</v>
      </c>
      <c r="D138" t="s">
        <v>58</v>
      </c>
      <c r="E138" t="s">
        <v>21</v>
      </c>
      <c r="F138" t="s">
        <v>190</v>
      </c>
      <c r="G138" s="53">
        <v>43944.47278935185</v>
      </c>
      <c r="H138">
        <v>61</v>
      </c>
      <c r="I138" t="s">
        <v>349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4</v>
      </c>
      <c r="R138" t="s">
        <v>27</v>
      </c>
      <c r="S138" t="s">
        <v>349</v>
      </c>
      <c r="T138" t="s">
        <v>349</v>
      </c>
      <c r="U138">
        <v>0</v>
      </c>
      <c r="V138">
        <v>6160.55</v>
      </c>
      <c r="W138">
        <v>0</v>
      </c>
    </row>
    <row r="139" spans="1:23" x14ac:dyDescent="0.25">
      <c r="A139" s="1">
        <v>43739</v>
      </c>
      <c r="B139" s="1">
        <v>43709</v>
      </c>
      <c r="C139" t="s">
        <v>157</v>
      </c>
      <c r="D139" t="s">
        <v>57</v>
      </c>
      <c r="E139" t="s">
        <v>49</v>
      </c>
      <c r="F139" t="s">
        <v>188</v>
      </c>
      <c r="G139" s="53">
        <v>43944.47278935185</v>
      </c>
      <c r="H139">
        <v>61</v>
      </c>
      <c r="I139" t="s">
        <v>349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4</v>
      </c>
      <c r="R139" t="s">
        <v>27</v>
      </c>
      <c r="S139">
        <v>1096.9571370000001</v>
      </c>
      <c r="T139">
        <v>71.983999999999995</v>
      </c>
      <c r="U139" t="s">
        <v>349</v>
      </c>
      <c r="V139" t="s">
        <v>349</v>
      </c>
      <c r="W139">
        <v>78963</v>
      </c>
    </row>
    <row r="140" spans="1:23" x14ac:dyDescent="0.25">
      <c r="A140" s="1">
        <v>43739</v>
      </c>
      <c r="B140" s="1">
        <v>43739</v>
      </c>
      <c r="C140" t="s">
        <v>157</v>
      </c>
      <c r="D140" t="s">
        <v>54</v>
      </c>
      <c r="E140" t="s">
        <v>21</v>
      </c>
      <c r="F140" t="s">
        <v>183</v>
      </c>
      <c r="G140" s="53">
        <v>43781</v>
      </c>
      <c r="H140">
        <v>33</v>
      </c>
      <c r="I140">
        <v>10809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 t="s">
        <v>349</v>
      </c>
      <c r="T140" t="s">
        <v>349</v>
      </c>
      <c r="U140">
        <v>0</v>
      </c>
      <c r="V140">
        <v>5821.34</v>
      </c>
      <c r="W140">
        <v>0</v>
      </c>
    </row>
    <row r="141" spans="1:23" x14ac:dyDescent="0.25">
      <c r="A141" s="1">
        <v>43739</v>
      </c>
      <c r="B141" s="1">
        <v>43739</v>
      </c>
      <c r="C141" t="s">
        <v>157</v>
      </c>
      <c r="D141" t="s">
        <v>93</v>
      </c>
      <c r="E141" t="s">
        <v>49</v>
      </c>
      <c r="F141" t="s">
        <v>187</v>
      </c>
      <c r="G141" s="53">
        <v>43812</v>
      </c>
      <c r="H141">
        <v>61</v>
      </c>
      <c r="I141" t="s">
        <v>349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1</v>
      </c>
      <c r="T141">
        <v>-270</v>
      </c>
      <c r="U141" t="s">
        <v>349</v>
      </c>
      <c r="V141" t="s">
        <v>349</v>
      </c>
      <c r="W141">
        <v>-270</v>
      </c>
    </row>
    <row r="142" spans="1:23" x14ac:dyDescent="0.25">
      <c r="A142" s="1">
        <v>43739</v>
      </c>
      <c r="B142" s="1">
        <v>43739</v>
      </c>
      <c r="C142" t="s">
        <v>157</v>
      </c>
      <c r="D142" t="s">
        <v>48</v>
      </c>
      <c r="E142" t="s">
        <v>49</v>
      </c>
      <c r="F142" t="s">
        <v>189</v>
      </c>
      <c r="G142" s="53">
        <v>43781</v>
      </c>
      <c r="H142">
        <v>33</v>
      </c>
      <c r="I142">
        <v>10809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4</v>
      </c>
      <c r="R142" t="s">
        <v>27</v>
      </c>
      <c r="S142">
        <v>1311.6713199999999</v>
      </c>
      <c r="T142">
        <v>71.983999999999995</v>
      </c>
      <c r="U142" t="s">
        <v>349</v>
      </c>
      <c r="V142" t="s">
        <v>349</v>
      </c>
      <c r="W142">
        <v>94419</v>
      </c>
    </row>
    <row r="143" spans="1:23" x14ac:dyDescent="0.25">
      <c r="A143" s="1">
        <v>43739</v>
      </c>
      <c r="B143" s="1">
        <v>43709</v>
      </c>
      <c r="C143" t="s">
        <v>157</v>
      </c>
      <c r="D143" t="s">
        <v>57</v>
      </c>
      <c r="E143" t="s">
        <v>49</v>
      </c>
      <c r="F143" t="s">
        <v>185</v>
      </c>
      <c r="G143" s="53">
        <v>43944.47278935185</v>
      </c>
      <c r="H143">
        <v>61</v>
      </c>
      <c r="I143" t="s">
        <v>349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-3.3587340000000001</v>
      </c>
      <c r="T143">
        <v>75.665000000000006</v>
      </c>
      <c r="U143" t="s">
        <v>349</v>
      </c>
      <c r="V143" t="s">
        <v>349</v>
      </c>
      <c r="W143">
        <v>-254</v>
      </c>
    </row>
    <row r="144" spans="1:23" x14ac:dyDescent="0.25">
      <c r="A144" s="1">
        <v>43739</v>
      </c>
      <c r="B144" s="1">
        <v>43709</v>
      </c>
      <c r="C144" t="s">
        <v>157</v>
      </c>
      <c r="D144" t="s">
        <v>58</v>
      </c>
      <c r="E144" t="s">
        <v>21</v>
      </c>
      <c r="F144" t="s">
        <v>190</v>
      </c>
      <c r="G144" s="53">
        <v>43944.47278935185</v>
      </c>
      <c r="H144">
        <v>61</v>
      </c>
      <c r="I144" t="s">
        <v>349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5</v>
      </c>
      <c r="R144" t="s">
        <v>28</v>
      </c>
      <c r="S144" t="s">
        <v>349</v>
      </c>
      <c r="T144" t="s">
        <v>349</v>
      </c>
      <c r="U144">
        <v>0</v>
      </c>
      <c r="V144">
        <v>5634.08</v>
      </c>
      <c r="W144">
        <v>0</v>
      </c>
    </row>
    <row r="145" spans="1:23" x14ac:dyDescent="0.25">
      <c r="A145" s="1">
        <v>43739</v>
      </c>
      <c r="B145" s="1">
        <v>43709</v>
      </c>
      <c r="C145" t="s">
        <v>157</v>
      </c>
      <c r="D145" t="s">
        <v>58</v>
      </c>
      <c r="E145" t="s">
        <v>21</v>
      </c>
      <c r="F145" t="s">
        <v>186</v>
      </c>
      <c r="G145" s="53">
        <v>43944.47278935185</v>
      </c>
      <c r="H145">
        <v>61</v>
      </c>
      <c r="I145" t="s">
        <v>349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5</v>
      </c>
      <c r="R145" t="s">
        <v>28</v>
      </c>
      <c r="S145" t="s">
        <v>349</v>
      </c>
      <c r="T145" t="s">
        <v>349</v>
      </c>
      <c r="U145">
        <v>0</v>
      </c>
      <c r="V145">
        <v>6082.17</v>
      </c>
      <c r="W145">
        <v>0</v>
      </c>
    </row>
    <row r="146" spans="1:23" x14ac:dyDescent="0.25">
      <c r="A146" s="1">
        <v>43739</v>
      </c>
      <c r="B146" s="1">
        <v>43709</v>
      </c>
      <c r="C146" t="s">
        <v>157</v>
      </c>
      <c r="D146" t="s">
        <v>57</v>
      </c>
      <c r="E146" t="s">
        <v>49</v>
      </c>
      <c r="F146" t="s">
        <v>188</v>
      </c>
      <c r="G146" s="53">
        <v>43944.47278935185</v>
      </c>
      <c r="H146">
        <v>61</v>
      </c>
      <c r="I146" t="s">
        <v>349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5</v>
      </c>
      <c r="R146" t="s">
        <v>28</v>
      </c>
      <c r="S146">
        <v>3.3983300000000001</v>
      </c>
      <c r="T146">
        <v>75.617000000000004</v>
      </c>
      <c r="U146" t="s">
        <v>349</v>
      </c>
      <c r="V146" t="s">
        <v>349</v>
      </c>
      <c r="W146">
        <v>257</v>
      </c>
    </row>
    <row r="147" spans="1:23" x14ac:dyDescent="0.25">
      <c r="A147" s="1">
        <v>43739</v>
      </c>
      <c r="B147" s="1">
        <v>43739</v>
      </c>
      <c r="C147" t="s">
        <v>157</v>
      </c>
      <c r="D147" t="s">
        <v>54</v>
      </c>
      <c r="E147" t="s">
        <v>21</v>
      </c>
      <c r="F147" t="s">
        <v>183</v>
      </c>
      <c r="G147" s="53">
        <v>43781</v>
      </c>
      <c r="H147">
        <v>33</v>
      </c>
      <c r="I147">
        <v>10809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5</v>
      </c>
      <c r="R147" t="s">
        <v>28</v>
      </c>
      <c r="S147" t="s">
        <v>349</v>
      </c>
      <c r="T147" t="s">
        <v>349</v>
      </c>
      <c r="U147">
        <v>0</v>
      </c>
      <c r="V147">
        <v>6082.17</v>
      </c>
      <c r="W147">
        <v>0</v>
      </c>
    </row>
    <row r="148" spans="1:23" x14ac:dyDescent="0.25">
      <c r="A148" s="1">
        <v>43739</v>
      </c>
      <c r="B148" s="1">
        <v>43739</v>
      </c>
      <c r="C148" t="s">
        <v>157</v>
      </c>
      <c r="D148" t="s">
        <v>93</v>
      </c>
      <c r="E148" t="s">
        <v>49</v>
      </c>
      <c r="F148" t="s">
        <v>187</v>
      </c>
      <c r="G148" s="53">
        <v>43812</v>
      </c>
      <c r="H148">
        <v>61</v>
      </c>
      <c r="I148" t="s">
        <v>349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5</v>
      </c>
      <c r="R148" t="s">
        <v>28</v>
      </c>
      <c r="S148">
        <v>1</v>
      </c>
      <c r="T148">
        <v>-1</v>
      </c>
      <c r="U148" t="s">
        <v>349</v>
      </c>
      <c r="V148" t="s">
        <v>349</v>
      </c>
      <c r="W148">
        <v>-1</v>
      </c>
    </row>
    <row r="149" spans="1:23" x14ac:dyDescent="0.25">
      <c r="A149" s="1">
        <v>43739</v>
      </c>
      <c r="B149" s="1">
        <v>43739</v>
      </c>
      <c r="C149" t="s">
        <v>157</v>
      </c>
      <c r="D149" t="s">
        <v>48</v>
      </c>
      <c r="E149" t="s">
        <v>49</v>
      </c>
      <c r="F149" t="s">
        <v>189</v>
      </c>
      <c r="G149" s="53">
        <v>43781</v>
      </c>
      <c r="H149">
        <v>33</v>
      </c>
      <c r="I149">
        <v>10809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5</v>
      </c>
      <c r="R149" t="s">
        <v>28</v>
      </c>
      <c r="S149">
        <v>4.0964470000000004</v>
      </c>
      <c r="T149">
        <v>75.617000000000004</v>
      </c>
      <c r="U149" t="s">
        <v>349</v>
      </c>
      <c r="V149" t="s">
        <v>349</v>
      </c>
      <c r="W149">
        <v>310</v>
      </c>
    </row>
    <row r="150" spans="1:23" x14ac:dyDescent="0.25">
      <c r="A150" s="1">
        <v>43770</v>
      </c>
      <c r="B150" s="1">
        <v>43770</v>
      </c>
      <c r="C150" t="s">
        <v>157</v>
      </c>
      <c r="D150" t="s">
        <v>54</v>
      </c>
      <c r="E150" t="s">
        <v>21</v>
      </c>
      <c r="F150" t="s">
        <v>191</v>
      </c>
      <c r="G150" s="53">
        <v>43805</v>
      </c>
      <c r="H150">
        <v>33</v>
      </c>
      <c r="I150">
        <v>11167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1</v>
      </c>
      <c r="R150" t="s">
        <v>83</v>
      </c>
      <c r="S150" t="s">
        <v>349</v>
      </c>
      <c r="T150" t="s">
        <v>349</v>
      </c>
      <c r="U150">
        <v>0</v>
      </c>
      <c r="V150">
        <v>5969.53</v>
      </c>
      <c r="W150">
        <v>0</v>
      </c>
    </row>
    <row r="151" spans="1:23" x14ac:dyDescent="0.25">
      <c r="A151" s="1">
        <v>43770</v>
      </c>
      <c r="B151" s="1">
        <v>43770</v>
      </c>
      <c r="C151" t="s">
        <v>157</v>
      </c>
      <c r="D151" t="s">
        <v>93</v>
      </c>
      <c r="E151" t="s">
        <v>49</v>
      </c>
      <c r="F151" t="s">
        <v>192</v>
      </c>
      <c r="G151" s="53">
        <v>43837</v>
      </c>
      <c r="H151">
        <v>61</v>
      </c>
      <c r="I151" t="s">
        <v>349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1</v>
      </c>
      <c r="R151" t="s">
        <v>83</v>
      </c>
      <c r="S151">
        <v>1</v>
      </c>
      <c r="T151">
        <v>-130</v>
      </c>
      <c r="U151" t="s">
        <v>349</v>
      </c>
      <c r="V151" t="s">
        <v>349</v>
      </c>
      <c r="W151">
        <v>-130</v>
      </c>
    </row>
    <row r="152" spans="1:23" x14ac:dyDescent="0.25">
      <c r="A152" s="1">
        <v>43770</v>
      </c>
      <c r="B152" s="1">
        <v>43770</v>
      </c>
      <c r="C152" t="s">
        <v>157</v>
      </c>
      <c r="D152" t="s">
        <v>48</v>
      </c>
      <c r="E152" t="s">
        <v>49</v>
      </c>
      <c r="F152" t="s">
        <v>193</v>
      </c>
      <c r="G152" s="53">
        <v>43805</v>
      </c>
      <c r="H152">
        <v>33</v>
      </c>
      <c r="I152">
        <v>11167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1</v>
      </c>
      <c r="R152" t="s">
        <v>83</v>
      </c>
      <c r="S152">
        <v>1175.9684259999999</v>
      </c>
      <c r="T152">
        <v>74.400999999999996</v>
      </c>
      <c r="U152" t="s">
        <v>349</v>
      </c>
      <c r="V152" t="s">
        <v>349</v>
      </c>
      <c r="W152">
        <v>87493</v>
      </c>
    </row>
    <row r="153" spans="1:23" x14ac:dyDescent="0.25">
      <c r="A153" s="1">
        <v>43770</v>
      </c>
      <c r="B153" s="1">
        <v>43770</v>
      </c>
      <c r="C153" t="s">
        <v>157</v>
      </c>
      <c r="D153" t="s">
        <v>54</v>
      </c>
      <c r="E153" t="s">
        <v>21</v>
      </c>
      <c r="F153" t="s">
        <v>191</v>
      </c>
      <c r="G153" s="53">
        <v>43805</v>
      </c>
      <c r="H153">
        <v>33</v>
      </c>
      <c r="I153">
        <v>11167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2</v>
      </c>
      <c r="R153" t="s">
        <v>94</v>
      </c>
      <c r="S153" t="s">
        <v>349</v>
      </c>
      <c r="T153" t="s">
        <v>349</v>
      </c>
      <c r="U153">
        <v>0</v>
      </c>
      <c r="V153">
        <v>6128.55</v>
      </c>
      <c r="W153">
        <v>0</v>
      </c>
    </row>
    <row r="154" spans="1:23" x14ac:dyDescent="0.25">
      <c r="A154" s="1">
        <v>43770</v>
      </c>
      <c r="B154" s="1">
        <v>43770</v>
      </c>
      <c r="C154" t="s">
        <v>157</v>
      </c>
      <c r="D154" t="s">
        <v>48</v>
      </c>
      <c r="E154" t="s">
        <v>49</v>
      </c>
      <c r="F154" t="s">
        <v>193</v>
      </c>
      <c r="G154" s="53">
        <v>43805</v>
      </c>
      <c r="H154">
        <v>33</v>
      </c>
      <c r="I154">
        <v>11167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2</v>
      </c>
      <c r="R154" t="s">
        <v>94</v>
      </c>
      <c r="S154">
        <v>4.4374760000000002</v>
      </c>
      <c r="T154">
        <v>75.736999999999995</v>
      </c>
      <c r="U154" t="s">
        <v>349</v>
      </c>
      <c r="V154" t="s">
        <v>349</v>
      </c>
      <c r="W154">
        <v>336</v>
      </c>
    </row>
    <row r="155" spans="1:23" x14ac:dyDescent="0.25">
      <c r="A155" s="1">
        <v>43770</v>
      </c>
      <c r="B155" s="1">
        <v>43770</v>
      </c>
      <c r="C155" t="s">
        <v>157</v>
      </c>
      <c r="D155" t="s">
        <v>54</v>
      </c>
      <c r="E155" t="s">
        <v>21</v>
      </c>
      <c r="F155" t="s">
        <v>191</v>
      </c>
      <c r="G155" s="53">
        <v>43805</v>
      </c>
      <c r="H155">
        <v>33</v>
      </c>
      <c r="I155">
        <v>11167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3</v>
      </c>
      <c r="R155" t="s">
        <v>81</v>
      </c>
      <c r="S155" t="s">
        <v>349</v>
      </c>
      <c r="T155" t="s">
        <v>349</v>
      </c>
      <c r="U155">
        <v>0</v>
      </c>
      <c r="V155">
        <v>5735.8</v>
      </c>
      <c r="W155">
        <v>0</v>
      </c>
    </row>
    <row r="156" spans="1:23" x14ac:dyDescent="0.25">
      <c r="A156" s="1">
        <v>43770</v>
      </c>
      <c r="B156" s="1">
        <v>43770</v>
      </c>
      <c r="C156" t="s">
        <v>157</v>
      </c>
      <c r="D156" t="s">
        <v>93</v>
      </c>
      <c r="E156" t="s">
        <v>49</v>
      </c>
      <c r="F156" t="s">
        <v>192</v>
      </c>
      <c r="G156" s="53">
        <v>43837</v>
      </c>
      <c r="H156">
        <v>61</v>
      </c>
      <c r="I156" t="s">
        <v>349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3</v>
      </c>
      <c r="R156" t="s">
        <v>81</v>
      </c>
      <c r="S156">
        <v>1</v>
      </c>
      <c r="T156">
        <v>-25</v>
      </c>
      <c r="U156" t="s">
        <v>349</v>
      </c>
      <c r="V156" t="s">
        <v>349</v>
      </c>
      <c r="W156">
        <v>-25</v>
      </c>
    </row>
    <row r="157" spans="1:23" x14ac:dyDescent="0.25">
      <c r="A157" s="1">
        <v>43770</v>
      </c>
      <c r="B157" s="1">
        <v>43770</v>
      </c>
      <c r="C157" t="s">
        <v>157</v>
      </c>
      <c r="D157" t="s">
        <v>48</v>
      </c>
      <c r="E157" t="s">
        <v>49</v>
      </c>
      <c r="F157" t="s">
        <v>193</v>
      </c>
      <c r="G157" s="53">
        <v>43805</v>
      </c>
      <c r="H157">
        <v>33</v>
      </c>
      <c r="I157">
        <v>11167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3</v>
      </c>
      <c r="R157" t="s">
        <v>81</v>
      </c>
      <c r="S157">
        <v>237.000969</v>
      </c>
      <c r="T157">
        <v>70.436999999999998</v>
      </c>
      <c r="U157" t="s">
        <v>349</v>
      </c>
      <c r="V157" t="s">
        <v>349</v>
      </c>
      <c r="W157">
        <v>16694</v>
      </c>
    </row>
    <row r="158" spans="1:23" x14ac:dyDescent="0.25">
      <c r="A158" s="1">
        <v>43770</v>
      </c>
      <c r="B158" s="1">
        <v>43770</v>
      </c>
      <c r="C158" t="s">
        <v>157</v>
      </c>
      <c r="D158" t="s">
        <v>54</v>
      </c>
      <c r="E158" t="s">
        <v>21</v>
      </c>
      <c r="F158" t="s">
        <v>191</v>
      </c>
      <c r="G158" s="53">
        <v>43805</v>
      </c>
      <c r="H158">
        <v>33</v>
      </c>
      <c r="I158">
        <v>11167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4</v>
      </c>
      <c r="R158" t="s">
        <v>27</v>
      </c>
      <c r="S158" t="s">
        <v>349</v>
      </c>
      <c r="T158" t="s">
        <v>349</v>
      </c>
      <c r="U158">
        <v>0</v>
      </c>
      <c r="V158">
        <v>5821.34</v>
      </c>
      <c r="W158">
        <v>0</v>
      </c>
    </row>
    <row r="159" spans="1:23" x14ac:dyDescent="0.25">
      <c r="A159" s="1">
        <v>43770</v>
      </c>
      <c r="B159" s="1">
        <v>43770</v>
      </c>
      <c r="C159" t="s">
        <v>157</v>
      </c>
      <c r="D159" t="s">
        <v>93</v>
      </c>
      <c r="E159" t="s">
        <v>49</v>
      </c>
      <c r="F159" t="s">
        <v>192</v>
      </c>
      <c r="G159" s="53">
        <v>43837</v>
      </c>
      <c r="H159">
        <v>61</v>
      </c>
      <c r="I159" t="s">
        <v>349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4</v>
      </c>
      <c r="R159" t="s">
        <v>27</v>
      </c>
      <c r="S159">
        <v>1</v>
      </c>
      <c r="T159">
        <v>-176</v>
      </c>
      <c r="U159" t="s">
        <v>349</v>
      </c>
      <c r="V159" t="s">
        <v>349</v>
      </c>
      <c r="W159">
        <v>-176</v>
      </c>
    </row>
    <row r="160" spans="1:23" x14ac:dyDescent="0.25">
      <c r="A160" s="1">
        <v>43770</v>
      </c>
      <c r="B160" s="1">
        <v>43770</v>
      </c>
      <c r="C160" t="s">
        <v>157</v>
      </c>
      <c r="D160" t="s">
        <v>48</v>
      </c>
      <c r="E160" t="s">
        <v>49</v>
      </c>
      <c r="F160" t="s">
        <v>193</v>
      </c>
      <c r="G160" s="53">
        <v>43805</v>
      </c>
      <c r="H160">
        <v>33</v>
      </c>
      <c r="I160">
        <v>11167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1639.539798</v>
      </c>
      <c r="T160">
        <v>71.983999999999995</v>
      </c>
      <c r="U160" t="s">
        <v>349</v>
      </c>
      <c r="V160" t="s">
        <v>349</v>
      </c>
      <c r="W160">
        <v>118021</v>
      </c>
    </row>
    <row r="161" spans="1:23" x14ac:dyDescent="0.25">
      <c r="A161" s="1">
        <v>43770</v>
      </c>
      <c r="B161" s="1">
        <v>43770</v>
      </c>
      <c r="C161" t="s">
        <v>157</v>
      </c>
      <c r="D161" t="s">
        <v>54</v>
      </c>
      <c r="E161" t="s">
        <v>21</v>
      </c>
      <c r="F161" t="s">
        <v>191</v>
      </c>
      <c r="G161" s="53">
        <v>43805</v>
      </c>
      <c r="H161">
        <v>33</v>
      </c>
      <c r="I161">
        <v>11167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5</v>
      </c>
      <c r="R161" t="s">
        <v>28</v>
      </c>
      <c r="S161" t="s">
        <v>349</v>
      </c>
      <c r="T161" t="s">
        <v>349</v>
      </c>
      <c r="U161">
        <v>0</v>
      </c>
      <c r="V161">
        <v>6082.17</v>
      </c>
      <c r="W161">
        <v>0</v>
      </c>
    </row>
    <row r="162" spans="1:23" x14ac:dyDescent="0.25">
      <c r="A162" s="1">
        <v>43770</v>
      </c>
      <c r="B162" s="1">
        <v>43770</v>
      </c>
      <c r="C162" t="s">
        <v>157</v>
      </c>
      <c r="D162" t="s">
        <v>93</v>
      </c>
      <c r="E162" t="s">
        <v>49</v>
      </c>
      <c r="F162" t="s">
        <v>192</v>
      </c>
      <c r="G162" s="53">
        <v>43837</v>
      </c>
      <c r="H162">
        <v>61</v>
      </c>
      <c r="I162" t="s">
        <v>349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-1</v>
      </c>
      <c r="U162" t="s">
        <v>349</v>
      </c>
      <c r="V162" t="s">
        <v>349</v>
      </c>
      <c r="W162">
        <v>-1</v>
      </c>
    </row>
    <row r="163" spans="1:23" x14ac:dyDescent="0.25">
      <c r="A163" s="1">
        <v>43770</v>
      </c>
      <c r="B163" s="1">
        <v>43770</v>
      </c>
      <c r="C163" t="s">
        <v>157</v>
      </c>
      <c r="D163" t="s">
        <v>48</v>
      </c>
      <c r="E163" t="s">
        <v>49</v>
      </c>
      <c r="F163" t="s">
        <v>193</v>
      </c>
      <c r="G163" s="53">
        <v>43805</v>
      </c>
      <c r="H163">
        <v>33</v>
      </c>
      <c r="I163">
        <v>11167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4.6772220000000004</v>
      </c>
      <c r="T163">
        <v>75.617000000000004</v>
      </c>
      <c r="U163" t="s">
        <v>349</v>
      </c>
      <c r="V163" t="s">
        <v>349</v>
      </c>
      <c r="W163">
        <v>354</v>
      </c>
    </row>
    <row r="164" spans="1:23" x14ac:dyDescent="0.25">
      <c r="A164" s="1">
        <v>43800</v>
      </c>
      <c r="B164" s="1">
        <v>43800</v>
      </c>
      <c r="C164" t="s">
        <v>157</v>
      </c>
      <c r="D164" t="s">
        <v>54</v>
      </c>
      <c r="E164" t="s">
        <v>21</v>
      </c>
      <c r="F164" t="s">
        <v>195</v>
      </c>
      <c r="G164" s="53">
        <v>43837</v>
      </c>
      <c r="H164">
        <v>33</v>
      </c>
      <c r="I164">
        <v>11902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 t="s">
        <v>349</v>
      </c>
      <c r="T164" t="s">
        <v>349</v>
      </c>
      <c r="U164">
        <v>0</v>
      </c>
      <c r="V164">
        <v>5969.53</v>
      </c>
      <c r="W164">
        <v>0</v>
      </c>
    </row>
    <row r="165" spans="1:23" x14ac:dyDescent="0.25">
      <c r="A165" s="1">
        <v>43800</v>
      </c>
      <c r="B165" s="1">
        <v>43800</v>
      </c>
      <c r="C165" t="s">
        <v>157</v>
      </c>
      <c r="D165" t="s">
        <v>93</v>
      </c>
      <c r="E165" t="s">
        <v>49</v>
      </c>
      <c r="F165" t="s">
        <v>194</v>
      </c>
      <c r="G165" s="53">
        <v>43928.729247685187</v>
      </c>
      <c r="H165">
        <v>33</v>
      </c>
      <c r="I165" t="s">
        <v>349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1</v>
      </c>
      <c r="T165">
        <v>598</v>
      </c>
      <c r="U165" t="s">
        <v>349</v>
      </c>
      <c r="V165" t="s">
        <v>349</v>
      </c>
      <c r="W165">
        <v>598</v>
      </c>
    </row>
    <row r="166" spans="1:23" x14ac:dyDescent="0.25">
      <c r="A166" s="1">
        <v>43800</v>
      </c>
      <c r="B166" s="1">
        <v>43800</v>
      </c>
      <c r="C166" t="s">
        <v>157</v>
      </c>
      <c r="D166" t="s">
        <v>48</v>
      </c>
      <c r="E166" t="s">
        <v>49</v>
      </c>
      <c r="F166" t="s">
        <v>196</v>
      </c>
      <c r="G166" s="53">
        <v>43837</v>
      </c>
      <c r="H166">
        <v>33</v>
      </c>
      <c r="I166">
        <v>11902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1</v>
      </c>
      <c r="R166" t="s">
        <v>83</v>
      </c>
      <c r="S166">
        <v>1541.900316</v>
      </c>
      <c r="T166">
        <v>74.400999999999996</v>
      </c>
      <c r="U166" t="s">
        <v>349</v>
      </c>
      <c r="V166" t="s">
        <v>349</v>
      </c>
      <c r="W166">
        <v>114719</v>
      </c>
    </row>
    <row r="167" spans="1:23" x14ac:dyDescent="0.25">
      <c r="A167" s="1">
        <v>43800</v>
      </c>
      <c r="B167" s="1">
        <v>43800</v>
      </c>
      <c r="C167" t="s">
        <v>157</v>
      </c>
      <c r="D167" t="s">
        <v>54</v>
      </c>
      <c r="E167" t="s">
        <v>21</v>
      </c>
      <c r="F167" t="s">
        <v>195</v>
      </c>
      <c r="G167" s="53">
        <v>43837</v>
      </c>
      <c r="H167">
        <v>33</v>
      </c>
      <c r="I167">
        <v>11902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2</v>
      </c>
      <c r="R167" t="s">
        <v>94</v>
      </c>
      <c r="S167" t="s">
        <v>349</v>
      </c>
      <c r="T167" t="s">
        <v>349</v>
      </c>
      <c r="U167">
        <v>0</v>
      </c>
      <c r="V167">
        <v>6128.55</v>
      </c>
      <c r="W167">
        <v>0</v>
      </c>
    </row>
    <row r="168" spans="1:23" x14ac:dyDescent="0.25">
      <c r="A168" s="1">
        <v>43800</v>
      </c>
      <c r="B168" s="1">
        <v>43800</v>
      </c>
      <c r="C168" t="s">
        <v>157</v>
      </c>
      <c r="D168" t="s">
        <v>93</v>
      </c>
      <c r="E168" t="s">
        <v>49</v>
      </c>
      <c r="F168" t="s">
        <v>194</v>
      </c>
      <c r="G168" s="53">
        <v>43928.729247685187</v>
      </c>
      <c r="H168">
        <v>33</v>
      </c>
      <c r="I168" t="s">
        <v>349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2</v>
      </c>
      <c r="R168" t="s">
        <v>94</v>
      </c>
      <c r="S168">
        <v>1</v>
      </c>
      <c r="T168">
        <v>2</v>
      </c>
      <c r="U168" t="s">
        <v>349</v>
      </c>
      <c r="V168" t="s">
        <v>349</v>
      </c>
      <c r="W168">
        <v>2</v>
      </c>
    </row>
    <row r="169" spans="1:23" x14ac:dyDescent="0.25">
      <c r="A169" s="1">
        <v>43800</v>
      </c>
      <c r="B169" s="1">
        <v>43800</v>
      </c>
      <c r="C169" t="s">
        <v>157</v>
      </c>
      <c r="D169" t="s">
        <v>48</v>
      </c>
      <c r="E169" t="s">
        <v>49</v>
      </c>
      <c r="F169" t="s">
        <v>196</v>
      </c>
      <c r="G169" s="53">
        <v>43837</v>
      </c>
      <c r="H169">
        <v>33</v>
      </c>
      <c r="I169">
        <v>11902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2</v>
      </c>
      <c r="R169" t="s">
        <v>94</v>
      </c>
      <c r="S169">
        <v>4.9920920000000004</v>
      </c>
      <c r="T169">
        <v>75.736999999999995</v>
      </c>
      <c r="U169" t="s">
        <v>349</v>
      </c>
      <c r="V169" t="s">
        <v>349</v>
      </c>
      <c r="W169">
        <v>378</v>
      </c>
    </row>
    <row r="170" spans="1:23" x14ac:dyDescent="0.25">
      <c r="A170" s="1">
        <v>43800</v>
      </c>
      <c r="B170" s="1">
        <v>43800</v>
      </c>
      <c r="C170" t="s">
        <v>157</v>
      </c>
      <c r="D170" t="s">
        <v>54</v>
      </c>
      <c r="E170" t="s">
        <v>21</v>
      </c>
      <c r="F170" t="s">
        <v>195</v>
      </c>
      <c r="G170" s="53">
        <v>43837</v>
      </c>
      <c r="H170">
        <v>33</v>
      </c>
      <c r="I170">
        <v>11902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3</v>
      </c>
      <c r="R170" t="s">
        <v>81</v>
      </c>
      <c r="S170" t="s">
        <v>349</v>
      </c>
      <c r="T170" t="s">
        <v>349</v>
      </c>
      <c r="U170">
        <v>0</v>
      </c>
      <c r="V170">
        <v>5735.8</v>
      </c>
      <c r="W170">
        <v>0</v>
      </c>
    </row>
    <row r="171" spans="1:23" x14ac:dyDescent="0.25">
      <c r="A171" s="1">
        <v>43800</v>
      </c>
      <c r="B171" s="1">
        <v>43800</v>
      </c>
      <c r="C171" t="s">
        <v>157</v>
      </c>
      <c r="D171" t="s">
        <v>93</v>
      </c>
      <c r="E171" t="s">
        <v>49</v>
      </c>
      <c r="F171" t="s">
        <v>194</v>
      </c>
      <c r="G171" s="53">
        <v>43928.729247685187</v>
      </c>
      <c r="H171">
        <v>33</v>
      </c>
      <c r="I171" t="s">
        <v>349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3</v>
      </c>
      <c r="R171" t="s">
        <v>81</v>
      </c>
      <c r="S171">
        <v>1</v>
      </c>
      <c r="T171">
        <v>111</v>
      </c>
      <c r="U171" t="s">
        <v>349</v>
      </c>
      <c r="V171" t="s">
        <v>349</v>
      </c>
      <c r="W171">
        <v>111</v>
      </c>
    </row>
    <row r="172" spans="1:23" x14ac:dyDescent="0.25">
      <c r="A172" s="1">
        <v>43800</v>
      </c>
      <c r="B172" s="1">
        <v>43800</v>
      </c>
      <c r="C172" t="s">
        <v>157</v>
      </c>
      <c r="D172" t="s">
        <v>48</v>
      </c>
      <c r="E172" t="s">
        <v>49</v>
      </c>
      <c r="F172" t="s">
        <v>196</v>
      </c>
      <c r="G172" s="53">
        <v>43837</v>
      </c>
      <c r="H172">
        <v>33</v>
      </c>
      <c r="I172">
        <v>11902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3</v>
      </c>
      <c r="R172" t="s">
        <v>81</v>
      </c>
      <c r="S172">
        <v>302.289739</v>
      </c>
      <c r="T172">
        <v>70.436999999999998</v>
      </c>
      <c r="U172" t="s">
        <v>349</v>
      </c>
      <c r="V172" t="s">
        <v>349</v>
      </c>
      <c r="W172">
        <v>21292</v>
      </c>
    </row>
    <row r="173" spans="1:23" x14ac:dyDescent="0.25">
      <c r="A173" s="1">
        <v>43800</v>
      </c>
      <c r="B173" s="1">
        <v>43800</v>
      </c>
      <c r="C173" t="s">
        <v>157</v>
      </c>
      <c r="D173" t="s">
        <v>54</v>
      </c>
      <c r="E173" t="s">
        <v>21</v>
      </c>
      <c r="F173" t="s">
        <v>195</v>
      </c>
      <c r="G173" s="53">
        <v>43837</v>
      </c>
      <c r="H173">
        <v>33</v>
      </c>
      <c r="I173">
        <v>11902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4</v>
      </c>
      <c r="R173" t="s">
        <v>27</v>
      </c>
      <c r="S173" t="s">
        <v>349</v>
      </c>
      <c r="T173" t="s">
        <v>349</v>
      </c>
      <c r="U173">
        <v>0</v>
      </c>
      <c r="V173">
        <v>5821.34</v>
      </c>
      <c r="W173">
        <v>0</v>
      </c>
    </row>
    <row r="174" spans="1:23" x14ac:dyDescent="0.25">
      <c r="A174" s="1">
        <v>43800</v>
      </c>
      <c r="B174" s="1">
        <v>43800</v>
      </c>
      <c r="C174" t="s">
        <v>157</v>
      </c>
      <c r="D174" t="s">
        <v>93</v>
      </c>
      <c r="E174" t="s">
        <v>49</v>
      </c>
      <c r="F174" t="s">
        <v>194</v>
      </c>
      <c r="G174" s="53">
        <v>43928.729247685187</v>
      </c>
      <c r="H174">
        <v>33</v>
      </c>
      <c r="I174" t="s">
        <v>349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4</v>
      </c>
      <c r="R174" t="s">
        <v>27</v>
      </c>
      <c r="S174">
        <v>1</v>
      </c>
      <c r="T174">
        <v>780</v>
      </c>
      <c r="U174" t="s">
        <v>349</v>
      </c>
      <c r="V174" t="s">
        <v>349</v>
      </c>
      <c r="W174">
        <v>780</v>
      </c>
    </row>
    <row r="175" spans="1:23" x14ac:dyDescent="0.25">
      <c r="A175" s="1">
        <v>43800</v>
      </c>
      <c r="B175" s="1">
        <v>43800</v>
      </c>
      <c r="C175" t="s">
        <v>157</v>
      </c>
      <c r="D175" t="s">
        <v>48</v>
      </c>
      <c r="E175" t="s">
        <v>49</v>
      </c>
      <c r="F175" t="s">
        <v>196</v>
      </c>
      <c r="G175" s="53">
        <v>43837</v>
      </c>
      <c r="H175">
        <v>33</v>
      </c>
      <c r="I175">
        <v>11902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4</v>
      </c>
      <c r="R175" t="s">
        <v>27</v>
      </c>
      <c r="S175">
        <v>2077.3259159999998</v>
      </c>
      <c r="T175">
        <v>71.983999999999995</v>
      </c>
      <c r="U175" t="s">
        <v>349</v>
      </c>
      <c r="V175" t="s">
        <v>349</v>
      </c>
      <c r="W175">
        <v>149534</v>
      </c>
    </row>
    <row r="176" spans="1:23" x14ac:dyDescent="0.25">
      <c r="A176" s="1">
        <v>43800</v>
      </c>
      <c r="B176" s="1">
        <v>43800</v>
      </c>
      <c r="C176" t="s">
        <v>157</v>
      </c>
      <c r="D176" t="s">
        <v>54</v>
      </c>
      <c r="E176" t="s">
        <v>21</v>
      </c>
      <c r="F176" t="s">
        <v>195</v>
      </c>
      <c r="G176" s="53">
        <v>43837</v>
      </c>
      <c r="H176">
        <v>33</v>
      </c>
      <c r="I176">
        <v>11902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5</v>
      </c>
      <c r="R176" t="s">
        <v>28</v>
      </c>
      <c r="S176" t="s">
        <v>349</v>
      </c>
      <c r="T176" t="s">
        <v>349</v>
      </c>
      <c r="U176">
        <v>0</v>
      </c>
      <c r="V176">
        <v>6082.17</v>
      </c>
      <c r="W176">
        <v>0</v>
      </c>
    </row>
    <row r="177" spans="1:23" x14ac:dyDescent="0.25">
      <c r="A177" s="1">
        <v>43800</v>
      </c>
      <c r="B177" s="1">
        <v>43800</v>
      </c>
      <c r="C177" t="s">
        <v>157</v>
      </c>
      <c r="D177" t="s">
        <v>93</v>
      </c>
      <c r="E177" t="s">
        <v>49</v>
      </c>
      <c r="F177" t="s">
        <v>194</v>
      </c>
      <c r="G177" s="53">
        <v>43928.729247685187</v>
      </c>
      <c r="H177">
        <v>33</v>
      </c>
      <c r="I177" t="s">
        <v>349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5</v>
      </c>
      <c r="R177" t="s">
        <v>28</v>
      </c>
      <c r="S177">
        <v>1</v>
      </c>
      <c r="T177">
        <v>4</v>
      </c>
      <c r="U177" t="s">
        <v>349</v>
      </c>
      <c r="V177" t="s">
        <v>349</v>
      </c>
      <c r="W177">
        <v>4</v>
      </c>
    </row>
    <row r="178" spans="1:23" x14ac:dyDescent="0.25">
      <c r="A178" s="1">
        <v>43800</v>
      </c>
      <c r="B178" s="1">
        <v>43800</v>
      </c>
      <c r="C178" t="s">
        <v>157</v>
      </c>
      <c r="D178" t="s">
        <v>48</v>
      </c>
      <c r="E178" t="s">
        <v>49</v>
      </c>
      <c r="F178" t="s">
        <v>196</v>
      </c>
      <c r="G178" s="53">
        <v>43837</v>
      </c>
      <c r="H178">
        <v>33</v>
      </c>
      <c r="I178">
        <v>11902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5</v>
      </c>
      <c r="R178" t="s">
        <v>28</v>
      </c>
      <c r="S178">
        <v>5.3231200000000003</v>
      </c>
      <c r="T178">
        <v>75.617000000000004</v>
      </c>
      <c r="U178" t="s">
        <v>349</v>
      </c>
      <c r="V178" t="s">
        <v>349</v>
      </c>
      <c r="W178">
        <v>403</v>
      </c>
    </row>
    <row r="179" spans="1:23" x14ac:dyDescent="0.25">
      <c r="A179" s="1">
        <v>43831</v>
      </c>
      <c r="B179" s="1">
        <v>43831</v>
      </c>
      <c r="C179" t="s">
        <v>157</v>
      </c>
      <c r="D179" t="s">
        <v>54</v>
      </c>
      <c r="E179" t="s">
        <v>21</v>
      </c>
      <c r="F179" t="s">
        <v>199</v>
      </c>
      <c r="G179" s="53">
        <v>43910.518553240741</v>
      </c>
      <c r="H179">
        <v>33</v>
      </c>
      <c r="I179">
        <v>13159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1</v>
      </c>
      <c r="R179" t="s">
        <v>83</v>
      </c>
      <c r="S179" t="s">
        <v>349</v>
      </c>
      <c r="T179" t="s">
        <v>349</v>
      </c>
      <c r="U179">
        <v>0</v>
      </c>
      <c r="V179">
        <v>5969.53</v>
      </c>
      <c r="W179">
        <v>0</v>
      </c>
    </row>
    <row r="180" spans="1:23" x14ac:dyDescent="0.25">
      <c r="A180" s="1">
        <v>43831</v>
      </c>
      <c r="B180" s="1">
        <v>43831</v>
      </c>
      <c r="C180" t="s">
        <v>157</v>
      </c>
      <c r="D180" t="s">
        <v>93</v>
      </c>
      <c r="E180" t="s">
        <v>49</v>
      </c>
      <c r="F180" t="s">
        <v>198</v>
      </c>
      <c r="G180" s="53">
        <v>43917.77002314815</v>
      </c>
      <c r="H180">
        <v>33</v>
      </c>
      <c r="I180">
        <v>13702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1</v>
      </c>
      <c r="R180" t="s">
        <v>83</v>
      </c>
      <c r="S180">
        <v>1</v>
      </c>
      <c r="T180">
        <v>29633</v>
      </c>
      <c r="U180" t="s">
        <v>349</v>
      </c>
      <c r="V180" t="s">
        <v>349</v>
      </c>
      <c r="W180">
        <v>29633</v>
      </c>
    </row>
    <row r="181" spans="1:23" x14ac:dyDescent="0.25">
      <c r="A181" s="1">
        <v>43831</v>
      </c>
      <c r="B181" s="1">
        <v>43831</v>
      </c>
      <c r="C181" t="s">
        <v>157</v>
      </c>
      <c r="D181" t="s">
        <v>48</v>
      </c>
      <c r="E181" t="s">
        <v>49</v>
      </c>
      <c r="F181" t="s">
        <v>200</v>
      </c>
      <c r="G181" s="53">
        <v>43910.518553240741</v>
      </c>
      <c r="H181">
        <v>33</v>
      </c>
      <c r="I181">
        <v>13159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1</v>
      </c>
      <c r="R181" t="s">
        <v>83</v>
      </c>
      <c r="S181">
        <v>4352.0722839999999</v>
      </c>
      <c r="T181">
        <v>62.720154999999998</v>
      </c>
      <c r="U181" t="s">
        <v>349</v>
      </c>
      <c r="V181" t="s">
        <v>349</v>
      </c>
      <c r="W181">
        <v>272963</v>
      </c>
    </row>
    <row r="182" spans="1:23" x14ac:dyDescent="0.25">
      <c r="A182" s="1">
        <v>43831</v>
      </c>
      <c r="B182" s="1">
        <v>43831</v>
      </c>
      <c r="C182" t="s">
        <v>157</v>
      </c>
      <c r="D182" t="s">
        <v>54</v>
      </c>
      <c r="E182" t="s">
        <v>21</v>
      </c>
      <c r="F182" t="s">
        <v>199</v>
      </c>
      <c r="G182" s="53">
        <v>43910.518553240741</v>
      </c>
      <c r="H182">
        <v>33</v>
      </c>
      <c r="I182">
        <v>13159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2</v>
      </c>
      <c r="R182" t="s">
        <v>94</v>
      </c>
      <c r="S182" t="s">
        <v>349</v>
      </c>
      <c r="T182" t="s">
        <v>349</v>
      </c>
      <c r="U182">
        <v>0</v>
      </c>
      <c r="V182">
        <v>6128.55</v>
      </c>
      <c r="W182">
        <v>0</v>
      </c>
    </row>
    <row r="183" spans="1:23" x14ac:dyDescent="0.25">
      <c r="A183" s="1">
        <v>43831</v>
      </c>
      <c r="B183" s="1">
        <v>43831</v>
      </c>
      <c r="C183" t="s">
        <v>157</v>
      </c>
      <c r="D183" t="s">
        <v>93</v>
      </c>
      <c r="E183" t="s">
        <v>49</v>
      </c>
      <c r="F183" t="s">
        <v>198</v>
      </c>
      <c r="G183" s="53">
        <v>43917.77002314815</v>
      </c>
      <c r="H183">
        <v>33</v>
      </c>
      <c r="I183">
        <v>13702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2</v>
      </c>
      <c r="R183" t="s">
        <v>94</v>
      </c>
      <c r="S183">
        <v>1</v>
      </c>
      <c r="T183">
        <v>68</v>
      </c>
      <c r="U183" t="s">
        <v>349</v>
      </c>
      <c r="V183" t="s">
        <v>349</v>
      </c>
      <c r="W183">
        <v>68</v>
      </c>
    </row>
    <row r="184" spans="1:23" x14ac:dyDescent="0.25">
      <c r="A184" s="1">
        <v>43831</v>
      </c>
      <c r="B184" s="1">
        <v>43831</v>
      </c>
      <c r="C184" t="s">
        <v>157</v>
      </c>
      <c r="D184" t="s">
        <v>48</v>
      </c>
      <c r="E184" t="s">
        <v>49</v>
      </c>
      <c r="F184" t="s">
        <v>200</v>
      </c>
      <c r="G184" s="53">
        <v>43910.518553240741</v>
      </c>
      <c r="H184">
        <v>33</v>
      </c>
      <c r="I184">
        <v>13159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2</v>
      </c>
      <c r="R184" t="s">
        <v>94</v>
      </c>
      <c r="S184">
        <v>8.3147540000000006</v>
      </c>
      <c r="T184">
        <v>63.846404999999997</v>
      </c>
      <c r="U184" t="s">
        <v>349</v>
      </c>
      <c r="V184" t="s">
        <v>349</v>
      </c>
      <c r="W184">
        <v>531</v>
      </c>
    </row>
    <row r="185" spans="1:23" x14ac:dyDescent="0.25">
      <c r="A185" s="1">
        <v>43831</v>
      </c>
      <c r="B185" s="1">
        <v>43831</v>
      </c>
      <c r="C185" t="s">
        <v>157</v>
      </c>
      <c r="D185" t="s">
        <v>54</v>
      </c>
      <c r="E185" t="s">
        <v>21</v>
      </c>
      <c r="F185" t="s">
        <v>199</v>
      </c>
      <c r="G185" s="53">
        <v>43910.518553240741</v>
      </c>
      <c r="H185">
        <v>33</v>
      </c>
      <c r="I185">
        <v>13159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3</v>
      </c>
      <c r="R185" t="s">
        <v>81</v>
      </c>
      <c r="S185" t="s">
        <v>349</v>
      </c>
      <c r="T185" t="s">
        <v>349</v>
      </c>
      <c r="U185">
        <v>0</v>
      </c>
      <c r="V185">
        <v>5735.8</v>
      </c>
      <c r="W185">
        <v>0</v>
      </c>
    </row>
    <row r="186" spans="1:23" x14ac:dyDescent="0.25">
      <c r="A186" s="1">
        <v>43831</v>
      </c>
      <c r="B186" s="1">
        <v>43831</v>
      </c>
      <c r="C186" t="s">
        <v>157</v>
      </c>
      <c r="D186" t="s">
        <v>93</v>
      </c>
      <c r="E186" t="s">
        <v>49</v>
      </c>
      <c r="F186" t="s">
        <v>198</v>
      </c>
      <c r="G186" s="53">
        <v>43917.77002314815</v>
      </c>
      <c r="H186">
        <v>33</v>
      </c>
      <c r="I186">
        <v>13702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3</v>
      </c>
      <c r="R186" t="s">
        <v>81</v>
      </c>
      <c r="S186">
        <v>1</v>
      </c>
      <c r="T186">
        <v>4168</v>
      </c>
      <c r="U186" t="s">
        <v>349</v>
      </c>
      <c r="V186" t="s">
        <v>349</v>
      </c>
      <c r="W186">
        <v>4168</v>
      </c>
    </row>
    <row r="187" spans="1:23" x14ac:dyDescent="0.25">
      <c r="A187" s="1">
        <v>43831</v>
      </c>
      <c r="B187" s="1">
        <v>43831</v>
      </c>
      <c r="C187" t="s">
        <v>157</v>
      </c>
      <c r="D187" t="s">
        <v>48</v>
      </c>
      <c r="E187" t="s">
        <v>49</v>
      </c>
      <c r="F187" t="s">
        <v>200</v>
      </c>
      <c r="G187" s="53">
        <v>43910.518553240741</v>
      </c>
      <c r="H187">
        <v>33</v>
      </c>
      <c r="I187">
        <v>13159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615.07463700000005</v>
      </c>
      <c r="T187">
        <v>59.378497000000003</v>
      </c>
      <c r="U187" t="s">
        <v>349</v>
      </c>
      <c r="V187" t="s">
        <v>349</v>
      </c>
      <c r="W187">
        <v>36522</v>
      </c>
    </row>
    <row r="188" spans="1:23" x14ac:dyDescent="0.25">
      <c r="A188" s="1">
        <v>43831</v>
      </c>
      <c r="B188" s="1">
        <v>43831</v>
      </c>
      <c r="C188" t="s">
        <v>157</v>
      </c>
      <c r="D188" t="s">
        <v>54</v>
      </c>
      <c r="E188" t="s">
        <v>21</v>
      </c>
      <c r="F188" t="s">
        <v>199</v>
      </c>
      <c r="G188" s="53">
        <v>43910.518553240741</v>
      </c>
      <c r="H188">
        <v>33</v>
      </c>
      <c r="I188">
        <v>13159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4</v>
      </c>
      <c r="R188" t="s">
        <v>27</v>
      </c>
      <c r="S188" t="s">
        <v>349</v>
      </c>
      <c r="T188" t="s">
        <v>349</v>
      </c>
      <c r="U188">
        <v>0</v>
      </c>
      <c r="V188">
        <v>5821.34</v>
      </c>
      <c r="W188">
        <v>0</v>
      </c>
    </row>
    <row r="189" spans="1:23" x14ac:dyDescent="0.25">
      <c r="A189" s="1">
        <v>43831</v>
      </c>
      <c r="B189" s="1">
        <v>43831</v>
      </c>
      <c r="C189" t="s">
        <v>157</v>
      </c>
      <c r="D189" t="s">
        <v>93</v>
      </c>
      <c r="E189" t="s">
        <v>49</v>
      </c>
      <c r="F189" t="s">
        <v>198</v>
      </c>
      <c r="G189" s="53">
        <v>43917.77002314815</v>
      </c>
      <c r="H189">
        <v>33</v>
      </c>
      <c r="I189">
        <v>13702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25632</v>
      </c>
      <c r="U189" t="s">
        <v>349</v>
      </c>
      <c r="V189" t="s">
        <v>349</v>
      </c>
      <c r="W189">
        <v>25632</v>
      </c>
    </row>
    <row r="190" spans="1:23" x14ac:dyDescent="0.25">
      <c r="A190" s="1">
        <v>43831</v>
      </c>
      <c r="B190" s="1">
        <v>43831</v>
      </c>
      <c r="C190" t="s">
        <v>157</v>
      </c>
      <c r="D190" t="s">
        <v>48</v>
      </c>
      <c r="E190" t="s">
        <v>49</v>
      </c>
      <c r="F190" t="s">
        <v>200</v>
      </c>
      <c r="G190" s="53">
        <v>43910.518553240741</v>
      </c>
      <c r="H190">
        <v>33</v>
      </c>
      <c r="I190">
        <v>13159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3772.6657449999998</v>
      </c>
      <c r="T190">
        <v>60.68262</v>
      </c>
      <c r="U190" t="s">
        <v>349</v>
      </c>
      <c r="V190" t="s">
        <v>349</v>
      </c>
      <c r="W190">
        <v>228935</v>
      </c>
    </row>
    <row r="191" spans="1:23" x14ac:dyDescent="0.25">
      <c r="A191" s="1">
        <v>43831</v>
      </c>
      <c r="B191" s="1">
        <v>43831</v>
      </c>
      <c r="C191" t="s">
        <v>157</v>
      </c>
      <c r="D191" t="s">
        <v>54</v>
      </c>
      <c r="E191" t="s">
        <v>21</v>
      </c>
      <c r="F191" t="s">
        <v>199</v>
      </c>
      <c r="G191" s="53">
        <v>43910.518553240741</v>
      </c>
      <c r="H191">
        <v>33</v>
      </c>
      <c r="I191">
        <v>13159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 t="s">
        <v>349</v>
      </c>
      <c r="T191" t="s">
        <v>349</v>
      </c>
      <c r="U191">
        <v>0</v>
      </c>
      <c r="V191">
        <v>6082.17</v>
      </c>
      <c r="W191">
        <v>0</v>
      </c>
    </row>
    <row r="192" spans="1:23" x14ac:dyDescent="0.25">
      <c r="A192" s="1">
        <v>43831</v>
      </c>
      <c r="B192" s="1">
        <v>43831</v>
      </c>
      <c r="C192" t="s">
        <v>157</v>
      </c>
      <c r="D192" t="s">
        <v>93</v>
      </c>
      <c r="E192" t="s">
        <v>49</v>
      </c>
      <c r="F192" t="s">
        <v>198</v>
      </c>
      <c r="G192" s="53">
        <v>43917.77002314815</v>
      </c>
      <c r="H192">
        <v>33</v>
      </c>
      <c r="I192">
        <v>13702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</v>
      </c>
      <c r="T192">
        <v>130</v>
      </c>
      <c r="U192" t="s">
        <v>349</v>
      </c>
      <c r="V192" t="s">
        <v>349</v>
      </c>
      <c r="W192">
        <v>130</v>
      </c>
    </row>
    <row r="193" spans="1:23" x14ac:dyDescent="0.25">
      <c r="A193" s="1">
        <v>43831</v>
      </c>
      <c r="B193" s="1">
        <v>43831</v>
      </c>
      <c r="C193" t="s">
        <v>157</v>
      </c>
      <c r="D193" t="s">
        <v>48</v>
      </c>
      <c r="E193" t="s">
        <v>49</v>
      </c>
      <c r="F193" t="s">
        <v>200</v>
      </c>
      <c r="G193" s="53">
        <v>43910.518553240741</v>
      </c>
      <c r="H193">
        <v>33</v>
      </c>
      <c r="I193">
        <v>13159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5</v>
      </c>
      <c r="R193" t="s">
        <v>28</v>
      </c>
      <c r="S193">
        <v>19.961974999999999</v>
      </c>
      <c r="T193">
        <v>63.745244</v>
      </c>
      <c r="U193" t="s">
        <v>349</v>
      </c>
      <c r="V193" t="s">
        <v>349</v>
      </c>
      <c r="W193">
        <v>1272</v>
      </c>
    </row>
    <row r="194" spans="1:23" x14ac:dyDescent="0.25">
      <c r="A194" s="1">
        <v>43862</v>
      </c>
      <c r="B194" s="1">
        <v>43862</v>
      </c>
      <c r="C194" t="s">
        <v>157</v>
      </c>
      <c r="D194" t="s">
        <v>54</v>
      </c>
      <c r="E194" t="s">
        <v>21</v>
      </c>
      <c r="F194" t="s">
        <v>203</v>
      </c>
      <c r="G194" s="53">
        <v>43902.628391203703</v>
      </c>
      <c r="H194">
        <v>33</v>
      </c>
      <c r="I194">
        <v>13209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 t="s">
        <v>349</v>
      </c>
      <c r="T194" t="s">
        <v>349</v>
      </c>
      <c r="U194">
        <v>0</v>
      </c>
      <c r="V194">
        <v>6208.06</v>
      </c>
      <c r="W194">
        <v>0</v>
      </c>
    </row>
    <row r="195" spans="1:23" x14ac:dyDescent="0.25">
      <c r="A195" s="1">
        <v>43862</v>
      </c>
      <c r="B195" s="1">
        <v>43862</v>
      </c>
      <c r="C195" t="s">
        <v>157</v>
      </c>
      <c r="D195" t="s">
        <v>93</v>
      </c>
      <c r="E195" t="s">
        <v>49</v>
      </c>
      <c r="F195" t="s">
        <v>204</v>
      </c>
      <c r="G195" s="53">
        <v>43928.689675925925</v>
      </c>
      <c r="H195">
        <v>33</v>
      </c>
      <c r="I195">
        <v>13670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1</v>
      </c>
      <c r="R195" t="s">
        <v>83</v>
      </c>
      <c r="S195">
        <v>1</v>
      </c>
      <c r="T195">
        <v>698</v>
      </c>
      <c r="U195" t="s">
        <v>349</v>
      </c>
      <c r="V195" t="s">
        <v>349</v>
      </c>
      <c r="W195">
        <v>698</v>
      </c>
    </row>
    <row r="196" spans="1:23" x14ac:dyDescent="0.25">
      <c r="A196" s="1">
        <v>43862</v>
      </c>
      <c r="B196" s="1">
        <v>43862</v>
      </c>
      <c r="C196" t="s">
        <v>157</v>
      </c>
      <c r="D196" t="s">
        <v>48</v>
      </c>
      <c r="E196" t="s">
        <v>49</v>
      </c>
      <c r="F196" t="s">
        <v>202</v>
      </c>
      <c r="G196" s="53">
        <v>43902.628391203703</v>
      </c>
      <c r="H196">
        <v>33</v>
      </c>
      <c r="I196">
        <v>13209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1</v>
      </c>
      <c r="R196" t="s">
        <v>83</v>
      </c>
      <c r="S196">
        <v>4259.97</v>
      </c>
      <c r="T196">
        <v>69.512</v>
      </c>
      <c r="U196" t="s">
        <v>349</v>
      </c>
      <c r="V196" t="s">
        <v>349</v>
      </c>
      <c r="W196">
        <v>296119</v>
      </c>
    </row>
    <row r="197" spans="1:23" x14ac:dyDescent="0.25">
      <c r="A197" s="1">
        <v>43862</v>
      </c>
      <c r="B197" s="1">
        <v>43862</v>
      </c>
      <c r="C197" t="s">
        <v>157</v>
      </c>
      <c r="D197" t="s">
        <v>54</v>
      </c>
      <c r="E197" t="s">
        <v>21</v>
      </c>
      <c r="F197" t="s">
        <v>203</v>
      </c>
      <c r="G197" s="53">
        <v>43902.628391203703</v>
      </c>
      <c r="H197">
        <v>33</v>
      </c>
      <c r="I197">
        <v>13209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2</v>
      </c>
      <c r="R197" t="s">
        <v>94</v>
      </c>
      <c r="S197" t="s">
        <v>349</v>
      </c>
      <c r="T197" t="s">
        <v>349</v>
      </c>
      <c r="U197">
        <v>0</v>
      </c>
      <c r="V197">
        <v>6283.67</v>
      </c>
      <c r="W197">
        <v>0</v>
      </c>
    </row>
    <row r="198" spans="1:23" x14ac:dyDescent="0.25">
      <c r="A198" s="1">
        <v>43862</v>
      </c>
      <c r="B198" s="1">
        <v>43862</v>
      </c>
      <c r="C198" t="s">
        <v>157</v>
      </c>
      <c r="D198" t="s">
        <v>93</v>
      </c>
      <c r="E198" t="s">
        <v>49</v>
      </c>
      <c r="F198" t="s">
        <v>204</v>
      </c>
      <c r="G198" s="53">
        <v>43928.689675925925</v>
      </c>
      <c r="H198">
        <v>33</v>
      </c>
      <c r="I198">
        <v>13670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2</v>
      </c>
      <c r="R198" t="s">
        <v>94</v>
      </c>
      <c r="S198">
        <v>1</v>
      </c>
      <c r="T198">
        <v>2</v>
      </c>
      <c r="U198" t="s">
        <v>349</v>
      </c>
      <c r="V198" t="s">
        <v>349</v>
      </c>
      <c r="W198">
        <v>2</v>
      </c>
    </row>
    <row r="199" spans="1:23" x14ac:dyDescent="0.25">
      <c r="A199" s="1">
        <v>43862</v>
      </c>
      <c r="B199" s="1">
        <v>43862</v>
      </c>
      <c r="C199" t="s">
        <v>157</v>
      </c>
      <c r="D199" t="s">
        <v>48</v>
      </c>
      <c r="E199" t="s">
        <v>49</v>
      </c>
      <c r="F199" t="s">
        <v>202</v>
      </c>
      <c r="G199" s="53">
        <v>43902.628391203703</v>
      </c>
      <c r="H199">
        <v>33</v>
      </c>
      <c r="I199">
        <v>13209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2</v>
      </c>
      <c r="R199" t="s">
        <v>94</v>
      </c>
      <c r="S199">
        <v>8.2387359999999994</v>
      </c>
      <c r="T199">
        <v>72.001000000000005</v>
      </c>
      <c r="U199" t="s">
        <v>349</v>
      </c>
      <c r="V199" t="s">
        <v>349</v>
      </c>
      <c r="W199">
        <v>593</v>
      </c>
    </row>
    <row r="200" spans="1:23" x14ac:dyDescent="0.25">
      <c r="A200" s="1">
        <v>43862</v>
      </c>
      <c r="B200" s="1">
        <v>43862</v>
      </c>
      <c r="C200" t="s">
        <v>157</v>
      </c>
      <c r="D200" t="s">
        <v>54</v>
      </c>
      <c r="E200" t="s">
        <v>21</v>
      </c>
      <c r="F200" t="s">
        <v>203</v>
      </c>
      <c r="G200" s="53">
        <v>43902.628391203703</v>
      </c>
      <c r="H200">
        <v>33</v>
      </c>
      <c r="I200">
        <v>13209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3</v>
      </c>
      <c r="R200" t="s">
        <v>81</v>
      </c>
      <c r="S200" t="s">
        <v>349</v>
      </c>
      <c r="T200" t="s">
        <v>349</v>
      </c>
      <c r="U200">
        <v>0</v>
      </c>
      <c r="V200">
        <v>5891.37</v>
      </c>
      <c r="W200">
        <v>0</v>
      </c>
    </row>
    <row r="201" spans="1:23" x14ac:dyDescent="0.25">
      <c r="A201" s="1">
        <v>43862</v>
      </c>
      <c r="B201" s="1">
        <v>43862</v>
      </c>
      <c r="C201" t="s">
        <v>157</v>
      </c>
      <c r="D201" t="s">
        <v>93</v>
      </c>
      <c r="E201" t="s">
        <v>49</v>
      </c>
      <c r="F201" t="s">
        <v>204</v>
      </c>
      <c r="G201" s="53">
        <v>43928.689675925925</v>
      </c>
      <c r="H201">
        <v>33</v>
      </c>
      <c r="I201">
        <v>13670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3</v>
      </c>
      <c r="R201" t="s">
        <v>81</v>
      </c>
      <c r="S201">
        <v>1</v>
      </c>
      <c r="T201">
        <v>94</v>
      </c>
      <c r="U201" t="s">
        <v>349</v>
      </c>
      <c r="V201" t="s">
        <v>349</v>
      </c>
      <c r="W201">
        <v>94</v>
      </c>
    </row>
    <row r="202" spans="1:23" x14ac:dyDescent="0.25">
      <c r="A202" s="1">
        <v>43862</v>
      </c>
      <c r="B202" s="1">
        <v>43862</v>
      </c>
      <c r="C202" t="s">
        <v>157</v>
      </c>
      <c r="D202" t="s">
        <v>48</v>
      </c>
      <c r="E202" t="s">
        <v>49</v>
      </c>
      <c r="F202" t="s">
        <v>202</v>
      </c>
      <c r="G202" s="53">
        <v>43902.628391203703</v>
      </c>
      <c r="H202">
        <v>33</v>
      </c>
      <c r="I202">
        <v>13209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3</v>
      </c>
      <c r="R202" t="s">
        <v>81</v>
      </c>
      <c r="S202">
        <v>604.49491499999999</v>
      </c>
      <c r="T202">
        <v>66.138000000000005</v>
      </c>
      <c r="U202" t="s">
        <v>349</v>
      </c>
      <c r="V202" t="s">
        <v>349</v>
      </c>
      <c r="W202">
        <v>39980</v>
      </c>
    </row>
    <row r="203" spans="1:23" x14ac:dyDescent="0.25">
      <c r="A203" s="1">
        <v>43862</v>
      </c>
      <c r="B203" s="1">
        <v>43862</v>
      </c>
      <c r="C203" t="s">
        <v>157</v>
      </c>
      <c r="D203" t="s">
        <v>54</v>
      </c>
      <c r="E203" t="s">
        <v>21</v>
      </c>
      <c r="F203" t="s">
        <v>203</v>
      </c>
      <c r="G203" s="53">
        <v>43902.628391203703</v>
      </c>
      <c r="H203">
        <v>33</v>
      </c>
      <c r="I203">
        <v>13209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4</v>
      </c>
      <c r="R203" t="s">
        <v>27</v>
      </c>
      <c r="S203" t="s">
        <v>349</v>
      </c>
      <c r="T203" t="s">
        <v>349</v>
      </c>
      <c r="U203">
        <v>0</v>
      </c>
      <c r="V203">
        <v>6091.55</v>
      </c>
      <c r="W203">
        <v>0</v>
      </c>
    </row>
    <row r="204" spans="1:23" x14ac:dyDescent="0.25">
      <c r="A204" s="1">
        <v>43862</v>
      </c>
      <c r="B204" s="1">
        <v>43862</v>
      </c>
      <c r="C204" t="s">
        <v>157</v>
      </c>
      <c r="D204" t="s">
        <v>93</v>
      </c>
      <c r="E204" t="s">
        <v>49</v>
      </c>
      <c r="F204" t="s">
        <v>204</v>
      </c>
      <c r="G204" s="53">
        <v>43928.689675925925</v>
      </c>
      <c r="H204">
        <v>33</v>
      </c>
      <c r="I204">
        <v>13670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4</v>
      </c>
      <c r="R204" t="s">
        <v>27</v>
      </c>
      <c r="S204">
        <v>1</v>
      </c>
      <c r="T204">
        <v>589</v>
      </c>
      <c r="U204" t="s">
        <v>349</v>
      </c>
      <c r="V204" t="s">
        <v>349</v>
      </c>
      <c r="W204">
        <v>589</v>
      </c>
    </row>
    <row r="205" spans="1:23" x14ac:dyDescent="0.25">
      <c r="A205" s="1">
        <v>43862</v>
      </c>
      <c r="B205" s="1">
        <v>43862</v>
      </c>
      <c r="C205" t="s">
        <v>157</v>
      </c>
      <c r="D205" t="s">
        <v>48</v>
      </c>
      <c r="E205" t="s">
        <v>49</v>
      </c>
      <c r="F205" t="s">
        <v>202</v>
      </c>
      <c r="G205" s="53">
        <v>43902.628391203703</v>
      </c>
      <c r="H205">
        <v>33</v>
      </c>
      <c r="I205">
        <v>13209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4</v>
      </c>
      <c r="R205" t="s">
        <v>27</v>
      </c>
      <c r="S205">
        <v>3695.5145980000002</v>
      </c>
      <c r="T205">
        <v>67.459999999999994</v>
      </c>
      <c r="U205" t="s">
        <v>349</v>
      </c>
      <c r="V205" t="s">
        <v>349</v>
      </c>
      <c r="W205">
        <v>249299</v>
      </c>
    </row>
    <row r="206" spans="1:23" x14ac:dyDescent="0.25">
      <c r="A206" s="1">
        <v>43862</v>
      </c>
      <c r="B206" s="1">
        <v>43862</v>
      </c>
      <c r="C206" t="s">
        <v>157</v>
      </c>
      <c r="D206" t="s">
        <v>54</v>
      </c>
      <c r="E206" t="s">
        <v>21</v>
      </c>
      <c r="F206" t="s">
        <v>203</v>
      </c>
      <c r="G206" s="53">
        <v>43902.628391203703</v>
      </c>
      <c r="H206">
        <v>33</v>
      </c>
      <c r="I206">
        <v>13209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5</v>
      </c>
      <c r="R206" t="s">
        <v>28</v>
      </c>
      <c r="S206" t="s">
        <v>349</v>
      </c>
      <c r="T206" t="s">
        <v>349</v>
      </c>
      <c r="U206">
        <v>0</v>
      </c>
      <c r="V206">
        <v>5908.1</v>
      </c>
      <c r="W206">
        <v>0</v>
      </c>
    </row>
    <row r="207" spans="1:23" x14ac:dyDescent="0.25">
      <c r="A207" s="1">
        <v>43862</v>
      </c>
      <c r="B207" s="1">
        <v>43862</v>
      </c>
      <c r="C207" t="s">
        <v>157</v>
      </c>
      <c r="D207" t="s">
        <v>93</v>
      </c>
      <c r="E207" t="s">
        <v>49</v>
      </c>
      <c r="F207" t="s">
        <v>204</v>
      </c>
      <c r="G207" s="53">
        <v>43928.689675925925</v>
      </c>
      <c r="H207">
        <v>33</v>
      </c>
      <c r="I207">
        <v>13670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5</v>
      </c>
      <c r="R207" t="s">
        <v>28</v>
      </c>
      <c r="S207">
        <v>1</v>
      </c>
      <c r="T207">
        <v>3</v>
      </c>
      <c r="U207" t="s">
        <v>349</v>
      </c>
      <c r="V207" t="s">
        <v>349</v>
      </c>
      <c r="W207">
        <v>3</v>
      </c>
    </row>
    <row r="208" spans="1:23" x14ac:dyDescent="0.25">
      <c r="A208" s="1">
        <v>43862</v>
      </c>
      <c r="B208" s="1">
        <v>43862</v>
      </c>
      <c r="C208" t="s">
        <v>157</v>
      </c>
      <c r="D208" t="s">
        <v>48</v>
      </c>
      <c r="E208" t="s">
        <v>49</v>
      </c>
      <c r="F208" t="s">
        <v>202</v>
      </c>
      <c r="G208" s="53">
        <v>43902.628391203703</v>
      </c>
      <c r="H208">
        <v>33</v>
      </c>
      <c r="I208">
        <v>13209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5</v>
      </c>
      <c r="R208" t="s">
        <v>28</v>
      </c>
      <c r="S208">
        <v>19.558841000000001</v>
      </c>
      <c r="T208">
        <v>70.204999999999998</v>
      </c>
      <c r="U208" t="s">
        <v>349</v>
      </c>
      <c r="V208" t="s">
        <v>349</v>
      </c>
      <c r="W208">
        <v>1373</v>
      </c>
    </row>
    <row r="209" spans="1:23" x14ac:dyDescent="0.25">
      <c r="A209" s="1">
        <v>43891</v>
      </c>
      <c r="B209" s="1">
        <v>43891</v>
      </c>
      <c r="C209" t="s">
        <v>157</v>
      </c>
      <c r="D209" t="s">
        <v>54</v>
      </c>
      <c r="E209" t="s">
        <v>21</v>
      </c>
      <c r="F209" t="s">
        <v>206</v>
      </c>
      <c r="G209" s="53">
        <v>43928.620706018519</v>
      </c>
      <c r="H209">
        <v>33</v>
      </c>
      <c r="I209">
        <v>13219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1</v>
      </c>
      <c r="R209" t="s">
        <v>83</v>
      </c>
      <c r="S209" t="s">
        <v>349</v>
      </c>
      <c r="T209" t="s">
        <v>349</v>
      </c>
      <c r="U209">
        <v>0</v>
      </c>
      <c r="V209">
        <v>6208.06</v>
      </c>
      <c r="W209">
        <v>0</v>
      </c>
    </row>
    <row r="210" spans="1:23" x14ac:dyDescent="0.25">
      <c r="A210" s="1">
        <v>43891</v>
      </c>
      <c r="B210" s="1">
        <v>43891</v>
      </c>
      <c r="C210" t="s">
        <v>157</v>
      </c>
      <c r="D210" t="s">
        <v>93</v>
      </c>
      <c r="E210" t="s">
        <v>49</v>
      </c>
      <c r="F210" t="s">
        <v>207</v>
      </c>
      <c r="G210" s="53">
        <v>43970.737210648149</v>
      </c>
      <c r="H210">
        <v>33</v>
      </c>
      <c r="I210" t="s">
        <v>349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1</v>
      </c>
      <c r="R210" t="s">
        <v>83</v>
      </c>
      <c r="S210">
        <v>1</v>
      </c>
      <c r="T210">
        <v>7163</v>
      </c>
      <c r="U210" t="s">
        <v>349</v>
      </c>
      <c r="V210" t="s">
        <v>349</v>
      </c>
      <c r="W210">
        <v>7163</v>
      </c>
    </row>
    <row r="211" spans="1:23" x14ac:dyDescent="0.25">
      <c r="A211" s="1">
        <v>43891</v>
      </c>
      <c r="B211" s="1">
        <v>43891</v>
      </c>
      <c r="C211" t="s">
        <v>157</v>
      </c>
      <c r="D211" t="s">
        <v>48</v>
      </c>
      <c r="E211" t="s">
        <v>49</v>
      </c>
      <c r="F211" t="s">
        <v>208</v>
      </c>
      <c r="G211" s="53">
        <v>43928.620706018519</v>
      </c>
      <c r="H211">
        <v>33</v>
      </c>
      <c r="I211">
        <v>13219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1</v>
      </c>
      <c r="R211" t="s">
        <v>83</v>
      </c>
      <c r="S211">
        <v>4075.112783</v>
      </c>
      <c r="T211">
        <v>69.512</v>
      </c>
      <c r="U211" t="s">
        <v>349</v>
      </c>
      <c r="V211" t="s">
        <v>349</v>
      </c>
      <c r="W211">
        <v>283269</v>
      </c>
    </row>
    <row r="212" spans="1:23" x14ac:dyDescent="0.25">
      <c r="A212" s="1">
        <v>43891</v>
      </c>
      <c r="B212" s="1">
        <v>43891</v>
      </c>
      <c r="C212" t="s">
        <v>157</v>
      </c>
      <c r="D212" t="s">
        <v>54</v>
      </c>
      <c r="E212" t="s">
        <v>21</v>
      </c>
      <c r="F212" t="s">
        <v>206</v>
      </c>
      <c r="G212" s="53">
        <v>43928.620706018519</v>
      </c>
      <c r="H212">
        <v>33</v>
      </c>
      <c r="I212">
        <v>13219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2</v>
      </c>
      <c r="R212" t="s">
        <v>94</v>
      </c>
      <c r="S212" t="s">
        <v>349</v>
      </c>
      <c r="T212" t="s">
        <v>349</v>
      </c>
      <c r="U212">
        <v>0</v>
      </c>
      <c r="V212">
        <v>6283.67</v>
      </c>
      <c r="W212">
        <v>0</v>
      </c>
    </row>
    <row r="213" spans="1:23" x14ac:dyDescent="0.25">
      <c r="A213" s="1">
        <v>43891</v>
      </c>
      <c r="B213" s="1">
        <v>43891</v>
      </c>
      <c r="C213" t="s">
        <v>157</v>
      </c>
      <c r="D213" t="s">
        <v>93</v>
      </c>
      <c r="E213" t="s">
        <v>49</v>
      </c>
      <c r="F213" t="s">
        <v>207</v>
      </c>
      <c r="G213" s="53">
        <v>43970.737210648149</v>
      </c>
      <c r="H213">
        <v>33</v>
      </c>
      <c r="I213" t="s">
        <v>349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2</v>
      </c>
      <c r="R213" t="s">
        <v>94</v>
      </c>
      <c r="S213">
        <v>1</v>
      </c>
      <c r="T213">
        <v>14</v>
      </c>
      <c r="U213" t="s">
        <v>349</v>
      </c>
      <c r="V213" t="s">
        <v>349</v>
      </c>
      <c r="W213">
        <v>14</v>
      </c>
    </row>
    <row r="214" spans="1:23" x14ac:dyDescent="0.25">
      <c r="A214" s="1">
        <v>43891</v>
      </c>
      <c r="B214" s="1">
        <v>43891</v>
      </c>
      <c r="C214" t="s">
        <v>157</v>
      </c>
      <c r="D214" t="s">
        <v>48</v>
      </c>
      <c r="E214" t="s">
        <v>49</v>
      </c>
      <c r="F214" t="s">
        <v>208</v>
      </c>
      <c r="G214" s="53">
        <v>43928.620706018519</v>
      </c>
      <c r="H214">
        <v>33</v>
      </c>
      <c r="I214">
        <v>13219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2</v>
      </c>
      <c r="R214" t="s">
        <v>94</v>
      </c>
      <c r="S214">
        <v>7.8423639999999999</v>
      </c>
      <c r="T214">
        <v>72.001000000000005</v>
      </c>
      <c r="U214" t="s">
        <v>349</v>
      </c>
      <c r="V214" t="s">
        <v>349</v>
      </c>
      <c r="W214">
        <v>565</v>
      </c>
    </row>
    <row r="215" spans="1:23" x14ac:dyDescent="0.25">
      <c r="A215" s="1">
        <v>43891</v>
      </c>
      <c r="B215" s="1">
        <v>43891</v>
      </c>
      <c r="C215" t="s">
        <v>157</v>
      </c>
      <c r="D215" t="s">
        <v>54</v>
      </c>
      <c r="E215" t="s">
        <v>21</v>
      </c>
      <c r="F215" t="s">
        <v>206</v>
      </c>
      <c r="G215" s="53">
        <v>43928.620706018519</v>
      </c>
      <c r="H215">
        <v>33</v>
      </c>
      <c r="I215">
        <v>13219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3</v>
      </c>
      <c r="R215" t="s">
        <v>81</v>
      </c>
      <c r="S215" t="s">
        <v>349</v>
      </c>
      <c r="T215" t="s">
        <v>349</v>
      </c>
      <c r="U215">
        <v>0</v>
      </c>
      <c r="V215">
        <v>5891.37</v>
      </c>
      <c r="W215">
        <v>0</v>
      </c>
    </row>
    <row r="216" spans="1:23" x14ac:dyDescent="0.25">
      <c r="A216" s="1">
        <v>43891</v>
      </c>
      <c r="B216" s="1">
        <v>43891</v>
      </c>
      <c r="C216" t="s">
        <v>157</v>
      </c>
      <c r="D216" t="s">
        <v>93</v>
      </c>
      <c r="E216" t="s">
        <v>49</v>
      </c>
      <c r="F216" t="s">
        <v>207</v>
      </c>
      <c r="G216" s="53">
        <v>43970.737210648149</v>
      </c>
      <c r="H216">
        <v>33</v>
      </c>
      <c r="I216" t="s">
        <v>349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3</v>
      </c>
      <c r="R216" t="s">
        <v>81</v>
      </c>
      <c r="S216">
        <v>1</v>
      </c>
      <c r="T216">
        <v>965</v>
      </c>
      <c r="U216" t="s">
        <v>349</v>
      </c>
      <c r="V216" t="s">
        <v>349</v>
      </c>
      <c r="W216">
        <v>965</v>
      </c>
    </row>
    <row r="217" spans="1:23" x14ac:dyDescent="0.25">
      <c r="A217" s="1">
        <v>43891</v>
      </c>
      <c r="B217" s="1">
        <v>43891</v>
      </c>
      <c r="C217" t="s">
        <v>157</v>
      </c>
      <c r="D217" t="s">
        <v>48</v>
      </c>
      <c r="E217" t="s">
        <v>49</v>
      </c>
      <c r="F217" t="s">
        <v>208</v>
      </c>
      <c r="G217" s="53">
        <v>43928.620706018519</v>
      </c>
      <c r="H217">
        <v>33</v>
      </c>
      <c r="I217">
        <v>13219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577.13526899999999</v>
      </c>
      <c r="T217">
        <v>66.138000000000005</v>
      </c>
      <c r="U217" t="s">
        <v>349</v>
      </c>
      <c r="V217" t="s">
        <v>349</v>
      </c>
      <c r="W217">
        <v>38171</v>
      </c>
    </row>
    <row r="218" spans="1:23" x14ac:dyDescent="0.25">
      <c r="A218" s="1">
        <v>43891</v>
      </c>
      <c r="B218" s="1">
        <v>43891</v>
      </c>
      <c r="C218" t="s">
        <v>157</v>
      </c>
      <c r="D218" t="s">
        <v>54</v>
      </c>
      <c r="E218" t="s">
        <v>21</v>
      </c>
      <c r="F218" t="s">
        <v>206</v>
      </c>
      <c r="G218" s="53">
        <v>43928.620706018519</v>
      </c>
      <c r="H218">
        <v>33</v>
      </c>
      <c r="I218">
        <v>13219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4</v>
      </c>
      <c r="R218" t="s">
        <v>27</v>
      </c>
      <c r="S218" t="s">
        <v>349</v>
      </c>
      <c r="T218" t="s">
        <v>349</v>
      </c>
      <c r="U218">
        <v>0</v>
      </c>
      <c r="V218">
        <v>6091.55</v>
      </c>
      <c r="W218">
        <v>0</v>
      </c>
    </row>
    <row r="219" spans="1:23" x14ac:dyDescent="0.25">
      <c r="A219" s="1">
        <v>43891</v>
      </c>
      <c r="B219" s="1">
        <v>43891</v>
      </c>
      <c r="C219" t="s">
        <v>157</v>
      </c>
      <c r="D219" t="s">
        <v>93</v>
      </c>
      <c r="E219" t="s">
        <v>49</v>
      </c>
      <c r="F219" t="s">
        <v>207</v>
      </c>
      <c r="G219" s="53">
        <v>43970.737210648149</v>
      </c>
      <c r="H219">
        <v>33</v>
      </c>
      <c r="I219" t="s">
        <v>349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6012</v>
      </c>
      <c r="U219" t="s">
        <v>349</v>
      </c>
      <c r="V219" t="s">
        <v>349</v>
      </c>
      <c r="W219">
        <v>6012</v>
      </c>
    </row>
    <row r="220" spans="1:23" x14ac:dyDescent="0.25">
      <c r="A220" s="1">
        <v>43891</v>
      </c>
      <c r="B220" s="1">
        <v>43891</v>
      </c>
      <c r="C220" t="s">
        <v>157</v>
      </c>
      <c r="D220" t="s">
        <v>48</v>
      </c>
      <c r="E220" t="s">
        <v>49</v>
      </c>
      <c r="F220" t="s">
        <v>208</v>
      </c>
      <c r="G220" s="53">
        <v>43928.620706018519</v>
      </c>
      <c r="H220">
        <v>33</v>
      </c>
      <c r="I220">
        <v>13219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3523.8486549999998</v>
      </c>
      <c r="T220">
        <v>67.459999999999994</v>
      </c>
      <c r="U220" t="s">
        <v>349</v>
      </c>
      <c r="V220" t="s">
        <v>349</v>
      </c>
      <c r="W220">
        <v>237719</v>
      </c>
    </row>
    <row r="221" spans="1:23" x14ac:dyDescent="0.25">
      <c r="A221" s="1">
        <v>43891</v>
      </c>
      <c r="B221" s="1">
        <v>43891</v>
      </c>
      <c r="C221" t="s">
        <v>157</v>
      </c>
      <c r="D221" t="s">
        <v>54</v>
      </c>
      <c r="E221" t="s">
        <v>21</v>
      </c>
      <c r="F221" t="s">
        <v>206</v>
      </c>
      <c r="G221" s="53">
        <v>43928.620706018519</v>
      </c>
      <c r="H221">
        <v>33</v>
      </c>
      <c r="I221">
        <v>13219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 t="s">
        <v>349</v>
      </c>
      <c r="T221" t="s">
        <v>349</v>
      </c>
      <c r="U221">
        <v>0</v>
      </c>
      <c r="V221">
        <v>5908.1</v>
      </c>
      <c r="W221">
        <v>0</v>
      </c>
    </row>
    <row r="222" spans="1:23" x14ac:dyDescent="0.25">
      <c r="A222" s="1">
        <v>43891</v>
      </c>
      <c r="B222" s="1">
        <v>43891</v>
      </c>
      <c r="C222" t="s">
        <v>157</v>
      </c>
      <c r="D222" t="s">
        <v>93</v>
      </c>
      <c r="E222" t="s">
        <v>49</v>
      </c>
      <c r="F222" t="s">
        <v>207</v>
      </c>
      <c r="G222" s="53">
        <v>43970.737210648149</v>
      </c>
      <c r="H222">
        <v>33</v>
      </c>
      <c r="I222" t="s">
        <v>349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</v>
      </c>
      <c r="T222">
        <v>33</v>
      </c>
      <c r="U222" t="s">
        <v>349</v>
      </c>
      <c r="V222" t="s">
        <v>349</v>
      </c>
      <c r="W222">
        <v>33</v>
      </c>
    </row>
    <row r="223" spans="1:23" x14ac:dyDescent="0.25">
      <c r="A223" s="1">
        <v>43891</v>
      </c>
      <c r="B223" s="1">
        <v>43891</v>
      </c>
      <c r="C223" t="s">
        <v>157</v>
      </c>
      <c r="D223" t="s">
        <v>48</v>
      </c>
      <c r="E223" t="s">
        <v>49</v>
      </c>
      <c r="F223" t="s">
        <v>208</v>
      </c>
      <c r="G223" s="53">
        <v>43928.620706018519</v>
      </c>
      <c r="H223">
        <v>33</v>
      </c>
      <c r="I223">
        <v>13219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5</v>
      </c>
      <c r="R223" t="s">
        <v>28</v>
      </c>
      <c r="S223">
        <v>18.504829999999998</v>
      </c>
      <c r="T223">
        <v>70.204999999999998</v>
      </c>
      <c r="U223" t="s">
        <v>349</v>
      </c>
      <c r="V223" t="s">
        <v>349</v>
      </c>
      <c r="W223">
        <v>1299</v>
      </c>
    </row>
    <row r="224" spans="1:23" x14ac:dyDescent="0.25">
      <c r="A224" s="1">
        <v>43922</v>
      </c>
      <c r="B224" s="1">
        <v>43922</v>
      </c>
      <c r="C224" t="s">
        <v>157</v>
      </c>
      <c r="D224" t="s">
        <v>54</v>
      </c>
      <c r="E224" t="s">
        <v>21</v>
      </c>
      <c r="F224" t="s">
        <v>212</v>
      </c>
      <c r="G224" s="53">
        <v>43959.644641203704</v>
      </c>
      <c r="H224">
        <v>33</v>
      </c>
      <c r="I224">
        <v>13722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 t="s">
        <v>349</v>
      </c>
      <c r="T224" t="s">
        <v>349</v>
      </c>
      <c r="U224">
        <v>0</v>
      </c>
      <c r="V224">
        <v>6077.2</v>
      </c>
      <c r="W224">
        <v>0</v>
      </c>
    </row>
    <row r="225" spans="1:23" x14ac:dyDescent="0.25">
      <c r="A225" s="1">
        <v>43922</v>
      </c>
      <c r="B225" s="1">
        <v>43922</v>
      </c>
      <c r="C225" t="s">
        <v>157</v>
      </c>
      <c r="D225" t="s">
        <v>93</v>
      </c>
      <c r="E225" t="s">
        <v>49</v>
      </c>
      <c r="F225" t="s">
        <v>211</v>
      </c>
      <c r="G225" s="53">
        <v>43992.659548611111</v>
      </c>
      <c r="H225">
        <v>33</v>
      </c>
      <c r="I225" t="s">
        <v>349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1</v>
      </c>
      <c r="R225" t="s">
        <v>83</v>
      </c>
      <c r="S225">
        <v>1</v>
      </c>
      <c r="T225">
        <v>3814</v>
      </c>
      <c r="U225" t="s">
        <v>349</v>
      </c>
      <c r="V225" t="s">
        <v>349</v>
      </c>
      <c r="W225">
        <v>3814</v>
      </c>
    </row>
    <row r="226" spans="1:23" x14ac:dyDescent="0.25">
      <c r="A226" s="1">
        <v>43922</v>
      </c>
      <c r="B226" s="1">
        <v>43922</v>
      </c>
      <c r="C226" t="s">
        <v>157</v>
      </c>
      <c r="D226" t="s">
        <v>48</v>
      </c>
      <c r="E226" t="s">
        <v>49</v>
      </c>
      <c r="F226" t="s">
        <v>215</v>
      </c>
      <c r="G226" s="53">
        <v>43959.644641203704</v>
      </c>
      <c r="H226">
        <v>33</v>
      </c>
      <c r="I226">
        <v>13722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1</v>
      </c>
      <c r="R226" t="s">
        <v>83</v>
      </c>
      <c r="S226">
        <v>2937.81</v>
      </c>
      <c r="T226">
        <v>71.221999999999994</v>
      </c>
      <c r="U226" t="s">
        <v>349</v>
      </c>
      <c r="V226" t="s">
        <v>349</v>
      </c>
      <c r="W226">
        <v>209237</v>
      </c>
    </row>
    <row r="227" spans="1:23" x14ac:dyDescent="0.25">
      <c r="A227" s="1">
        <v>43922</v>
      </c>
      <c r="B227" s="1">
        <v>43922</v>
      </c>
      <c r="C227" t="s">
        <v>157</v>
      </c>
      <c r="D227" t="s">
        <v>54</v>
      </c>
      <c r="E227" t="s">
        <v>21</v>
      </c>
      <c r="F227" t="s">
        <v>212</v>
      </c>
      <c r="G227" s="53">
        <v>43959.644641203704</v>
      </c>
      <c r="H227">
        <v>33</v>
      </c>
      <c r="I227">
        <v>13722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2</v>
      </c>
      <c r="R227" t="s">
        <v>94</v>
      </c>
      <c r="S227" t="s">
        <v>349</v>
      </c>
      <c r="T227" t="s">
        <v>349</v>
      </c>
      <c r="U227">
        <v>0</v>
      </c>
      <c r="V227">
        <v>6151.21</v>
      </c>
      <c r="W227">
        <v>0</v>
      </c>
    </row>
    <row r="228" spans="1:23" x14ac:dyDescent="0.25">
      <c r="A228" s="1">
        <v>43922</v>
      </c>
      <c r="B228" s="1">
        <v>43922</v>
      </c>
      <c r="C228" t="s">
        <v>157</v>
      </c>
      <c r="D228" t="s">
        <v>93</v>
      </c>
      <c r="E228" t="s">
        <v>49</v>
      </c>
      <c r="F228" t="s">
        <v>211</v>
      </c>
      <c r="G228" s="53">
        <v>43992.659548611111</v>
      </c>
      <c r="H228">
        <v>33</v>
      </c>
      <c r="I228" t="s">
        <v>349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2</v>
      </c>
      <c r="R228" t="s">
        <v>94</v>
      </c>
      <c r="S228">
        <v>1</v>
      </c>
      <c r="T228">
        <v>8</v>
      </c>
      <c r="U228" t="s">
        <v>349</v>
      </c>
      <c r="V228" t="s">
        <v>349</v>
      </c>
      <c r="W228">
        <v>8</v>
      </c>
    </row>
    <row r="229" spans="1:23" x14ac:dyDescent="0.25">
      <c r="A229" s="1">
        <v>43922</v>
      </c>
      <c r="B229" s="1">
        <v>43922</v>
      </c>
      <c r="C229" t="s">
        <v>157</v>
      </c>
      <c r="D229" t="s">
        <v>48</v>
      </c>
      <c r="E229" t="s">
        <v>49</v>
      </c>
      <c r="F229" t="s">
        <v>215</v>
      </c>
      <c r="G229" s="53">
        <v>43959.644641203704</v>
      </c>
      <c r="H229">
        <v>33</v>
      </c>
      <c r="I229">
        <v>13722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2</v>
      </c>
      <c r="R229" t="s">
        <v>94</v>
      </c>
      <c r="S229">
        <v>6.150766</v>
      </c>
      <c r="T229">
        <v>73.772999999999996</v>
      </c>
      <c r="U229" t="s">
        <v>349</v>
      </c>
      <c r="V229" t="s">
        <v>349</v>
      </c>
      <c r="W229">
        <v>454</v>
      </c>
    </row>
    <row r="230" spans="1:23" x14ac:dyDescent="0.25">
      <c r="A230" s="1">
        <v>43922</v>
      </c>
      <c r="B230" s="1">
        <v>43922</v>
      </c>
      <c r="C230" t="s">
        <v>157</v>
      </c>
      <c r="D230" t="s">
        <v>54</v>
      </c>
      <c r="E230" t="s">
        <v>21</v>
      </c>
      <c r="F230" t="s">
        <v>212</v>
      </c>
      <c r="G230" s="53">
        <v>43959.644641203704</v>
      </c>
      <c r="H230">
        <v>33</v>
      </c>
      <c r="I230">
        <v>13722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3</v>
      </c>
      <c r="R230" t="s">
        <v>81</v>
      </c>
      <c r="S230" t="s">
        <v>349</v>
      </c>
      <c r="T230" t="s">
        <v>349</v>
      </c>
      <c r="U230">
        <v>0</v>
      </c>
      <c r="V230">
        <v>5767.18</v>
      </c>
      <c r="W230">
        <v>0</v>
      </c>
    </row>
    <row r="231" spans="1:23" x14ac:dyDescent="0.25">
      <c r="A231" s="1">
        <v>43922</v>
      </c>
      <c r="B231" s="1">
        <v>43922</v>
      </c>
      <c r="C231" t="s">
        <v>157</v>
      </c>
      <c r="D231" t="s">
        <v>93</v>
      </c>
      <c r="E231" t="s">
        <v>49</v>
      </c>
      <c r="F231" t="s">
        <v>211</v>
      </c>
      <c r="G231" s="53">
        <v>43992.659548611111</v>
      </c>
      <c r="H231">
        <v>33</v>
      </c>
      <c r="I231" t="s">
        <v>349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3</v>
      </c>
      <c r="R231" t="s">
        <v>81</v>
      </c>
      <c r="S231">
        <v>1</v>
      </c>
      <c r="T231">
        <v>531</v>
      </c>
      <c r="U231" t="s">
        <v>349</v>
      </c>
      <c r="V231" t="s">
        <v>349</v>
      </c>
      <c r="W231">
        <v>531</v>
      </c>
    </row>
    <row r="232" spans="1:23" x14ac:dyDescent="0.25">
      <c r="A232" s="1">
        <v>43922</v>
      </c>
      <c r="B232" s="1">
        <v>43922</v>
      </c>
      <c r="C232" t="s">
        <v>157</v>
      </c>
      <c r="D232" t="s">
        <v>48</v>
      </c>
      <c r="E232" t="s">
        <v>49</v>
      </c>
      <c r="F232" t="s">
        <v>215</v>
      </c>
      <c r="G232" s="53">
        <v>43959.644641203704</v>
      </c>
      <c r="H232">
        <v>33</v>
      </c>
      <c r="I232">
        <v>13722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3</v>
      </c>
      <c r="R232" t="s">
        <v>81</v>
      </c>
      <c r="S232">
        <v>430.04700800000001</v>
      </c>
      <c r="T232">
        <v>67.765000000000001</v>
      </c>
      <c r="U232" t="s">
        <v>349</v>
      </c>
      <c r="V232" t="s">
        <v>349</v>
      </c>
      <c r="W232">
        <v>29142</v>
      </c>
    </row>
    <row r="233" spans="1:23" x14ac:dyDescent="0.25">
      <c r="A233" s="1">
        <v>43922</v>
      </c>
      <c r="B233" s="1">
        <v>43922</v>
      </c>
      <c r="C233" t="s">
        <v>157</v>
      </c>
      <c r="D233" t="s">
        <v>54</v>
      </c>
      <c r="E233" t="s">
        <v>21</v>
      </c>
      <c r="F233" t="s">
        <v>212</v>
      </c>
      <c r="G233" s="53">
        <v>43959.644641203704</v>
      </c>
      <c r="H233">
        <v>33</v>
      </c>
      <c r="I233">
        <v>13722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4</v>
      </c>
      <c r="R233" t="s">
        <v>27</v>
      </c>
      <c r="S233" t="s">
        <v>349</v>
      </c>
      <c r="T233" t="s">
        <v>349</v>
      </c>
      <c r="U233">
        <v>0</v>
      </c>
      <c r="V233">
        <v>5963.14</v>
      </c>
      <c r="W233">
        <v>0</v>
      </c>
    </row>
    <row r="234" spans="1:23" x14ac:dyDescent="0.25">
      <c r="A234" s="1">
        <v>43922</v>
      </c>
      <c r="B234" s="1">
        <v>43922</v>
      </c>
      <c r="C234" t="s">
        <v>157</v>
      </c>
      <c r="D234" t="s">
        <v>93</v>
      </c>
      <c r="E234" t="s">
        <v>49</v>
      </c>
      <c r="F234" t="s">
        <v>211</v>
      </c>
      <c r="G234" s="53">
        <v>43992.659548611111</v>
      </c>
      <c r="H234">
        <v>33</v>
      </c>
      <c r="I234" t="s">
        <v>349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4</v>
      </c>
      <c r="R234" t="s">
        <v>27</v>
      </c>
      <c r="S234">
        <v>1</v>
      </c>
      <c r="T234">
        <v>3349</v>
      </c>
      <c r="U234" t="s">
        <v>349</v>
      </c>
      <c r="V234" t="s">
        <v>349</v>
      </c>
      <c r="W234">
        <v>3349</v>
      </c>
    </row>
    <row r="235" spans="1:23" x14ac:dyDescent="0.25">
      <c r="A235" s="1">
        <v>43922</v>
      </c>
      <c r="B235" s="1">
        <v>43922</v>
      </c>
      <c r="C235" t="s">
        <v>157</v>
      </c>
      <c r="D235" t="s">
        <v>48</v>
      </c>
      <c r="E235" t="s">
        <v>49</v>
      </c>
      <c r="F235" t="s">
        <v>215</v>
      </c>
      <c r="G235" s="53">
        <v>43959.644641203704</v>
      </c>
      <c r="H235">
        <v>33</v>
      </c>
      <c r="I235">
        <v>13722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4</v>
      </c>
      <c r="R235" t="s">
        <v>27</v>
      </c>
      <c r="S235">
        <v>2658.6885689999999</v>
      </c>
      <c r="T235">
        <v>69.12</v>
      </c>
      <c r="U235" t="s">
        <v>349</v>
      </c>
      <c r="V235" t="s">
        <v>349</v>
      </c>
      <c r="W235">
        <v>183769</v>
      </c>
    </row>
    <row r="236" spans="1:23" x14ac:dyDescent="0.25">
      <c r="A236" s="1">
        <v>43922</v>
      </c>
      <c r="B236" s="1">
        <v>43922</v>
      </c>
      <c r="C236" t="s">
        <v>157</v>
      </c>
      <c r="D236" t="s">
        <v>54</v>
      </c>
      <c r="E236" t="s">
        <v>21</v>
      </c>
      <c r="F236" t="s">
        <v>212</v>
      </c>
      <c r="G236" s="53">
        <v>43959.644641203704</v>
      </c>
      <c r="H236">
        <v>33</v>
      </c>
      <c r="I236">
        <v>13722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5</v>
      </c>
      <c r="R236" t="s">
        <v>28</v>
      </c>
      <c r="S236" t="s">
        <v>349</v>
      </c>
      <c r="T236" t="s">
        <v>349</v>
      </c>
      <c r="U236">
        <v>0</v>
      </c>
      <c r="V236">
        <v>5783.56</v>
      </c>
      <c r="W236">
        <v>0</v>
      </c>
    </row>
    <row r="237" spans="1:23" x14ac:dyDescent="0.25">
      <c r="A237" s="1">
        <v>43922</v>
      </c>
      <c r="B237" s="1">
        <v>43922</v>
      </c>
      <c r="C237" t="s">
        <v>157</v>
      </c>
      <c r="D237" t="s">
        <v>93</v>
      </c>
      <c r="E237" t="s">
        <v>49</v>
      </c>
      <c r="F237" t="s">
        <v>211</v>
      </c>
      <c r="G237" s="53">
        <v>43992.659548611111</v>
      </c>
      <c r="H237">
        <v>33</v>
      </c>
      <c r="I237" t="s">
        <v>349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5</v>
      </c>
      <c r="R237" t="s">
        <v>28</v>
      </c>
      <c r="S237">
        <v>1</v>
      </c>
      <c r="T237">
        <v>20</v>
      </c>
      <c r="U237" t="s">
        <v>349</v>
      </c>
      <c r="V237" t="s">
        <v>349</v>
      </c>
      <c r="W237">
        <v>20</v>
      </c>
    </row>
    <row r="238" spans="1:23" x14ac:dyDescent="0.25">
      <c r="A238" s="1">
        <v>43922</v>
      </c>
      <c r="B238" s="1">
        <v>43922</v>
      </c>
      <c r="C238" t="s">
        <v>157</v>
      </c>
      <c r="D238" t="s">
        <v>48</v>
      </c>
      <c r="E238" t="s">
        <v>49</v>
      </c>
      <c r="F238" t="s">
        <v>215</v>
      </c>
      <c r="G238" s="53">
        <v>43959.644641203704</v>
      </c>
      <c r="H238">
        <v>33</v>
      </c>
      <c r="I238">
        <v>13722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5</v>
      </c>
      <c r="R238" t="s">
        <v>28</v>
      </c>
      <c r="S238">
        <v>15.457482000000001</v>
      </c>
      <c r="T238">
        <v>71.932000000000002</v>
      </c>
      <c r="U238" t="s">
        <v>349</v>
      </c>
      <c r="V238" t="s">
        <v>349</v>
      </c>
      <c r="W238">
        <v>1112</v>
      </c>
    </row>
    <row r="239" spans="1:23" x14ac:dyDescent="0.25">
      <c r="A239" s="1">
        <v>43952</v>
      </c>
      <c r="B239" s="1">
        <v>43952</v>
      </c>
      <c r="C239" t="s">
        <v>157</v>
      </c>
      <c r="D239" t="s">
        <v>54</v>
      </c>
      <c r="E239" t="s">
        <v>21</v>
      </c>
      <c r="F239" t="s">
        <v>221</v>
      </c>
      <c r="G239" s="53">
        <v>43987.496550925927</v>
      </c>
      <c r="H239">
        <v>33</v>
      </c>
      <c r="I239">
        <v>14013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1</v>
      </c>
      <c r="R239" t="s">
        <v>83</v>
      </c>
      <c r="S239" t="s">
        <v>349</v>
      </c>
      <c r="T239" t="s">
        <v>349</v>
      </c>
      <c r="U239">
        <v>0</v>
      </c>
      <c r="V239">
        <v>6077.2</v>
      </c>
      <c r="W239">
        <v>0</v>
      </c>
    </row>
    <row r="240" spans="1:23" x14ac:dyDescent="0.25">
      <c r="A240" s="1">
        <v>43952</v>
      </c>
      <c r="B240" s="1">
        <v>43952</v>
      </c>
      <c r="C240" t="s">
        <v>157</v>
      </c>
      <c r="D240" t="s">
        <v>93</v>
      </c>
      <c r="E240" t="s">
        <v>49</v>
      </c>
      <c r="F240" t="s">
        <v>217</v>
      </c>
      <c r="G240" s="53">
        <v>44027.009201388886</v>
      </c>
      <c r="H240">
        <v>33</v>
      </c>
      <c r="I240">
        <v>14695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1</v>
      </c>
      <c r="R240" t="s">
        <v>83</v>
      </c>
      <c r="S240">
        <v>1</v>
      </c>
      <c r="T240">
        <v>269</v>
      </c>
      <c r="U240" t="s">
        <v>349</v>
      </c>
      <c r="V240" t="s">
        <v>349</v>
      </c>
      <c r="W240">
        <v>269</v>
      </c>
    </row>
    <row r="241" spans="1:23" x14ac:dyDescent="0.25">
      <c r="A241" s="1">
        <v>43952</v>
      </c>
      <c r="B241" s="1">
        <v>43952</v>
      </c>
      <c r="C241" t="s">
        <v>157</v>
      </c>
      <c r="D241" t="s">
        <v>48</v>
      </c>
      <c r="E241" t="s">
        <v>49</v>
      </c>
      <c r="F241" t="s">
        <v>220</v>
      </c>
      <c r="G241" s="53">
        <v>43987.496550925927</v>
      </c>
      <c r="H241">
        <v>33</v>
      </c>
      <c r="I241">
        <v>14013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1</v>
      </c>
      <c r="R241" t="s">
        <v>83</v>
      </c>
      <c r="S241">
        <v>2850.9896789999998</v>
      </c>
      <c r="T241">
        <v>71.221999999999994</v>
      </c>
      <c r="U241" t="s">
        <v>349</v>
      </c>
      <c r="V241" t="s">
        <v>349</v>
      </c>
      <c r="W241">
        <v>203053</v>
      </c>
    </row>
    <row r="242" spans="1:23" x14ac:dyDescent="0.25">
      <c r="A242" s="1">
        <v>43952</v>
      </c>
      <c r="B242" s="1">
        <v>43952</v>
      </c>
      <c r="C242" t="s">
        <v>157</v>
      </c>
      <c r="D242" t="s">
        <v>54</v>
      </c>
      <c r="E242" t="s">
        <v>21</v>
      </c>
      <c r="F242" t="s">
        <v>221</v>
      </c>
      <c r="G242" s="53">
        <v>43987.496550925927</v>
      </c>
      <c r="H242">
        <v>33</v>
      </c>
      <c r="I242">
        <v>14013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2</v>
      </c>
      <c r="R242" t="s">
        <v>94</v>
      </c>
      <c r="S242" t="s">
        <v>349</v>
      </c>
      <c r="T242" t="s">
        <v>349</v>
      </c>
      <c r="U242">
        <v>0</v>
      </c>
      <c r="V242">
        <v>6151.21</v>
      </c>
      <c r="W242">
        <v>0</v>
      </c>
    </row>
    <row r="243" spans="1:23" x14ac:dyDescent="0.25">
      <c r="A243" s="1">
        <v>43952</v>
      </c>
      <c r="B243" s="1">
        <v>43952</v>
      </c>
      <c r="C243" t="s">
        <v>157</v>
      </c>
      <c r="D243" t="s">
        <v>48</v>
      </c>
      <c r="E243" t="s">
        <v>49</v>
      </c>
      <c r="F243" t="s">
        <v>220</v>
      </c>
      <c r="G243" s="53">
        <v>43987.496550925927</v>
      </c>
      <c r="H243">
        <v>33</v>
      </c>
      <c r="I243">
        <v>14013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2</v>
      </c>
      <c r="R243" t="s">
        <v>94</v>
      </c>
      <c r="S243">
        <v>6.0668620000000004</v>
      </c>
      <c r="T243">
        <v>73.772999999999996</v>
      </c>
      <c r="U243" t="s">
        <v>349</v>
      </c>
      <c r="V243" t="s">
        <v>349</v>
      </c>
      <c r="W243">
        <v>448</v>
      </c>
    </row>
    <row r="244" spans="1:23" x14ac:dyDescent="0.25">
      <c r="A244" s="1">
        <v>43952</v>
      </c>
      <c r="B244" s="1">
        <v>43952</v>
      </c>
      <c r="C244" t="s">
        <v>157</v>
      </c>
      <c r="D244" t="s">
        <v>54</v>
      </c>
      <c r="E244" t="s">
        <v>21</v>
      </c>
      <c r="F244" t="s">
        <v>221</v>
      </c>
      <c r="G244" s="53">
        <v>43987.496550925927</v>
      </c>
      <c r="H244">
        <v>33</v>
      </c>
      <c r="I244">
        <v>14013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3</v>
      </c>
      <c r="R244" t="s">
        <v>81</v>
      </c>
      <c r="S244" t="s">
        <v>349</v>
      </c>
      <c r="T244" t="s">
        <v>349</v>
      </c>
      <c r="U244">
        <v>0</v>
      </c>
      <c r="V244">
        <v>5767.18</v>
      </c>
      <c r="W244">
        <v>0</v>
      </c>
    </row>
    <row r="245" spans="1:23" x14ac:dyDescent="0.25">
      <c r="A245" s="1">
        <v>43952</v>
      </c>
      <c r="B245" s="1">
        <v>43952</v>
      </c>
      <c r="C245" t="s">
        <v>157</v>
      </c>
      <c r="D245" t="s">
        <v>93</v>
      </c>
      <c r="E245" t="s">
        <v>49</v>
      </c>
      <c r="F245" t="s">
        <v>217</v>
      </c>
      <c r="G245" s="53">
        <v>44027.009201388886</v>
      </c>
      <c r="H245">
        <v>33</v>
      </c>
      <c r="I245">
        <v>14695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3</v>
      </c>
      <c r="R245" t="s">
        <v>81</v>
      </c>
      <c r="S245">
        <v>1</v>
      </c>
      <c r="T245">
        <v>38</v>
      </c>
      <c r="U245" t="s">
        <v>349</v>
      </c>
      <c r="V245" t="s">
        <v>349</v>
      </c>
      <c r="W245">
        <v>38</v>
      </c>
    </row>
    <row r="246" spans="1:23" x14ac:dyDescent="0.25">
      <c r="A246" s="1">
        <v>43952</v>
      </c>
      <c r="B246" s="1">
        <v>43952</v>
      </c>
      <c r="C246" t="s">
        <v>157</v>
      </c>
      <c r="D246" t="s">
        <v>48</v>
      </c>
      <c r="E246" t="s">
        <v>49</v>
      </c>
      <c r="F246" t="s">
        <v>220</v>
      </c>
      <c r="G246" s="53">
        <v>43987.496550925927</v>
      </c>
      <c r="H246">
        <v>33</v>
      </c>
      <c r="I246">
        <v>14013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3</v>
      </c>
      <c r="R246" t="s">
        <v>81</v>
      </c>
      <c r="S246">
        <v>420.03741300000002</v>
      </c>
      <c r="T246">
        <v>67.765000000000001</v>
      </c>
      <c r="U246" t="s">
        <v>349</v>
      </c>
      <c r="V246" t="s">
        <v>349</v>
      </c>
      <c r="W246">
        <v>28464</v>
      </c>
    </row>
    <row r="247" spans="1:23" x14ac:dyDescent="0.25">
      <c r="A247" s="1">
        <v>43952</v>
      </c>
      <c r="B247" s="1">
        <v>43952</v>
      </c>
      <c r="C247" t="s">
        <v>157</v>
      </c>
      <c r="D247" t="s">
        <v>54</v>
      </c>
      <c r="E247" t="s">
        <v>21</v>
      </c>
      <c r="F247" t="s">
        <v>221</v>
      </c>
      <c r="G247" s="53">
        <v>43987.496550925927</v>
      </c>
      <c r="H247">
        <v>33</v>
      </c>
      <c r="I247">
        <v>14013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4</v>
      </c>
      <c r="R247" t="s">
        <v>27</v>
      </c>
      <c r="S247" t="s">
        <v>349</v>
      </c>
      <c r="T247" t="s">
        <v>349</v>
      </c>
      <c r="U247">
        <v>0</v>
      </c>
      <c r="V247">
        <v>5963.14</v>
      </c>
      <c r="W247">
        <v>0</v>
      </c>
    </row>
    <row r="248" spans="1:23" x14ac:dyDescent="0.25">
      <c r="A248" s="1">
        <v>43952</v>
      </c>
      <c r="B248" s="1">
        <v>43952</v>
      </c>
      <c r="C248" t="s">
        <v>157</v>
      </c>
      <c r="D248" t="s">
        <v>93</v>
      </c>
      <c r="E248" t="s">
        <v>49</v>
      </c>
      <c r="F248" t="s">
        <v>217</v>
      </c>
      <c r="G248" s="53">
        <v>44027.009201388886</v>
      </c>
      <c r="H248">
        <v>33</v>
      </c>
      <c r="I248">
        <v>14695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4</v>
      </c>
      <c r="R248" t="s">
        <v>27</v>
      </c>
      <c r="S248">
        <v>1</v>
      </c>
      <c r="T248">
        <v>238</v>
      </c>
      <c r="U248" t="s">
        <v>349</v>
      </c>
      <c r="V248" t="s">
        <v>349</v>
      </c>
      <c r="W248">
        <v>238</v>
      </c>
    </row>
    <row r="249" spans="1:23" x14ac:dyDescent="0.25">
      <c r="A249" s="1">
        <v>43952</v>
      </c>
      <c r="B249" s="1">
        <v>43952</v>
      </c>
      <c r="C249" t="s">
        <v>157</v>
      </c>
      <c r="D249" t="s">
        <v>48</v>
      </c>
      <c r="E249" t="s">
        <v>49</v>
      </c>
      <c r="F249" t="s">
        <v>220</v>
      </c>
      <c r="G249" s="53">
        <v>43987.496550925927</v>
      </c>
      <c r="H249">
        <v>33</v>
      </c>
      <c r="I249">
        <v>14013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2600.4811690000001</v>
      </c>
      <c r="T249">
        <v>69.12</v>
      </c>
      <c r="U249" t="s">
        <v>349</v>
      </c>
      <c r="V249" t="s">
        <v>349</v>
      </c>
      <c r="W249">
        <v>179745</v>
      </c>
    </row>
    <row r="250" spans="1:23" x14ac:dyDescent="0.25">
      <c r="A250" s="1">
        <v>43952</v>
      </c>
      <c r="B250" s="1">
        <v>43952</v>
      </c>
      <c r="C250" t="s">
        <v>157</v>
      </c>
      <c r="D250" t="s">
        <v>54</v>
      </c>
      <c r="E250" t="s">
        <v>21</v>
      </c>
      <c r="F250" t="s">
        <v>221</v>
      </c>
      <c r="G250" s="53">
        <v>43987.496550925927</v>
      </c>
      <c r="H250">
        <v>33</v>
      </c>
      <c r="I250">
        <v>14013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5</v>
      </c>
      <c r="R250" t="s">
        <v>28</v>
      </c>
      <c r="S250" t="s">
        <v>349</v>
      </c>
      <c r="T250" t="s">
        <v>349</v>
      </c>
      <c r="U250">
        <v>0</v>
      </c>
      <c r="V250">
        <v>5783.56</v>
      </c>
      <c r="W250">
        <v>0</v>
      </c>
    </row>
    <row r="251" spans="1:23" x14ac:dyDescent="0.25">
      <c r="A251" s="1">
        <v>43952</v>
      </c>
      <c r="B251" s="1">
        <v>43952</v>
      </c>
      <c r="C251" t="s">
        <v>157</v>
      </c>
      <c r="D251" t="s">
        <v>93</v>
      </c>
      <c r="E251" t="s">
        <v>49</v>
      </c>
      <c r="F251" t="s">
        <v>217</v>
      </c>
      <c r="G251" s="53">
        <v>44027.009201388886</v>
      </c>
      <c r="H251">
        <v>33</v>
      </c>
      <c r="I251">
        <v>14695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1</v>
      </c>
      <c r="U251" t="s">
        <v>349</v>
      </c>
      <c r="V251" t="s">
        <v>349</v>
      </c>
      <c r="W251">
        <v>1</v>
      </c>
    </row>
    <row r="252" spans="1:23" x14ac:dyDescent="0.25">
      <c r="A252" s="1">
        <v>43952</v>
      </c>
      <c r="B252" s="1">
        <v>43952</v>
      </c>
      <c r="C252" t="s">
        <v>157</v>
      </c>
      <c r="D252" t="s">
        <v>48</v>
      </c>
      <c r="E252" t="s">
        <v>49</v>
      </c>
      <c r="F252" t="s">
        <v>220</v>
      </c>
      <c r="G252" s="53">
        <v>43987.496550925927</v>
      </c>
      <c r="H252">
        <v>33</v>
      </c>
      <c r="I252">
        <v>14013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15.361321</v>
      </c>
      <c r="T252">
        <v>71.932000000000002</v>
      </c>
      <c r="U252" t="s">
        <v>349</v>
      </c>
      <c r="V252" t="s">
        <v>349</v>
      </c>
      <c r="W252">
        <v>1105</v>
      </c>
    </row>
    <row r="253" spans="1:23" x14ac:dyDescent="0.25">
      <c r="A253" s="1">
        <v>43983</v>
      </c>
      <c r="B253" s="1">
        <v>43983</v>
      </c>
      <c r="C253" t="s">
        <v>157</v>
      </c>
      <c r="D253" t="s">
        <v>54</v>
      </c>
      <c r="E253" t="s">
        <v>21</v>
      </c>
      <c r="F253" t="s">
        <v>224</v>
      </c>
      <c r="G253" s="53">
        <v>44020.479664351849</v>
      </c>
      <c r="H253">
        <v>33</v>
      </c>
      <c r="I253">
        <v>14392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 t="s">
        <v>349</v>
      </c>
      <c r="T253" t="s">
        <v>349</v>
      </c>
      <c r="U253">
        <v>0</v>
      </c>
      <c r="V253">
        <v>6077.2</v>
      </c>
      <c r="W253">
        <v>0</v>
      </c>
    </row>
    <row r="254" spans="1:23" x14ac:dyDescent="0.25">
      <c r="A254" s="1">
        <v>43983</v>
      </c>
      <c r="B254" s="1">
        <v>43983</v>
      </c>
      <c r="C254" t="s">
        <v>157</v>
      </c>
      <c r="D254" t="s">
        <v>93</v>
      </c>
      <c r="E254" t="s">
        <v>49</v>
      </c>
      <c r="F254" t="s">
        <v>229</v>
      </c>
      <c r="G254" s="53">
        <v>44057.743877314817</v>
      </c>
      <c r="H254">
        <v>61</v>
      </c>
      <c r="I254" t="s">
        <v>349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1</v>
      </c>
      <c r="T254">
        <v>-1449</v>
      </c>
      <c r="U254" t="s">
        <v>349</v>
      </c>
      <c r="V254" t="s">
        <v>349</v>
      </c>
      <c r="W254">
        <v>-1449</v>
      </c>
    </row>
    <row r="255" spans="1:23" x14ac:dyDescent="0.25">
      <c r="A255" s="1">
        <v>43983</v>
      </c>
      <c r="B255" s="1">
        <v>43983</v>
      </c>
      <c r="C255" t="s">
        <v>157</v>
      </c>
      <c r="D255" t="s">
        <v>48</v>
      </c>
      <c r="E255" t="s">
        <v>49</v>
      </c>
      <c r="F255" t="s">
        <v>228</v>
      </c>
      <c r="G255" s="53">
        <v>44020.479664351849</v>
      </c>
      <c r="H255">
        <v>33</v>
      </c>
      <c r="I255">
        <v>14392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1</v>
      </c>
      <c r="R255" t="s">
        <v>83</v>
      </c>
      <c r="S255">
        <v>2496.08</v>
      </c>
      <c r="T255">
        <v>71.221999999999994</v>
      </c>
      <c r="U255" t="s">
        <v>349</v>
      </c>
      <c r="V255" t="s">
        <v>349</v>
      </c>
      <c r="W255">
        <v>177776</v>
      </c>
    </row>
    <row r="256" spans="1:23" x14ac:dyDescent="0.25">
      <c r="A256" s="1">
        <v>43983</v>
      </c>
      <c r="B256" s="1">
        <v>43983</v>
      </c>
      <c r="C256" t="s">
        <v>157</v>
      </c>
      <c r="D256" t="s">
        <v>54</v>
      </c>
      <c r="E256" t="s">
        <v>21</v>
      </c>
      <c r="F256" t="s">
        <v>224</v>
      </c>
      <c r="G256" s="53">
        <v>44020.479664351849</v>
      </c>
      <c r="H256">
        <v>33</v>
      </c>
      <c r="I256">
        <v>14392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 t="s">
        <v>349</v>
      </c>
      <c r="T256" t="s">
        <v>349</v>
      </c>
      <c r="U256">
        <v>0</v>
      </c>
      <c r="V256">
        <v>6151.21</v>
      </c>
      <c r="W256">
        <v>0</v>
      </c>
    </row>
    <row r="257" spans="1:23" x14ac:dyDescent="0.25">
      <c r="A257" s="1">
        <v>43983</v>
      </c>
      <c r="B257" s="1">
        <v>43983</v>
      </c>
      <c r="C257" t="s">
        <v>157</v>
      </c>
      <c r="D257" t="s">
        <v>93</v>
      </c>
      <c r="E257" t="s">
        <v>49</v>
      </c>
      <c r="F257" t="s">
        <v>229</v>
      </c>
      <c r="G257" s="53">
        <v>44057.743877314817</v>
      </c>
      <c r="H257">
        <v>61</v>
      </c>
      <c r="I257" t="s">
        <v>349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2</v>
      </c>
      <c r="R257" t="s">
        <v>94</v>
      </c>
      <c r="S257">
        <v>1</v>
      </c>
      <c r="T257">
        <v>-3</v>
      </c>
      <c r="U257" t="s">
        <v>349</v>
      </c>
      <c r="V257" t="s">
        <v>349</v>
      </c>
      <c r="W257">
        <v>-3</v>
      </c>
    </row>
    <row r="258" spans="1:23" x14ac:dyDescent="0.25">
      <c r="A258" s="1">
        <v>43983</v>
      </c>
      <c r="B258" s="1">
        <v>43983</v>
      </c>
      <c r="C258" t="s">
        <v>157</v>
      </c>
      <c r="D258" t="s">
        <v>48</v>
      </c>
      <c r="E258" t="s">
        <v>49</v>
      </c>
      <c r="F258" t="s">
        <v>228</v>
      </c>
      <c r="G258" s="53">
        <v>44020.479664351849</v>
      </c>
      <c r="H258">
        <v>33</v>
      </c>
      <c r="I258">
        <v>14392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2</v>
      </c>
      <c r="R258" t="s">
        <v>94</v>
      </c>
      <c r="S258">
        <v>5.0652330000000001</v>
      </c>
      <c r="T258">
        <v>73.772999999999996</v>
      </c>
      <c r="U258" t="s">
        <v>349</v>
      </c>
      <c r="V258" t="s">
        <v>349</v>
      </c>
      <c r="W258">
        <v>374</v>
      </c>
    </row>
    <row r="259" spans="1:23" x14ac:dyDescent="0.25">
      <c r="A259" s="1">
        <v>43983</v>
      </c>
      <c r="B259" s="1">
        <v>43983</v>
      </c>
      <c r="C259" t="s">
        <v>157</v>
      </c>
      <c r="D259" t="s">
        <v>54</v>
      </c>
      <c r="E259" t="s">
        <v>21</v>
      </c>
      <c r="F259" t="s">
        <v>224</v>
      </c>
      <c r="G259" s="53">
        <v>44020.479664351849</v>
      </c>
      <c r="H259">
        <v>33</v>
      </c>
      <c r="I259">
        <v>14392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3</v>
      </c>
      <c r="R259" t="s">
        <v>81</v>
      </c>
      <c r="S259" t="s">
        <v>349</v>
      </c>
      <c r="T259" t="s">
        <v>349</v>
      </c>
      <c r="U259">
        <v>0</v>
      </c>
      <c r="V259">
        <v>5767.18</v>
      </c>
      <c r="W259">
        <v>0</v>
      </c>
    </row>
    <row r="260" spans="1:23" x14ac:dyDescent="0.25">
      <c r="A260" s="1">
        <v>43983</v>
      </c>
      <c r="B260" s="1">
        <v>43983</v>
      </c>
      <c r="C260" t="s">
        <v>157</v>
      </c>
      <c r="D260" t="s">
        <v>93</v>
      </c>
      <c r="E260" t="s">
        <v>49</v>
      </c>
      <c r="F260" t="s">
        <v>229</v>
      </c>
      <c r="G260" s="53">
        <v>44057.743877314817</v>
      </c>
      <c r="H260">
        <v>61</v>
      </c>
      <c r="I260" t="s">
        <v>349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3</v>
      </c>
      <c r="R260" t="s">
        <v>81</v>
      </c>
      <c r="S260">
        <v>1</v>
      </c>
      <c r="T260">
        <v>-200</v>
      </c>
      <c r="U260" t="s">
        <v>349</v>
      </c>
      <c r="V260" t="s">
        <v>349</v>
      </c>
      <c r="W260">
        <v>-200</v>
      </c>
    </row>
    <row r="261" spans="1:23" x14ac:dyDescent="0.25">
      <c r="A261" s="1">
        <v>43983</v>
      </c>
      <c r="B261" s="1">
        <v>43983</v>
      </c>
      <c r="C261" t="s">
        <v>157</v>
      </c>
      <c r="D261" t="s">
        <v>48</v>
      </c>
      <c r="E261" t="s">
        <v>49</v>
      </c>
      <c r="F261" t="s">
        <v>228</v>
      </c>
      <c r="G261" s="53">
        <v>44020.479664351849</v>
      </c>
      <c r="H261">
        <v>33</v>
      </c>
      <c r="I261">
        <v>14392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3</v>
      </c>
      <c r="R261" t="s">
        <v>81</v>
      </c>
      <c r="S261">
        <v>361.77921099999998</v>
      </c>
      <c r="T261">
        <v>67.765000000000001</v>
      </c>
      <c r="U261" t="s">
        <v>349</v>
      </c>
      <c r="V261" t="s">
        <v>349</v>
      </c>
      <c r="W261">
        <v>24516</v>
      </c>
    </row>
    <row r="262" spans="1:23" x14ac:dyDescent="0.25">
      <c r="A262" s="1">
        <v>43983</v>
      </c>
      <c r="B262" s="1">
        <v>43983</v>
      </c>
      <c r="C262" t="s">
        <v>157</v>
      </c>
      <c r="D262" t="s">
        <v>54</v>
      </c>
      <c r="E262" t="s">
        <v>21</v>
      </c>
      <c r="F262" t="s">
        <v>224</v>
      </c>
      <c r="G262" s="53">
        <v>44020.479664351849</v>
      </c>
      <c r="H262">
        <v>33</v>
      </c>
      <c r="I262">
        <v>14392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4</v>
      </c>
      <c r="R262" t="s">
        <v>27</v>
      </c>
      <c r="S262" t="s">
        <v>349</v>
      </c>
      <c r="T262" t="s">
        <v>349</v>
      </c>
      <c r="U262">
        <v>0</v>
      </c>
      <c r="V262">
        <v>5963.14</v>
      </c>
      <c r="W262">
        <v>0</v>
      </c>
    </row>
    <row r="263" spans="1:23" x14ac:dyDescent="0.25">
      <c r="A263" s="1">
        <v>43983</v>
      </c>
      <c r="B263" s="1">
        <v>43983</v>
      </c>
      <c r="C263" t="s">
        <v>157</v>
      </c>
      <c r="D263" t="s">
        <v>93</v>
      </c>
      <c r="E263" t="s">
        <v>49</v>
      </c>
      <c r="F263" t="s">
        <v>229</v>
      </c>
      <c r="G263" s="53">
        <v>44057.743877314817</v>
      </c>
      <c r="H263">
        <v>61</v>
      </c>
      <c r="I263" t="s">
        <v>349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4</v>
      </c>
      <c r="R263" t="s">
        <v>27</v>
      </c>
      <c r="S263">
        <v>1</v>
      </c>
      <c r="T263">
        <v>-1279</v>
      </c>
      <c r="U263" t="s">
        <v>349</v>
      </c>
      <c r="V263" t="s">
        <v>349</v>
      </c>
      <c r="W263">
        <v>-1279</v>
      </c>
    </row>
    <row r="264" spans="1:23" x14ac:dyDescent="0.25">
      <c r="A264" s="1">
        <v>43983</v>
      </c>
      <c r="B264" s="1">
        <v>43983</v>
      </c>
      <c r="C264" t="s">
        <v>157</v>
      </c>
      <c r="D264" t="s">
        <v>48</v>
      </c>
      <c r="E264" t="s">
        <v>49</v>
      </c>
      <c r="F264" t="s">
        <v>228</v>
      </c>
      <c r="G264" s="53">
        <v>44020.479664351849</v>
      </c>
      <c r="H264">
        <v>33</v>
      </c>
      <c r="I264">
        <v>14392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4</v>
      </c>
      <c r="R264" t="s">
        <v>27</v>
      </c>
      <c r="S264">
        <v>2272.4959020000001</v>
      </c>
      <c r="T264">
        <v>69.12</v>
      </c>
      <c r="U264" t="s">
        <v>349</v>
      </c>
      <c r="V264" t="s">
        <v>349</v>
      </c>
      <c r="W264">
        <v>157075</v>
      </c>
    </row>
    <row r="265" spans="1:23" x14ac:dyDescent="0.25">
      <c r="A265" s="1">
        <v>43983</v>
      </c>
      <c r="B265" s="1">
        <v>43983</v>
      </c>
      <c r="C265" t="s">
        <v>157</v>
      </c>
      <c r="D265" t="s">
        <v>54</v>
      </c>
      <c r="E265" t="s">
        <v>21</v>
      </c>
      <c r="F265" t="s">
        <v>224</v>
      </c>
      <c r="G265" s="53">
        <v>44020.479664351849</v>
      </c>
      <c r="H265">
        <v>33</v>
      </c>
      <c r="I265">
        <v>14392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5</v>
      </c>
      <c r="R265" t="s">
        <v>28</v>
      </c>
      <c r="S265" t="s">
        <v>349</v>
      </c>
      <c r="T265" t="s">
        <v>349</v>
      </c>
      <c r="U265">
        <v>0</v>
      </c>
      <c r="V265">
        <v>5783.56</v>
      </c>
      <c r="W265">
        <v>0</v>
      </c>
    </row>
    <row r="266" spans="1:23" x14ac:dyDescent="0.25">
      <c r="A266" s="1">
        <v>43983</v>
      </c>
      <c r="B266" s="1">
        <v>43983</v>
      </c>
      <c r="C266" t="s">
        <v>157</v>
      </c>
      <c r="D266" t="s">
        <v>93</v>
      </c>
      <c r="E266" t="s">
        <v>49</v>
      </c>
      <c r="F266" t="s">
        <v>229</v>
      </c>
      <c r="G266" s="53">
        <v>44057.743877314817</v>
      </c>
      <c r="H266">
        <v>61</v>
      </c>
      <c r="I266" t="s">
        <v>349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5</v>
      </c>
      <c r="R266" t="s">
        <v>28</v>
      </c>
      <c r="S266">
        <v>1</v>
      </c>
      <c r="T266">
        <v>-8</v>
      </c>
      <c r="U266" t="s">
        <v>349</v>
      </c>
      <c r="V266" t="s">
        <v>349</v>
      </c>
      <c r="W266">
        <v>-8</v>
      </c>
    </row>
    <row r="267" spans="1:23" x14ac:dyDescent="0.25">
      <c r="A267" s="1">
        <v>43983</v>
      </c>
      <c r="B267" s="1">
        <v>43983</v>
      </c>
      <c r="C267" t="s">
        <v>157</v>
      </c>
      <c r="D267" t="s">
        <v>48</v>
      </c>
      <c r="E267" t="s">
        <v>49</v>
      </c>
      <c r="F267" t="s">
        <v>228</v>
      </c>
      <c r="G267" s="53">
        <v>44020.479664351849</v>
      </c>
      <c r="H267">
        <v>33</v>
      </c>
      <c r="I267">
        <v>14392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5</v>
      </c>
      <c r="R267" t="s">
        <v>28</v>
      </c>
      <c r="S267">
        <v>13.447563000000001</v>
      </c>
      <c r="T267">
        <v>71.932000000000002</v>
      </c>
      <c r="U267" t="s">
        <v>349</v>
      </c>
      <c r="V267" t="s">
        <v>349</v>
      </c>
      <c r="W267">
        <v>967</v>
      </c>
    </row>
    <row r="268" spans="1:23" x14ac:dyDescent="0.25">
      <c r="A268" s="1">
        <v>44013</v>
      </c>
      <c r="B268" s="1">
        <v>44013</v>
      </c>
      <c r="C268" t="s">
        <v>157</v>
      </c>
      <c r="D268" t="s">
        <v>54</v>
      </c>
      <c r="E268" t="s">
        <v>21</v>
      </c>
      <c r="F268" t="s">
        <v>231</v>
      </c>
      <c r="G268" s="53">
        <v>44053.449259259258</v>
      </c>
      <c r="H268">
        <v>33</v>
      </c>
      <c r="I268">
        <v>14796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1</v>
      </c>
      <c r="R268" t="s">
        <v>83</v>
      </c>
      <c r="S268" t="s">
        <v>349</v>
      </c>
      <c r="T268" t="s">
        <v>349</v>
      </c>
      <c r="U268">
        <v>0</v>
      </c>
      <c r="V268">
        <v>6059.26</v>
      </c>
      <c r="W268">
        <v>0</v>
      </c>
    </row>
    <row r="269" spans="1:23" x14ac:dyDescent="0.25">
      <c r="A269" s="1">
        <v>44013</v>
      </c>
      <c r="B269" s="1">
        <v>44013</v>
      </c>
      <c r="C269" t="s">
        <v>157</v>
      </c>
      <c r="D269" t="s">
        <v>93</v>
      </c>
      <c r="E269" t="s">
        <v>49</v>
      </c>
      <c r="F269" t="s">
        <v>236</v>
      </c>
      <c r="G269" s="53">
        <v>44082.485532407409</v>
      </c>
      <c r="H269">
        <v>33</v>
      </c>
      <c r="I269" t="s">
        <v>349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1</v>
      </c>
      <c r="R269" t="s">
        <v>83</v>
      </c>
      <c r="S269">
        <v>1</v>
      </c>
      <c r="T269">
        <v>7664</v>
      </c>
      <c r="U269" t="s">
        <v>349</v>
      </c>
      <c r="V269" t="s">
        <v>349</v>
      </c>
      <c r="W269">
        <v>7664</v>
      </c>
    </row>
    <row r="270" spans="1:23" x14ac:dyDescent="0.25">
      <c r="A270" s="1">
        <v>44013</v>
      </c>
      <c r="B270" s="1">
        <v>44013</v>
      </c>
      <c r="C270" t="s">
        <v>157</v>
      </c>
      <c r="D270" t="s">
        <v>48</v>
      </c>
      <c r="E270" t="s">
        <v>49</v>
      </c>
      <c r="F270" t="s">
        <v>235</v>
      </c>
      <c r="G270" s="53">
        <v>44053.449259259258</v>
      </c>
      <c r="H270">
        <v>33</v>
      </c>
      <c r="I270">
        <v>14796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1</v>
      </c>
      <c r="R270" t="s">
        <v>83</v>
      </c>
      <c r="S270">
        <v>2138.52</v>
      </c>
      <c r="T270">
        <v>76.587000000000003</v>
      </c>
      <c r="U270" t="s">
        <v>349</v>
      </c>
      <c r="V270" t="s">
        <v>349</v>
      </c>
      <c r="W270">
        <v>163783</v>
      </c>
    </row>
    <row r="271" spans="1:23" x14ac:dyDescent="0.25">
      <c r="A271" s="1">
        <v>44013</v>
      </c>
      <c r="B271" s="1">
        <v>44013</v>
      </c>
      <c r="C271" t="s">
        <v>157</v>
      </c>
      <c r="D271" t="s">
        <v>54</v>
      </c>
      <c r="E271" t="s">
        <v>21</v>
      </c>
      <c r="F271" t="s">
        <v>231</v>
      </c>
      <c r="G271" s="53">
        <v>44053.449259259258</v>
      </c>
      <c r="H271">
        <v>33</v>
      </c>
      <c r="I271">
        <v>14796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2</v>
      </c>
      <c r="R271" t="s">
        <v>94</v>
      </c>
      <c r="S271" t="s">
        <v>349</v>
      </c>
      <c r="T271" t="s">
        <v>349</v>
      </c>
      <c r="U271">
        <v>0</v>
      </c>
      <c r="V271">
        <v>6135.34</v>
      </c>
      <c r="W271">
        <v>0</v>
      </c>
    </row>
    <row r="272" spans="1:23" x14ac:dyDescent="0.25">
      <c r="A272" s="1">
        <v>44013</v>
      </c>
      <c r="B272" s="1">
        <v>44013</v>
      </c>
      <c r="C272" t="s">
        <v>157</v>
      </c>
      <c r="D272" t="s">
        <v>93</v>
      </c>
      <c r="E272" t="s">
        <v>49</v>
      </c>
      <c r="F272" t="s">
        <v>236</v>
      </c>
      <c r="G272" s="53">
        <v>44082.485532407409</v>
      </c>
      <c r="H272">
        <v>33</v>
      </c>
      <c r="I272" t="s">
        <v>349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2</v>
      </c>
      <c r="R272" t="s">
        <v>94</v>
      </c>
      <c r="S272">
        <v>1</v>
      </c>
      <c r="T272">
        <v>35</v>
      </c>
      <c r="U272" t="s">
        <v>349</v>
      </c>
      <c r="V272" t="s">
        <v>349</v>
      </c>
      <c r="W272">
        <v>35</v>
      </c>
    </row>
    <row r="273" spans="1:23" x14ac:dyDescent="0.25">
      <c r="A273" s="1">
        <v>44013</v>
      </c>
      <c r="B273" s="1">
        <v>44013</v>
      </c>
      <c r="C273" t="s">
        <v>157</v>
      </c>
      <c r="D273" t="s">
        <v>48</v>
      </c>
      <c r="E273" t="s">
        <v>49</v>
      </c>
      <c r="F273" t="s">
        <v>235</v>
      </c>
      <c r="G273" s="53">
        <v>44053.449259259258</v>
      </c>
      <c r="H273">
        <v>33</v>
      </c>
      <c r="I273">
        <v>14796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2</v>
      </c>
      <c r="R273" t="s">
        <v>94</v>
      </c>
      <c r="S273">
        <v>9.5288520000000005</v>
      </c>
      <c r="T273">
        <v>77.677999999999997</v>
      </c>
      <c r="U273" t="s">
        <v>349</v>
      </c>
      <c r="V273" t="s">
        <v>349</v>
      </c>
      <c r="W273">
        <v>740</v>
      </c>
    </row>
    <row r="274" spans="1:23" x14ac:dyDescent="0.25">
      <c r="A274" s="1">
        <v>44013</v>
      </c>
      <c r="B274" s="1">
        <v>44013</v>
      </c>
      <c r="C274" t="s">
        <v>157</v>
      </c>
      <c r="D274" t="s">
        <v>54</v>
      </c>
      <c r="E274" t="s">
        <v>21</v>
      </c>
      <c r="F274" t="s">
        <v>231</v>
      </c>
      <c r="G274" s="53">
        <v>44053.449259259258</v>
      </c>
      <c r="H274">
        <v>33</v>
      </c>
      <c r="I274">
        <v>14796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3</v>
      </c>
      <c r="R274" t="s">
        <v>81</v>
      </c>
      <c r="S274" t="s">
        <v>349</v>
      </c>
      <c r="T274" t="s">
        <v>349</v>
      </c>
      <c r="U274">
        <v>0</v>
      </c>
      <c r="V274">
        <v>5857.61</v>
      </c>
      <c r="W274">
        <v>0</v>
      </c>
    </row>
    <row r="275" spans="1:23" x14ac:dyDescent="0.25">
      <c r="A275" s="1">
        <v>44013</v>
      </c>
      <c r="B275" s="1">
        <v>44013</v>
      </c>
      <c r="C275" t="s">
        <v>157</v>
      </c>
      <c r="D275" t="s">
        <v>93</v>
      </c>
      <c r="E275" t="s">
        <v>49</v>
      </c>
      <c r="F275" t="s">
        <v>236</v>
      </c>
      <c r="G275" s="53">
        <v>44082.485532407409</v>
      </c>
      <c r="H275">
        <v>33</v>
      </c>
      <c r="I275" t="s">
        <v>349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1</v>
      </c>
      <c r="T275">
        <v>1075</v>
      </c>
      <c r="U275" t="s">
        <v>349</v>
      </c>
      <c r="V275" t="s">
        <v>349</v>
      </c>
      <c r="W275">
        <v>1075</v>
      </c>
    </row>
    <row r="276" spans="1:23" x14ac:dyDescent="0.25">
      <c r="A276" s="1">
        <v>44013</v>
      </c>
      <c r="B276" s="1">
        <v>44013</v>
      </c>
      <c r="C276" t="s">
        <v>157</v>
      </c>
      <c r="D276" t="s">
        <v>48</v>
      </c>
      <c r="E276" t="s">
        <v>49</v>
      </c>
      <c r="F276" t="s">
        <v>235</v>
      </c>
      <c r="G276" s="53">
        <v>44053.449259259258</v>
      </c>
      <c r="H276">
        <v>33</v>
      </c>
      <c r="I276">
        <v>14796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3</v>
      </c>
      <c r="R276" t="s">
        <v>81</v>
      </c>
      <c r="S276">
        <v>314.28954700000003</v>
      </c>
      <c r="T276">
        <v>73.070999999999998</v>
      </c>
      <c r="U276" t="s">
        <v>349</v>
      </c>
      <c r="V276" t="s">
        <v>349</v>
      </c>
      <c r="W276">
        <v>22965</v>
      </c>
    </row>
    <row r="277" spans="1:23" x14ac:dyDescent="0.25">
      <c r="A277" s="1">
        <v>44013</v>
      </c>
      <c r="B277" s="1">
        <v>44013</v>
      </c>
      <c r="C277" t="s">
        <v>157</v>
      </c>
      <c r="D277" t="s">
        <v>54</v>
      </c>
      <c r="E277" t="s">
        <v>21</v>
      </c>
      <c r="F277" t="s">
        <v>231</v>
      </c>
      <c r="G277" s="53">
        <v>44053.449259259258</v>
      </c>
      <c r="H277">
        <v>33</v>
      </c>
      <c r="I277">
        <v>14796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4</v>
      </c>
      <c r="R277" t="s">
        <v>27</v>
      </c>
      <c r="S277" t="s">
        <v>349</v>
      </c>
      <c r="T277" t="s">
        <v>349</v>
      </c>
      <c r="U277">
        <v>0</v>
      </c>
      <c r="V277">
        <v>5984.4</v>
      </c>
      <c r="W277">
        <v>0</v>
      </c>
    </row>
    <row r="278" spans="1:23" x14ac:dyDescent="0.25">
      <c r="A278" s="1">
        <v>44013</v>
      </c>
      <c r="B278" s="1">
        <v>44013</v>
      </c>
      <c r="C278" t="s">
        <v>157</v>
      </c>
      <c r="D278" t="s">
        <v>93</v>
      </c>
      <c r="E278" t="s">
        <v>49</v>
      </c>
      <c r="F278" t="s">
        <v>236</v>
      </c>
      <c r="G278" s="53">
        <v>44082.485532407409</v>
      </c>
      <c r="H278">
        <v>33</v>
      </c>
      <c r="I278" t="s">
        <v>349</v>
      </c>
      <c r="J278" t="s">
        <v>50</v>
      </c>
      <c r="K278" t="s">
        <v>50</v>
      </c>
      <c r="L278" t="s">
        <v>159</v>
      </c>
      <c r="M278" t="s">
        <v>51</v>
      </c>
      <c r="N278" t="s">
        <v>92</v>
      </c>
      <c r="O278" s="1">
        <v>41335</v>
      </c>
      <c r="P278" t="s">
        <v>84</v>
      </c>
      <c r="Q278">
        <v>4</v>
      </c>
      <c r="R278" t="s">
        <v>27</v>
      </c>
      <c r="S278">
        <v>1</v>
      </c>
      <c r="T278">
        <v>9294</v>
      </c>
      <c r="U278" t="s">
        <v>349</v>
      </c>
      <c r="V278" t="s">
        <v>349</v>
      </c>
      <c r="W278">
        <v>9294</v>
      </c>
    </row>
    <row r="279" spans="1:23" x14ac:dyDescent="0.25">
      <c r="A279" s="1">
        <v>44013</v>
      </c>
      <c r="B279" s="1">
        <v>44013</v>
      </c>
      <c r="C279" t="s">
        <v>157</v>
      </c>
      <c r="D279" t="s">
        <v>48</v>
      </c>
      <c r="E279" t="s">
        <v>49</v>
      </c>
      <c r="F279" t="s">
        <v>235</v>
      </c>
      <c r="G279" s="53">
        <v>44053.449259259258</v>
      </c>
      <c r="H279">
        <v>33</v>
      </c>
      <c r="I279">
        <v>14796</v>
      </c>
      <c r="J279" t="s">
        <v>50</v>
      </c>
      <c r="K279" t="s">
        <v>50</v>
      </c>
      <c r="L279" t="s">
        <v>159</v>
      </c>
      <c r="M279" t="s">
        <v>51</v>
      </c>
      <c r="N279" t="s">
        <v>92</v>
      </c>
      <c r="O279" s="1">
        <v>41335</v>
      </c>
      <c r="P279" t="s">
        <v>84</v>
      </c>
      <c r="Q279">
        <v>4</v>
      </c>
      <c r="R279" t="s">
        <v>27</v>
      </c>
      <c r="S279">
        <v>2713.5583329999999</v>
      </c>
      <c r="T279">
        <v>73.188999999999993</v>
      </c>
      <c r="U279" t="s">
        <v>349</v>
      </c>
      <c r="V279" t="s">
        <v>349</v>
      </c>
      <c r="W279">
        <v>198603</v>
      </c>
    </row>
    <row r="280" spans="1:23" x14ac:dyDescent="0.25">
      <c r="A280" s="1">
        <v>44013</v>
      </c>
      <c r="B280" s="1">
        <v>44013</v>
      </c>
      <c r="C280" t="s">
        <v>157</v>
      </c>
      <c r="D280" t="s">
        <v>54</v>
      </c>
      <c r="E280" t="s">
        <v>21</v>
      </c>
      <c r="F280" t="s">
        <v>231</v>
      </c>
      <c r="G280" s="53">
        <v>44053.449259259258</v>
      </c>
      <c r="H280">
        <v>33</v>
      </c>
      <c r="I280">
        <v>14796</v>
      </c>
      <c r="J280" t="s">
        <v>50</v>
      </c>
      <c r="K280" t="s">
        <v>50</v>
      </c>
      <c r="L280" t="s">
        <v>159</v>
      </c>
      <c r="M280" t="s">
        <v>51</v>
      </c>
      <c r="N280" t="s">
        <v>92</v>
      </c>
      <c r="O280" s="1">
        <v>41335</v>
      </c>
      <c r="P280" t="s">
        <v>84</v>
      </c>
      <c r="Q280">
        <v>5</v>
      </c>
      <c r="R280" t="s">
        <v>28</v>
      </c>
      <c r="S280" t="s">
        <v>349</v>
      </c>
      <c r="T280" t="s">
        <v>349</v>
      </c>
      <c r="U280">
        <v>0</v>
      </c>
      <c r="V280">
        <v>5746.52</v>
      </c>
      <c r="W280">
        <v>0</v>
      </c>
    </row>
    <row r="281" spans="1:23" x14ac:dyDescent="0.25">
      <c r="A281" s="1">
        <v>44013</v>
      </c>
      <c r="B281" s="1">
        <v>44013</v>
      </c>
      <c r="C281" t="s">
        <v>157</v>
      </c>
      <c r="D281" t="s">
        <v>93</v>
      </c>
      <c r="E281" t="s">
        <v>49</v>
      </c>
      <c r="F281" t="s">
        <v>236</v>
      </c>
      <c r="G281" s="53">
        <v>44082.485532407409</v>
      </c>
      <c r="H281">
        <v>33</v>
      </c>
      <c r="I281" t="s">
        <v>349</v>
      </c>
      <c r="J281" t="s">
        <v>50</v>
      </c>
      <c r="K281" t="s">
        <v>50</v>
      </c>
      <c r="L281" t="s">
        <v>159</v>
      </c>
      <c r="M281" t="s">
        <v>51</v>
      </c>
      <c r="N281" t="s">
        <v>92</v>
      </c>
      <c r="O281" s="1">
        <v>41335</v>
      </c>
      <c r="P281" t="s">
        <v>84</v>
      </c>
      <c r="Q281">
        <v>5</v>
      </c>
      <c r="R281" t="s">
        <v>28</v>
      </c>
      <c r="S281">
        <v>1</v>
      </c>
      <c r="T281">
        <v>40</v>
      </c>
      <c r="U281" t="s">
        <v>349</v>
      </c>
      <c r="V281" t="s">
        <v>349</v>
      </c>
      <c r="W281">
        <v>40</v>
      </c>
    </row>
    <row r="282" spans="1:23" x14ac:dyDescent="0.25">
      <c r="A282" s="1">
        <v>44013</v>
      </c>
      <c r="B282" s="1">
        <v>44013</v>
      </c>
      <c r="C282" t="s">
        <v>157</v>
      </c>
      <c r="D282" t="s">
        <v>48</v>
      </c>
      <c r="E282" t="s">
        <v>49</v>
      </c>
      <c r="F282" t="s">
        <v>235</v>
      </c>
      <c r="G282" s="53">
        <v>44053.449259259258</v>
      </c>
      <c r="H282">
        <v>33</v>
      </c>
      <c r="I282">
        <v>14796</v>
      </c>
      <c r="J282" t="s">
        <v>50</v>
      </c>
      <c r="K282" t="s">
        <v>50</v>
      </c>
      <c r="L282" t="s">
        <v>159</v>
      </c>
      <c r="M282" t="s">
        <v>51</v>
      </c>
      <c r="N282" t="s">
        <v>92</v>
      </c>
      <c r="O282" s="1">
        <v>41335</v>
      </c>
      <c r="P282" t="s">
        <v>84</v>
      </c>
      <c r="Q282">
        <v>5</v>
      </c>
      <c r="R282" t="s">
        <v>28</v>
      </c>
      <c r="S282">
        <v>11.248535</v>
      </c>
      <c r="T282">
        <v>75.629000000000005</v>
      </c>
      <c r="U282" t="s">
        <v>349</v>
      </c>
      <c r="V282" t="s">
        <v>349</v>
      </c>
      <c r="W282">
        <v>851</v>
      </c>
    </row>
    <row r="283" spans="1:23" x14ac:dyDescent="0.25">
      <c r="A283" s="1">
        <v>44044</v>
      </c>
      <c r="B283" s="1">
        <v>44044</v>
      </c>
      <c r="C283" t="s">
        <v>157</v>
      </c>
      <c r="D283" t="s">
        <v>54</v>
      </c>
      <c r="E283" t="s">
        <v>21</v>
      </c>
      <c r="F283" t="s">
        <v>238</v>
      </c>
      <c r="G283" s="53">
        <v>44081.950659722221</v>
      </c>
      <c r="H283">
        <v>33</v>
      </c>
      <c r="I283">
        <v>15128</v>
      </c>
      <c r="J283" t="s">
        <v>50</v>
      </c>
      <c r="K283" t="s">
        <v>50</v>
      </c>
      <c r="L283" t="s">
        <v>159</v>
      </c>
      <c r="M283" t="s">
        <v>51</v>
      </c>
      <c r="N283" t="s">
        <v>92</v>
      </c>
      <c r="O283" s="1">
        <v>41335</v>
      </c>
      <c r="P283" t="s">
        <v>84</v>
      </c>
      <c r="Q283">
        <v>1</v>
      </c>
      <c r="R283" t="s">
        <v>83</v>
      </c>
      <c r="S283" t="s">
        <v>349</v>
      </c>
      <c r="T283" t="s">
        <v>349</v>
      </c>
      <c r="U283">
        <v>0</v>
      </c>
      <c r="V283">
        <v>6060.78</v>
      </c>
      <c r="W283">
        <v>0</v>
      </c>
    </row>
    <row r="284" spans="1:23" x14ac:dyDescent="0.25">
      <c r="A284" s="1">
        <v>44044</v>
      </c>
      <c r="B284" s="1">
        <v>44044</v>
      </c>
      <c r="C284" t="s">
        <v>157</v>
      </c>
      <c r="D284" t="s">
        <v>93</v>
      </c>
      <c r="E284" t="s">
        <v>49</v>
      </c>
      <c r="F284" t="s">
        <v>243</v>
      </c>
      <c r="G284" s="53">
        <v>44119.739837962959</v>
      </c>
      <c r="H284">
        <v>33</v>
      </c>
      <c r="I284" t="s">
        <v>349</v>
      </c>
      <c r="J284" t="s">
        <v>50</v>
      </c>
      <c r="K284" t="s">
        <v>50</v>
      </c>
      <c r="L284" t="s">
        <v>159</v>
      </c>
      <c r="M284" t="s">
        <v>51</v>
      </c>
      <c r="N284" t="s">
        <v>92</v>
      </c>
      <c r="O284" s="1">
        <v>41335</v>
      </c>
      <c r="P284" t="s">
        <v>84</v>
      </c>
      <c r="Q284">
        <v>1</v>
      </c>
      <c r="R284" t="s">
        <v>83</v>
      </c>
      <c r="S284">
        <v>1</v>
      </c>
      <c r="T284">
        <v>689</v>
      </c>
      <c r="U284" t="s">
        <v>349</v>
      </c>
      <c r="V284" t="s">
        <v>349</v>
      </c>
      <c r="W284">
        <v>689</v>
      </c>
    </row>
    <row r="285" spans="1:23" x14ac:dyDescent="0.25">
      <c r="A285" s="1">
        <v>44044</v>
      </c>
      <c r="B285" s="1">
        <v>44044</v>
      </c>
      <c r="C285" t="s">
        <v>157</v>
      </c>
      <c r="D285" t="s">
        <v>48</v>
      </c>
      <c r="E285" t="s">
        <v>49</v>
      </c>
      <c r="F285" t="s">
        <v>239</v>
      </c>
      <c r="G285" s="53">
        <v>44081.950659722221</v>
      </c>
      <c r="H285">
        <v>33</v>
      </c>
      <c r="I285">
        <v>15128</v>
      </c>
      <c r="J285" t="s">
        <v>50</v>
      </c>
      <c r="K285" t="s">
        <v>50</v>
      </c>
      <c r="L285" t="s">
        <v>159</v>
      </c>
      <c r="M285" t="s">
        <v>51</v>
      </c>
      <c r="N285" t="s">
        <v>92</v>
      </c>
      <c r="O285" s="1">
        <v>41335</v>
      </c>
      <c r="P285" t="s">
        <v>84</v>
      </c>
      <c r="Q285">
        <v>1</v>
      </c>
      <c r="R285" t="s">
        <v>83</v>
      </c>
      <c r="S285">
        <v>2023.204197</v>
      </c>
      <c r="T285">
        <v>80.305999999999997</v>
      </c>
      <c r="U285" t="s">
        <v>349</v>
      </c>
      <c r="V285" t="s">
        <v>349</v>
      </c>
      <c r="W285">
        <v>162475</v>
      </c>
    </row>
    <row r="286" spans="1:23" x14ac:dyDescent="0.25">
      <c r="A286" s="1">
        <v>44044</v>
      </c>
      <c r="B286" s="1">
        <v>44044</v>
      </c>
      <c r="C286" t="s">
        <v>157</v>
      </c>
      <c r="D286" t="s">
        <v>54</v>
      </c>
      <c r="E286" t="s">
        <v>21</v>
      </c>
      <c r="F286" t="s">
        <v>238</v>
      </c>
      <c r="G286" s="53">
        <v>44081.950659722221</v>
      </c>
      <c r="H286">
        <v>33</v>
      </c>
      <c r="I286">
        <v>15128</v>
      </c>
      <c r="J286" t="s">
        <v>50</v>
      </c>
      <c r="K286" t="s">
        <v>50</v>
      </c>
      <c r="L286" t="s">
        <v>159</v>
      </c>
      <c r="M286" t="s">
        <v>51</v>
      </c>
      <c r="N286" t="s">
        <v>92</v>
      </c>
      <c r="O286" s="1">
        <v>41335</v>
      </c>
      <c r="P286" t="s">
        <v>84</v>
      </c>
      <c r="Q286">
        <v>2</v>
      </c>
      <c r="R286" t="s">
        <v>94</v>
      </c>
      <c r="S286" t="s">
        <v>349</v>
      </c>
      <c r="T286" t="s">
        <v>349</v>
      </c>
      <c r="U286">
        <v>0</v>
      </c>
      <c r="V286">
        <v>6136.88</v>
      </c>
      <c r="W286">
        <v>0</v>
      </c>
    </row>
    <row r="287" spans="1:23" x14ac:dyDescent="0.25">
      <c r="A287" s="1">
        <v>44044</v>
      </c>
      <c r="B287" s="1">
        <v>44044</v>
      </c>
      <c r="C287" t="s">
        <v>157</v>
      </c>
      <c r="D287" t="s">
        <v>93</v>
      </c>
      <c r="E287" t="s">
        <v>49</v>
      </c>
      <c r="F287" t="s">
        <v>243</v>
      </c>
      <c r="G287" s="53">
        <v>44119.739837962959</v>
      </c>
      <c r="H287">
        <v>33</v>
      </c>
      <c r="I287" t="s">
        <v>349</v>
      </c>
      <c r="J287" t="s">
        <v>50</v>
      </c>
      <c r="K287" t="s">
        <v>50</v>
      </c>
      <c r="L287" t="s">
        <v>159</v>
      </c>
      <c r="M287" t="s">
        <v>51</v>
      </c>
      <c r="N287" t="s">
        <v>92</v>
      </c>
      <c r="O287" s="1">
        <v>41335</v>
      </c>
      <c r="P287" t="s">
        <v>84</v>
      </c>
      <c r="Q287">
        <v>2</v>
      </c>
      <c r="R287" t="s">
        <v>94</v>
      </c>
      <c r="S287">
        <v>1</v>
      </c>
      <c r="T287">
        <v>2</v>
      </c>
      <c r="U287" t="s">
        <v>349</v>
      </c>
      <c r="V287" t="s">
        <v>349</v>
      </c>
      <c r="W287">
        <v>2</v>
      </c>
    </row>
    <row r="288" spans="1:23" x14ac:dyDescent="0.25">
      <c r="A288" s="1">
        <v>44044</v>
      </c>
      <c r="B288" s="1">
        <v>44044</v>
      </c>
      <c r="C288" t="s">
        <v>157</v>
      </c>
      <c r="D288" t="s">
        <v>48</v>
      </c>
      <c r="E288" t="s">
        <v>49</v>
      </c>
      <c r="F288" t="s">
        <v>239</v>
      </c>
      <c r="G288" s="53">
        <v>44081.950659722221</v>
      </c>
      <c r="H288">
        <v>33</v>
      </c>
      <c r="I288">
        <v>15128</v>
      </c>
      <c r="J288" t="s">
        <v>50</v>
      </c>
      <c r="K288" t="s">
        <v>50</v>
      </c>
      <c r="L288" t="s">
        <v>159</v>
      </c>
      <c r="M288" t="s">
        <v>51</v>
      </c>
      <c r="N288" t="s">
        <v>92</v>
      </c>
      <c r="O288" s="1">
        <v>41335</v>
      </c>
      <c r="P288" t="s">
        <v>84</v>
      </c>
      <c r="Q288">
        <v>2</v>
      </c>
      <c r="R288" t="s">
        <v>94</v>
      </c>
      <c r="S288">
        <v>8.7799999999999994</v>
      </c>
      <c r="T288">
        <v>81.448999999999998</v>
      </c>
      <c r="U288" t="s">
        <v>349</v>
      </c>
      <c r="V288" t="s">
        <v>349</v>
      </c>
      <c r="W288">
        <v>715</v>
      </c>
    </row>
    <row r="289" spans="1:23" x14ac:dyDescent="0.25">
      <c r="A289" s="1">
        <v>44044</v>
      </c>
      <c r="B289" s="1">
        <v>44044</v>
      </c>
      <c r="C289" t="s">
        <v>157</v>
      </c>
      <c r="D289" t="s">
        <v>54</v>
      </c>
      <c r="E289" t="s">
        <v>21</v>
      </c>
      <c r="F289" t="s">
        <v>238</v>
      </c>
      <c r="G289" s="53">
        <v>44081.950659722221</v>
      </c>
      <c r="H289">
        <v>33</v>
      </c>
      <c r="I289">
        <v>15128</v>
      </c>
      <c r="J289" t="s">
        <v>50</v>
      </c>
      <c r="K289" t="s">
        <v>50</v>
      </c>
      <c r="L289" t="s">
        <v>159</v>
      </c>
      <c r="M289" t="s">
        <v>51</v>
      </c>
      <c r="N289" t="s">
        <v>92</v>
      </c>
      <c r="O289" s="1">
        <v>41335</v>
      </c>
      <c r="P289" t="s">
        <v>84</v>
      </c>
      <c r="Q289">
        <v>3</v>
      </c>
      <c r="R289" t="s">
        <v>81</v>
      </c>
      <c r="S289" t="s">
        <v>349</v>
      </c>
      <c r="T289" t="s">
        <v>349</v>
      </c>
      <c r="U289">
        <v>0</v>
      </c>
      <c r="V289">
        <v>5859.08</v>
      </c>
      <c r="W289">
        <v>0</v>
      </c>
    </row>
    <row r="290" spans="1:23" x14ac:dyDescent="0.25">
      <c r="A290" s="1">
        <v>44044</v>
      </c>
      <c r="B290" s="1">
        <v>44044</v>
      </c>
      <c r="C290" t="s">
        <v>157</v>
      </c>
      <c r="D290" t="s">
        <v>93</v>
      </c>
      <c r="E290" t="s">
        <v>49</v>
      </c>
      <c r="F290" t="s">
        <v>243</v>
      </c>
      <c r="G290" s="53">
        <v>44119.739837962959</v>
      </c>
      <c r="H290">
        <v>33</v>
      </c>
      <c r="I290" t="s">
        <v>349</v>
      </c>
      <c r="J290" t="s">
        <v>50</v>
      </c>
      <c r="K290" t="s">
        <v>50</v>
      </c>
      <c r="L290" t="s">
        <v>159</v>
      </c>
      <c r="M290" t="s">
        <v>51</v>
      </c>
      <c r="N290" t="s">
        <v>92</v>
      </c>
      <c r="O290" s="1">
        <v>41335</v>
      </c>
      <c r="P290" t="s">
        <v>84</v>
      </c>
      <c r="Q290">
        <v>3</v>
      </c>
      <c r="R290" t="s">
        <v>81</v>
      </c>
      <c r="S290">
        <v>1</v>
      </c>
      <c r="T290">
        <v>99</v>
      </c>
      <c r="U290" t="s">
        <v>349</v>
      </c>
      <c r="V290" t="s">
        <v>349</v>
      </c>
      <c r="W290">
        <v>99</v>
      </c>
    </row>
    <row r="291" spans="1:23" x14ac:dyDescent="0.25">
      <c r="A291" s="1">
        <v>44044</v>
      </c>
      <c r="B291" s="1">
        <v>44044</v>
      </c>
      <c r="C291" t="s">
        <v>157</v>
      </c>
      <c r="D291" t="s">
        <v>48</v>
      </c>
      <c r="E291" t="s">
        <v>49</v>
      </c>
      <c r="F291" t="s">
        <v>239</v>
      </c>
      <c r="G291" s="53">
        <v>44081.950659722221</v>
      </c>
      <c r="H291">
        <v>33</v>
      </c>
      <c r="I291">
        <v>15128</v>
      </c>
      <c r="J291" t="s">
        <v>50</v>
      </c>
      <c r="K291" t="s">
        <v>50</v>
      </c>
      <c r="L291" t="s">
        <v>159</v>
      </c>
      <c r="M291" t="s">
        <v>51</v>
      </c>
      <c r="N291" t="s">
        <v>92</v>
      </c>
      <c r="O291" s="1">
        <v>41335</v>
      </c>
      <c r="P291" t="s">
        <v>84</v>
      </c>
      <c r="Q291">
        <v>3</v>
      </c>
      <c r="R291" t="s">
        <v>81</v>
      </c>
      <c r="S291">
        <v>304.37409600000001</v>
      </c>
      <c r="T291">
        <v>76.619</v>
      </c>
      <c r="U291" t="s">
        <v>349</v>
      </c>
      <c r="V291" t="s">
        <v>349</v>
      </c>
      <c r="W291">
        <v>23321</v>
      </c>
    </row>
    <row r="292" spans="1:23" x14ac:dyDescent="0.25">
      <c r="A292" s="1">
        <v>44044</v>
      </c>
      <c r="B292" s="1">
        <v>44044</v>
      </c>
      <c r="C292" t="s">
        <v>157</v>
      </c>
      <c r="D292" t="s">
        <v>54</v>
      </c>
      <c r="E292" t="s">
        <v>21</v>
      </c>
      <c r="F292" t="s">
        <v>238</v>
      </c>
      <c r="G292" s="53">
        <v>44081.950659722221</v>
      </c>
      <c r="H292">
        <v>33</v>
      </c>
      <c r="I292">
        <v>15128</v>
      </c>
      <c r="J292" t="s">
        <v>50</v>
      </c>
      <c r="K292" t="s">
        <v>50</v>
      </c>
      <c r="L292" t="s">
        <v>159</v>
      </c>
      <c r="M292" t="s">
        <v>51</v>
      </c>
      <c r="N292" t="s">
        <v>92</v>
      </c>
      <c r="O292" s="1">
        <v>41335</v>
      </c>
      <c r="P292" t="s">
        <v>84</v>
      </c>
      <c r="Q292">
        <v>4</v>
      </c>
      <c r="R292" t="s">
        <v>27</v>
      </c>
      <c r="S292" t="s">
        <v>349</v>
      </c>
      <c r="T292" t="s">
        <v>349</v>
      </c>
      <c r="U292">
        <v>0</v>
      </c>
      <c r="V292">
        <v>5985.9</v>
      </c>
      <c r="W292">
        <v>0</v>
      </c>
    </row>
    <row r="293" spans="1:23" x14ac:dyDescent="0.25">
      <c r="A293" s="1">
        <v>44044</v>
      </c>
      <c r="B293" s="1">
        <v>44044</v>
      </c>
      <c r="C293" t="s">
        <v>157</v>
      </c>
      <c r="D293" t="s">
        <v>93</v>
      </c>
      <c r="E293" t="s">
        <v>49</v>
      </c>
      <c r="F293" t="s">
        <v>243</v>
      </c>
      <c r="G293" s="53">
        <v>44119.739837962959</v>
      </c>
      <c r="H293">
        <v>33</v>
      </c>
      <c r="I293" t="s">
        <v>349</v>
      </c>
      <c r="J293" t="s">
        <v>50</v>
      </c>
      <c r="K293" t="s">
        <v>50</v>
      </c>
      <c r="L293" t="s">
        <v>159</v>
      </c>
      <c r="M293" t="s">
        <v>51</v>
      </c>
      <c r="N293" t="s">
        <v>92</v>
      </c>
      <c r="O293" s="1">
        <v>41335</v>
      </c>
      <c r="P293" t="s">
        <v>84</v>
      </c>
      <c r="Q293">
        <v>4</v>
      </c>
      <c r="R293" t="s">
        <v>27</v>
      </c>
      <c r="S293">
        <v>1</v>
      </c>
      <c r="T293">
        <v>835</v>
      </c>
      <c r="U293" t="s">
        <v>349</v>
      </c>
      <c r="V293" t="s">
        <v>349</v>
      </c>
      <c r="W293">
        <v>835</v>
      </c>
    </row>
    <row r="294" spans="1:23" x14ac:dyDescent="0.25">
      <c r="A294" s="1">
        <v>44044</v>
      </c>
      <c r="B294" s="1">
        <v>44044</v>
      </c>
      <c r="C294" t="s">
        <v>157</v>
      </c>
      <c r="D294" t="s">
        <v>48</v>
      </c>
      <c r="E294" t="s">
        <v>49</v>
      </c>
      <c r="F294" t="s">
        <v>239</v>
      </c>
      <c r="G294" s="53">
        <v>44081.950659722221</v>
      </c>
      <c r="H294">
        <v>33</v>
      </c>
      <c r="I294">
        <v>15128</v>
      </c>
      <c r="J294" t="s">
        <v>50</v>
      </c>
      <c r="K294" t="s">
        <v>50</v>
      </c>
      <c r="L294" t="s">
        <v>159</v>
      </c>
      <c r="M294" t="s">
        <v>51</v>
      </c>
      <c r="N294" t="s">
        <v>92</v>
      </c>
      <c r="O294" s="1">
        <v>41335</v>
      </c>
      <c r="P294" t="s">
        <v>84</v>
      </c>
      <c r="Q294">
        <v>4</v>
      </c>
      <c r="R294" t="s">
        <v>27</v>
      </c>
      <c r="S294">
        <v>2559.6909580000001</v>
      </c>
      <c r="T294">
        <v>76.742999999999995</v>
      </c>
      <c r="U294" t="s">
        <v>349</v>
      </c>
      <c r="V294" t="s">
        <v>349</v>
      </c>
      <c r="W294">
        <v>196438</v>
      </c>
    </row>
    <row r="295" spans="1:23" x14ac:dyDescent="0.25">
      <c r="A295" s="1">
        <v>44044</v>
      </c>
      <c r="B295" s="1">
        <v>44044</v>
      </c>
      <c r="C295" t="s">
        <v>157</v>
      </c>
      <c r="D295" t="s">
        <v>54</v>
      </c>
      <c r="E295" t="s">
        <v>21</v>
      </c>
      <c r="F295" t="s">
        <v>238</v>
      </c>
      <c r="G295" s="53">
        <v>44081.950659722221</v>
      </c>
      <c r="H295">
        <v>33</v>
      </c>
      <c r="I295">
        <v>15128</v>
      </c>
      <c r="J295" t="s">
        <v>50</v>
      </c>
      <c r="K295" t="s">
        <v>50</v>
      </c>
      <c r="L295" t="s">
        <v>159</v>
      </c>
      <c r="M295" t="s">
        <v>51</v>
      </c>
      <c r="N295" t="s">
        <v>92</v>
      </c>
      <c r="O295" s="1">
        <v>41335</v>
      </c>
      <c r="P295" t="s">
        <v>84</v>
      </c>
      <c r="Q295">
        <v>5</v>
      </c>
      <c r="R295" t="s">
        <v>28</v>
      </c>
      <c r="S295" t="s">
        <v>349</v>
      </c>
      <c r="T295" t="s">
        <v>349</v>
      </c>
      <c r="U295">
        <v>0</v>
      </c>
      <c r="V295">
        <v>5747.96</v>
      </c>
      <c r="W295">
        <v>0</v>
      </c>
    </row>
    <row r="296" spans="1:23" x14ac:dyDescent="0.25">
      <c r="A296" s="1">
        <v>44044</v>
      </c>
      <c r="B296" s="1">
        <v>44044</v>
      </c>
      <c r="C296" t="s">
        <v>157</v>
      </c>
      <c r="D296" t="s">
        <v>93</v>
      </c>
      <c r="E296" t="s">
        <v>49</v>
      </c>
      <c r="F296" t="s">
        <v>243</v>
      </c>
      <c r="G296" s="53">
        <v>44119.739837962959</v>
      </c>
      <c r="H296">
        <v>33</v>
      </c>
      <c r="I296" t="s">
        <v>349</v>
      </c>
      <c r="J296" t="s">
        <v>50</v>
      </c>
      <c r="K296" t="s">
        <v>50</v>
      </c>
      <c r="L296" t="s">
        <v>159</v>
      </c>
      <c r="M296" t="s">
        <v>51</v>
      </c>
      <c r="N296" t="s">
        <v>92</v>
      </c>
      <c r="O296" s="1">
        <v>41335</v>
      </c>
      <c r="P296" t="s">
        <v>84</v>
      </c>
      <c r="Q296">
        <v>5</v>
      </c>
      <c r="R296" t="s">
        <v>28</v>
      </c>
      <c r="S296">
        <v>1</v>
      </c>
      <c r="T296">
        <v>4</v>
      </c>
      <c r="U296" t="s">
        <v>349</v>
      </c>
      <c r="V296" t="s">
        <v>349</v>
      </c>
      <c r="W296">
        <v>4</v>
      </c>
    </row>
    <row r="297" spans="1:23" x14ac:dyDescent="0.25">
      <c r="A297" s="1">
        <v>44044</v>
      </c>
      <c r="B297" s="1">
        <v>44044</v>
      </c>
      <c r="C297" t="s">
        <v>157</v>
      </c>
      <c r="D297" t="s">
        <v>48</v>
      </c>
      <c r="E297" t="s">
        <v>49</v>
      </c>
      <c r="F297" t="s">
        <v>239</v>
      </c>
      <c r="G297" s="53">
        <v>44081.950659722221</v>
      </c>
      <c r="H297">
        <v>33</v>
      </c>
      <c r="I297">
        <v>15128</v>
      </c>
      <c r="J297" t="s">
        <v>50</v>
      </c>
      <c r="K297" t="s">
        <v>50</v>
      </c>
      <c r="L297" t="s">
        <v>159</v>
      </c>
      <c r="M297" t="s">
        <v>51</v>
      </c>
      <c r="N297" t="s">
        <v>92</v>
      </c>
      <c r="O297" s="1">
        <v>41335</v>
      </c>
      <c r="P297" t="s">
        <v>84</v>
      </c>
      <c r="Q297">
        <v>5</v>
      </c>
      <c r="R297" t="s">
        <v>28</v>
      </c>
      <c r="S297">
        <v>10.585311000000001</v>
      </c>
      <c r="T297">
        <v>79.302000000000007</v>
      </c>
      <c r="U297" t="s">
        <v>349</v>
      </c>
      <c r="V297" t="s">
        <v>349</v>
      </c>
      <c r="W297">
        <v>839</v>
      </c>
    </row>
    <row r="298" spans="1:23" x14ac:dyDescent="0.25">
      <c r="A298" s="1">
        <v>44075</v>
      </c>
      <c r="B298" s="1">
        <v>44075</v>
      </c>
      <c r="C298" t="s">
        <v>157</v>
      </c>
      <c r="D298" t="s">
        <v>54</v>
      </c>
      <c r="E298" t="s">
        <v>21</v>
      </c>
      <c r="F298" t="s">
        <v>248</v>
      </c>
      <c r="G298" s="53">
        <v>44111.714999999997</v>
      </c>
      <c r="H298">
        <v>33</v>
      </c>
      <c r="I298">
        <v>15552</v>
      </c>
      <c r="J298" t="s">
        <v>50</v>
      </c>
      <c r="K298" t="s">
        <v>50</v>
      </c>
      <c r="L298" t="s">
        <v>159</v>
      </c>
      <c r="M298" t="s">
        <v>51</v>
      </c>
      <c r="N298" t="s">
        <v>92</v>
      </c>
      <c r="O298" s="1">
        <v>41335</v>
      </c>
      <c r="P298" t="s">
        <v>84</v>
      </c>
      <c r="Q298">
        <v>1</v>
      </c>
      <c r="R298" t="s">
        <v>83</v>
      </c>
      <c r="S298" t="s">
        <v>349</v>
      </c>
      <c r="T298" t="s">
        <v>349</v>
      </c>
      <c r="U298">
        <v>0</v>
      </c>
      <c r="V298">
        <v>6059.26</v>
      </c>
      <c r="W298">
        <v>0</v>
      </c>
    </row>
    <row r="299" spans="1:23" x14ac:dyDescent="0.25">
      <c r="A299" s="1">
        <v>44075</v>
      </c>
      <c r="B299" s="1">
        <v>44075</v>
      </c>
      <c r="C299" t="s">
        <v>157</v>
      </c>
      <c r="D299" t="s">
        <v>93</v>
      </c>
      <c r="E299" t="s">
        <v>49</v>
      </c>
      <c r="F299" t="s">
        <v>245</v>
      </c>
      <c r="G299" s="53">
        <v>44153.723773148151</v>
      </c>
      <c r="H299">
        <v>61</v>
      </c>
      <c r="I299" t="s">
        <v>349</v>
      </c>
      <c r="J299" t="s">
        <v>50</v>
      </c>
      <c r="K299" t="s">
        <v>50</v>
      </c>
      <c r="L299" t="s">
        <v>159</v>
      </c>
      <c r="M299" t="s">
        <v>51</v>
      </c>
      <c r="N299" t="s">
        <v>92</v>
      </c>
      <c r="O299" s="1">
        <v>41335</v>
      </c>
      <c r="P299" t="s">
        <v>84</v>
      </c>
      <c r="Q299">
        <v>1</v>
      </c>
      <c r="R299" t="s">
        <v>83</v>
      </c>
      <c r="S299">
        <v>1</v>
      </c>
      <c r="T299">
        <v>-323</v>
      </c>
      <c r="U299" t="s">
        <v>349</v>
      </c>
      <c r="V299" t="s">
        <v>349</v>
      </c>
      <c r="W299">
        <v>-323</v>
      </c>
    </row>
    <row r="300" spans="1:23" x14ac:dyDescent="0.25">
      <c r="A300" s="1">
        <v>44075</v>
      </c>
      <c r="B300" s="1">
        <v>44075</v>
      </c>
      <c r="C300" t="s">
        <v>157</v>
      </c>
      <c r="D300" t="s">
        <v>48</v>
      </c>
      <c r="E300" t="s">
        <v>49</v>
      </c>
      <c r="F300" t="s">
        <v>249</v>
      </c>
      <c r="G300" s="53">
        <v>44111.714999999997</v>
      </c>
      <c r="H300">
        <v>33</v>
      </c>
      <c r="I300">
        <v>15552</v>
      </c>
      <c r="J300" t="s">
        <v>50</v>
      </c>
      <c r="K300" t="s">
        <v>50</v>
      </c>
      <c r="L300" t="s">
        <v>159</v>
      </c>
      <c r="M300" t="s">
        <v>51</v>
      </c>
      <c r="N300" t="s">
        <v>92</v>
      </c>
      <c r="O300" s="1">
        <v>41335</v>
      </c>
      <c r="P300" t="s">
        <v>84</v>
      </c>
      <c r="Q300">
        <v>1</v>
      </c>
      <c r="R300" t="s">
        <v>83</v>
      </c>
      <c r="S300">
        <v>1931.180057</v>
      </c>
      <c r="T300">
        <v>80.344999999999999</v>
      </c>
      <c r="U300" t="s">
        <v>349</v>
      </c>
      <c r="V300" t="s">
        <v>349</v>
      </c>
      <c r="W300">
        <v>155161</v>
      </c>
    </row>
    <row r="301" spans="1:23" x14ac:dyDescent="0.25">
      <c r="A301" s="1">
        <v>44075</v>
      </c>
      <c r="B301" s="1">
        <v>44075</v>
      </c>
      <c r="C301" t="s">
        <v>157</v>
      </c>
      <c r="D301" t="s">
        <v>54</v>
      </c>
      <c r="E301" t="s">
        <v>21</v>
      </c>
      <c r="F301" t="s">
        <v>248</v>
      </c>
      <c r="G301" s="53">
        <v>44111.714999999997</v>
      </c>
      <c r="H301">
        <v>33</v>
      </c>
      <c r="I301">
        <v>15552</v>
      </c>
      <c r="J301" t="s">
        <v>50</v>
      </c>
      <c r="K301" t="s">
        <v>50</v>
      </c>
      <c r="L301" t="s">
        <v>159</v>
      </c>
      <c r="M301" t="s">
        <v>51</v>
      </c>
      <c r="N301" t="s">
        <v>92</v>
      </c>
      <c r="O301" s="1">
        <v>41335</v>
      </c>
      <c r="P301" t="s">
        <v>84</v>
      </c>
      <c r="Q301">
        <v>2</v>
      </c>
      <c r="R301" t="s">
        <v>94</v>
      </c>
      <c r="S301" t="s">
        <v>349</v>
      </c>
      <c r="T301" t="s">
        <v>349</v>
      </c>
      <c r="U301">
        <v>0</v>
      </c>
      <c r="V301">
        <v>6135.33</v>
      </c>
      <c r="W301">
        <v>0</v>
      </c>
    </row>
    <row r="302" spans="1:23" x14ac:dyDescent="0.25">
      <c r="A302" s="1">
        <v>44075</v>
      </c>
      <c r="B302" s="1">
        <v>44075</v>
      </c>
      <c r="C302" t="s">
        <v>157</v>
      </c>
      <c r="D302" t="s">
        <v>93</v>
      </c>
      <c r="E302" t="s">
        <v>49</v>
      </c>
      <c r="F302" t="s">
        <v>245</v>
      </c>
      <c r="G302" s="53">
        <v>44153.723773148151</v>
      </c>
      <c r="H302">
        <v>61</v>
      </c>
      <c r="I302" t="s">
        <v>349</v>
      </c>
      <c r="J302" t="s">
        <v>50</v>
      </c>
      <c r="K302" t="s">
        <v>50</v>
      </c>
      <c r="L302" t="s">
        <v>159</v>
      </c>
      <c r="M302" t="s">
        <v>51</v>
      </c>
      <c r="N302" t="s">
        <v>92</v>
      </c>
      <c r="O302" s="1">
        <v>41335</v>
      </c>
      <c r="P302" t="s">
        <v>84</v>
      </c>
      <c r="Q302">
        <v>2</v>
      </c>
      <c r="R302" t="s">
        <v>94</v>
      </c>
      <c r="S302">
        <v>1</v>
      </c>
      <c r="T302">
        <v>-2</v>
      </c>
      <c r="U302" t="s">
        <v>349</v>
      </c>
      <c r="V302" t="s">
        <v>349</v>
      </c>
      <c r="W302">
        <v>-2</v>
      </c>
    </row>
    <row r="303" spans="1:23" x14ac:dyDescent="0.25">
      <c r="A303" s="1">
        <v>44075</v>
      </c>
      <c r="B303" s="1">
        <v>44075</v>
      </c>
      <c r="C303" t="s">
        <v>157</v>
      </c>
      <c r="D303" t="s">
        <v>48</v>
      </c>
      <c r="E303" t="s">
        <v>49</v>
      </c>
      <c r="F303" t="s">
        <v>249</v>
      </c>
      <c r="G303" s="53">
        <v>44111.714999999997</v>
      </c>
      <c r="H303">
        <v>33</v>
      </c>
      <c r="I303">
        <v>15552</v>
      </c>
      <c r="J303" t="s">
        <v>50</v>
      </c>
      <c r="K303" t="s">
        <v>50</v>
      </c>
      <c r="L303" t="s">
        <v>159</v>
      </c>
      <c r="M303" t="s">
        <v>51</v>
      </c>
      <c r="N303" t="s">
        <v>92</v>
      </c>
      <c r="O303" s="1">
        <v>41335</v>
      </c>
      <c r="P303" t="s">
        <v>84</v>
      </c>
      <c r="Q303">
        <v>2</v>
      </c>
      <c r="R303" t="s">
        <v>94</v>
      </c>
      <c r="S303">
        <v>8.5106800000000007</v>
      </c>
      <c r="T303">
        <v>81.489000000000004</v>
      </c>
      <c r="U303" t="s">
        <v>349</v>
      </c>
      <c r="V303" t="s">
        <v>349</v>
      </c>
      <c r="W303">
        <v>694</v>
      </c>
    </row>
    <row r="304" spans="1:23" x14ac:dyDescent="0.25">
      <c r="A304" s="1">
        <v>44075</v>
      </c>
      <c r="B304" s="1">
        <v>44075</v>
      </c>
      <c r="C304" t="s">
        <v>157</v>
      </c>
      <c r="D304" t="s">
        <v>54</v>
      </c>
      <c r="E304" t="s">
        <v>21</v>
      </c>
      <c r="F304" t="s">
        <v>248</v>
      </c>
      <c r="G304" s="53">
        <v>44111.714999999997</v>
      </c>
      <c r="H304">
        <v>33</v>
      </c>
      <c r="I304">
        <v>15552</v>
      </c>
      <c r="J304" t="s">
        <v>50</v>
      </c>
      <c r="K304" t="s">
        <v>50</v>
      </c>
      <c r="L304" t="s">
        <v>159</v>
      </c>
      <c r="M304" t="s">
        <v>51</v>
      </c>
      <c r="N304" t="s">
        <v>92</v>
      </c>
      <c r="O304" s="1">
        <v>41335</v>
      </c>
      <c r="P304" t="s">
        <v>84</v>
      </c>
      <c r="Q304">
        <v>3</v>
      </c>
      <c r="R304" t="s">
        <v>81</v>
      </c>
      <c r="S304" t="s">
        <v>349</v>
      </c>
      <c r="T304" t="s">
        <v>349</v>
      </c>
      <c r="U304">
        <v>0</v>
      </c>
      <c r="V304">
        <v>5857.6</v>
      </c>
      <c r="W304">
        <v>0</v>
      </c>
    </row>
    <row r="305" spans="1:23" x14ac:dyDescent="0.25">
      <c r="A305" s="1">
        <v>44075</v>
      </c>
      <c r="B305" s="1">
        <v>44075</v>
      </c>
      <c r="C305" t="s">
        <v>157</v>
      </c>
      <c r="D305" t="s">
        <v>93</v>
      </c>
      <c r="E305" t="s">
        <v>49</v>
      </c>
      <c r="F305" t="s">
        <v>245</v>
      </c>
      <c r="G305" s="53">
        <v>44153.723773148151</v>
      </c>
      <c r="H305">
        <v>61</v>
      </c>
      <c r="I305" t="s">
        <v>349</v>
      </c>
      <c r="J305" t="s">
        <v>50</v>
      </c>
      <c r="K305" t="s">
        <v>50</v>
      </c>
      <c r="L305" t="s">
        <v>159</v>
      </c>
      <c r="M305" t="s">
        <v>51</v>
      </c>
      <c r="N305" t="s">
        <v>92</v>
      </c>
      <c r="O305" s="1">
        <v>41335</v>
      </c>
      <c r="P305" t="s">
        <v>84</v>
      </c>
      <c r="Q305">
        <v>3</v>
      </c>
      <c r="R305" t="s">
        <v>81</v>
      </c>
      <c r="S305">
        <v>1</v>
      </c>
      <c r="T305">
        <v>-44</v>
      </c>
      <c r="U305" t="s">
        <v>349</v>
      </c>
      <c r="V305" t="s">
        <v>349</v>
      </c>
      <c r="W305">
        <v>-44</v>
      </c>
    </row>
    <row r="306" spans="1:23" x14ac:dyDescent="0.25">
      <c r="A306" s="1">
        <v>44075</v>
      </c>
      <c r="B306" s="1">
        <v>44075</v>
      </c>
      <c r="C306" t="s">
        <v>157</v>
      </c>
      <c r="D306" t="s">
        <v>48</v>
      </c>
      <c r="E306" t="s">
        <v>49</v>
      </c>
      <c r="F306" t="s">
        <v>249</v>
      </c>
      <c r="G306" s="53">
        <v>44111.714999999997</v>
      </c>
      <c r="H306">
        <v>33</v>
      </c>
      <c r="I306">
        <v>15552</v>
      </c>
      <c r="J306" t="s">
        <v>50</v>
      </c>
      <c r="K306" t="s">
        <v>50</v>
      </c>
      <c r="L306" t="s">
        <v>159</v>
      </c>
      <c r="M306" t="s">
        <v>51</v>
      </c>
      <c r="N306" t="s">
        <v>92</v>
      </c>
      <c r="O306" s="1">
        <v>41335</v>
      </c>
      <c r="P306" t="s">
        <v>84</v>
      </c>
      <c r="Q306">
        <v>3</v>
      </c>
      <c r="R306" t="s">
        <v>81</v>
      </c>
      <c r="S306">
        <v>286.86</v>
      </c>
      <c r="T306">
        <v>76.656999999999996</v>
      </c>
      <c r="U306" t="s">
        <v>349</v>
      </c>
      <c r="V306" t="s">
        <v>349</v>
      </c>
      <c r="W306">
        <v>21990</v>
      </c>
    </row>
    <row r="307" spans="1:23" x14ac:dyDescent="0.25">
      <c r="A307" s="1">
        <v>44075</v>
      </c>
      <c r="B307" s="1">
        <v>44075</v>
      </c>
      <c r="C307" t="s">
        <v>157</v>
      </c>
      <c r="D307" t="s">
        <v>54</v>
      </c>
      <c r="E307" t="s">
        <v>21</v>
      </c>
      <c r="F307" t="s">
        <v>248</v>
      </c>
      <c r="G307" s="53">
        <v>44111.714999999997</v>
      </c>
      <c r="H307">
        <v>33</v>
      </c>
      <c r="I307">
        <v>15552</v>
      </c>
      <c r="J307" t="s">
        <v>50</v>
      </c>
      <c r="K307" t="s">
        <v>50</v>
      </c>
      <c r="L307" t="s">
        <v>159</v>
      </c>
      <c r="M307" t="s">
        <v>51</v>
      </c>
      <c r="N307" t="s">
        <v>92</v>
      </c>
      <c r="O307" s="1">
        <v>41335</v>
      </c>
      <c r="P307" t="s">
        <v>84</v>
      </c>
      <c r="Q307">
        <v>4</v>
      </c>
      <c r="R307" t="s">
        <v>27</v>
      </c>
      <c r="S307" t="s">
        <v>349</v>
      </c>
      <c r="T307" t="s">
        <v>349</v>
      </c>
      <c r="U307">
        <v>0</v>
      </c>
      <c r="V307">
        <v>5984.39</v>
      </c>
      <c r="W307">
        <v>0</v>
      </c>
    </row>
    <row r="308" spans="1:23" x14ac:dyDescent="0.25">
      <c r="A308" s="1">
        <v>44075</v>
      </c>
      <c r="B308" s="1">
        <v>44075</v>
      </c>
      <c r="C308" t="s">
        <v>157</v>
      </c>
      <c r="D308" t="s">
        <v>93</v>
      </c>
      <c r="E308" t="s">
        <v>49</v>
      </c>
      <c r="F308" t="s">
        <v>245</v>
      </c>
      <c r="G308" s="53">
        <v>44153.723773148151</v>
      </c>
      <c r="H308">
        <v>61</v>
      </c>
      <c r="I308" t="s">
        <v>349</v>
      </c>
      <c r="J308" t="s">
        <v>50</v>
      </c>
      <c r="K308" t="s">
        <v>50</v>
      </c>
      <c r="L308" t="s">
        <v>159</v>
      </c>
      <c r="M308" t="s">
        <v>51</v>
      </c>
      <c r="N308" t="s">
        <v>92</v>
      </c>
      <c r="O308" s="1">
        <v>41335</v>
      </c>
      <c r="P308" t="s">
        <v>84</v>
      </c>
      <c r="Q308">
        <v>4</v>
      </c>
      <c r="R308" t="s">
        <v>27</v>
      </c>
      <c r="S308">
        <v>1</v>
      </c>
      <c r="T308">
        <v>-390</v>
      </c>
      <c r="U308" t="s">
        <v>349</v>
      </c>
      <c r="V308" t="s">
        <v>349</v>
      </c>
      <c r="W308">
        <v>-390</v>
      </c>
    </row>
    <row r="309" spans="1:23" x14ac:dyDescent="0.25">
      <c r="A309" s="1">
        <v>44075</v>
      </c>
      <c r="B309" s="1">
        <v>44075</v>
      </c>
      <c r="C309" t="s">
        <v>157</v>
      </c>
      <c r="D309" t="s">
        <v>48</v>
      </c>
      <c r="E309" t="s">
        <v>49</v>
      </c>
      <c r="F309" t="s">
        <v>249</v>
      </c>
      <c r="G309" s="53">
        <v>44111.714999999997</v>
      </c>
      <c r="H309">
        <v>33</v>
      </c>
      <c r="I309">
        <v>15552</v>
      </c>
      <c r="J309" t="s">
        <v>50</v>
      </c>
      <c r="K309" t="s">
        <v>50</v>
      </c>
      <c r="L309" t="s">
        <v>159</v>
      </c>
      <c r="M309" t="s">
        <v>51</v>
      </c>
      <c r="N309" t="s">
        <v>92</v>
      </c>
      <c r="O309" s="1">
        <v>41335</v>
      </c>
      <c r="P309" t="s">
        <v>84</v>
      </c>
      <c r="Q309">
        <v>4</v>
      </c>
      <c r="R309" t="s">
        <v>27</v>
      </c>
      <c r="S309">
        <v>2447.9884910000001</v>
      </c>
      <c r="T309">
        <v>76.781000000000006</v>
      </c>
      <c r="U309" t="s">
        <v>349</v>
      </c>
      <c r="V309" t="s">
        <v>349</v>
      </c>
      <c r="W309">
        <v>187959</v>
      </c>
    </row>
    <row r="310" spans="1:23" x14ac:dyDescent="0.25">
      <c r="A310" s="1">
        <v>44075</v>
      </c>
      <c r="B310" s="1">
        <v>44075</v>
      </c>
      <c r="C310" t="s">
        <v>157</v>
      </c>
      <c r="D310" t="s">
        <v>54</v>
      </c>
      <c r="E310" t="s">
        <v>21</v>
      </c>
      <c r="F310" t="s">
        <v>248</v>
      </c>
      <c r="G310" s="53">
        <v>44111.714999999997</v>
      </c>
      <c r="H310">
        <v>33</v>
      </c>
      <c r="I310">
        <v>15552</v>
      </c>
      <c r="J310" t="s">
        <v>50</v>
      </c>
      <c r="K310" t="s">
        <v>50</v>
      </c>
      <c r="L310" t="s">
        <v>159</v>
      </c>
      <c r="M310" t="s">
        <v>51</v>
      </c>
      <c r="N310" t="s">
        <v>92</v>
      </c>
      <c r="O310" s="1">
        <v>41335</v>
      </c>
      <c r="P310" t="s">
        <v>84</v>
      </c>
      <c r="Q310">
        <v>5</v>
      </c>
      <c r="R310" t="s">
        <v>28</v>
      </c>
      <c r="S310" t="s">
        <v>349</v>
      </c>
      <c r="T310" t="s">
        <v>349</v>
      </c>
      <c r="U310">
        <v>0</v>
      </c>
      <c r="V310">
        <v>5746.51</v>
      </c>
      <c r="W310">
        <v>0</v>
      </c>
    </row>
    <row r="311" spans="1:23" x14ac:dyDescent="0.25">
      <c r="A311" s="1">
        <v>44075</v>
      </c>
      <c r="B311" s="1">
        <v>44075</v>
      </c>
      <c r="C311" t="s">
        <v>157</v>
      </c>
      <c r="D311" t="s">
        <v>93</v>
      </c>
      <c r="E311" t="s">
        <v>49</v>
      </c>
      <c r="F311" t="s">
        <v>245</v>
      </c>
      <c r="G311" s="53">
        <v>44153.723773148151</v>
      </c>
      <c r="H311">
        <v>61</v>
      </c>
      <c r="I311" t="s">
        <v>349</v>
      </c>
      <c r="J311" t="s">
        <v>50</v>
      </c>
      <c r="K311" t="s">
        <v>50</v>
      </c>
      <c r="L311" t="s">
        <v>159</v>
      </c>
      <c r="M311" t="s">
        <v>51</v>
      </c>
      <c r="N311" t="s">
        <v>92</v>
      </c>
      <c r="O311" s="1">
        <v>41335</v>
      </c>
      <c r="P311" t="s">
        <v>84</v>
      </c>
      <c r="Q311">
        <v>5</v>
      </c>
      <c r="R311" t="s">
        <v>28</v>
      </c>
      <c r="S311">
        <v>1</v>
      </c>
      <c r="T311">
        <v>-2</v>
      </c>
      <c r="U311" t="s">
        <v>349</v>
      </c>
      <c r="V311" t="s">
        <v>349</v>
      </c>
      <c r="W311">
        <v>-2</v>
      </c>
    </row>
    <row r="312" spans="1:23" x14ac:dyDescent="0.25">
      <c r="A312" s="1">
        <v>44075</v>
      </c>
      <c r="B312" s="1">
        <v>44075</v>
      </c>
      <c r="C312" t="s">
        <v>157</v>
      </c>
      <c r="D312" t="s">
        <v>48</v>
      </c>
      <c r="E312" t="s">
        <v>49</v>
      </c>
      <c r="F312" t="s">
        <v>249</v>
      </c>
      <c r="G312" s="53">
        <v>44111.714999999997</v>
      </c>
      <c r="H312">
        <v>33</v>
      </c>
      <c r="I312">
        <v>15552</v>
      </c>
      <c r="J312" t="s">
        <v>50</v>
      </c>
      <c r="K312" t="s">
        <v>50</v>
      </c>
      <c r="L312" t="s">
        <v>159</v>
      </c>
      <c r="M312" t="s">
        <v>51</v>
      </c>
      <c r="N312" t="s">
        <v>92</v>
      </c>
      <c r="O312" s="1">
        <v>41335</v>
      </c>
      <c r="P312" t="s">
        <v>84</v>
      </c>
      <c r="Q312">
        <v>5</v>
      </c>
      <c r="R312" t="s">
        <v>28</v>
      </c>
      <c r="S312">
        <v>10.140453000000001</v>
      </c>
      <c r="T312">
        <v>79.340999999999994</v>
      </c>
      <c r="U312" t="s">
        <v>349</v>
      </c>
      <c r="V312" t="s">
        <v>349</v>
      </c>
      <c r="W312">
        <v>805</v>
      </c>
    </row>
    <row r="313" spans="1:23" x14ac:dyDescent="0.25">
      <c r="A313" s="1">
        <v>44105</v>
      </c>
      <c r="B313" s="1">
        <v>44105</v>
      </c>
      <c r="C313" t="s">
        <v>157</v>
      </c>
      <c r="D313" t="s">
        <v>54</v>
      </c>
      <c r="E313" t="s">
        <v>21</v>
      </c>
      <c r="F313" t="s">
        <v>251</v>
      </c>
      <c r="G313" s="53">
        <v>44141.821956018517</v>
      </c>
      <c r="H313">
        <v>33</v>
      </c>
      <c r="I313">
        <v>15894</v>
      </c>
      <c r="J313" t="s">
        <v>50</v>
      </c>
      <c r="K313" t="s">
        <v>50</v>
      </c>
      <c r="L313" t="s">
        <v>159</v>
      </c>
      <c r="M313" t="s">
        <v>51</v>
      </c>
      <c r="N313" t="s">
        <v>92</v>
      </c>
      <c r="O313" s="1">
        <v>41335</v>
      </c>
      <c r="P313" t="s">
        <v>84</v>
      </c>
      <c r="Q313">
        <v>1</v>
      </c>
      <c r="R313" t="s">
        <v>83</v>
      </c>
      <c r="S313" t="s">
        <v>349</v>
      </c>
      <c r="T313" t="s">
        <v>349</v>
      </c>
      <c r="U313">
        <v>0</v>
      </c>
      <c r="V313">
        <v>6059.26</v>
      </c>
      <c r="W313">
        <v>0</v>
      </c>
    </row>
    <row r="314" spans="1:23" x14ac:dyDescent="0.25">
      <c r="A314" s="1">
        <v>44105</v>
      </c>
      <c r="B314" s="1">
        <v>44105</v>
      </c>
      <c r="C314" t="s">
        <v>157</v>
      </c>
      <c r="D314" t="s">
        <v>93</v>
      </c>
      <c r="E314" t="s">
        <v>49</v>
      </c>
      <c r="F314" t="s">
        <v>253</v>
      </c>
      <c r="G314" s="53">
        <v>44221.697384259256</v>
      </c>
      <c r="H314">
        <v>61</v>
      </c>
      <c r="I314" t="s">
        <v>349</v>
      </c>
      <c r="J314" t="s">
        <v>50</v>
      </c>
      <c r="K314" t="s">
        <v>50</v>
      </c>
      <c r="L314" t="s">
        <v>159</v>
      </c>
      <c r="M314" t="s">
        <v>51</v>
      </c>
      <c r="N314" t="s">
        <v>92</v>
      </c>
      <c r="O314" s="1">
        <v>41335</v>
      </c>
      <c r="P314" t="s">
        <v>84</v>
      </c>
      <c r="Q314">
        <v>1</v>
      </c>
      <c r="R314" t="s">
        <v>83</v>
      </c>
      <c r="S314">
        <v>1</v>
      </c>
      <c r="T314">
        <v>-570</v>
      </c>
      <c r="U314" t="s">
        <v>349</v>
      </c>
      <c r="V314" t="s">
        <v>349</v>
      </c>
      <c r="W314">
        <v>-570</v>
      </c>
    </row>
    <row r="315" spans="1:23" x14ac:dyDescent="0.25">
      <c r="A315" s="1">
        <v>44105</v>
      </c>
      <c r="B315" s="1">
        <v>44105</v>
      </c>
      <c r="C315" t="s">
        <v>157</v>
      </c>
      <c r="D315" t="s">
        <v>48</v>
      </c>
      <c r="E315" t="s">
        <v>49</v>
      </c>
      <c r="F315" t="s">
        <v>256</v>
      </c>
      <c r="G315" s="53">
        <v>44141.821956018517</v>
      </c>
      <c r="H315">
        <v>33</v>
      </c>
      <c r="I315">
        <v>15894</v>
      </c>
      <c r="J315" t="s">
        <v>50</v>
      </c>
      <c r="K315" t="s">
        <v>50</v>
      </c>
      <c r="L315" t="s">
        <v>159</v>
      </c>
      <c r="M315" t="s">
        <v>51</v>
      </c>
      <c r="N315" t="s">
        <v>92</v>
      </c>
      <c r="O315" s="1">
        <v>41335</v>
      </c>
      <c r="P315" t="s">
        <v>84</v>
      </c>
      <c r="Q315">
        <v>1</v>
      </c>
      <c r="R315" t="s">
        <v>83</v>
      </c>
      <c r="S315">
        <v>2430.743117</v>
      </c>
      <c r="T315">
        <v>80.344999999999999</v>
      </c>
      <c r="U315" t="s">
        <v>349</v>
      </c>
      <c r="V315" t="s">
        <v>349</v>
      </c>
      <c r="W315">
        <v>195298</v>
      </c>
    </row>
    <row r="316" spans="1:23" x14ac:dyDescent="0.25">
      <c r="A316" s="1">
        <v>44105</v>
      </c>
      <c r="B316" s="1">
        <v>44105</v>
      </c>
      <c r="C316" t="s">
        <v>157</v>
      </c>
      <c r="D316" t="s">
        <v>54</v>
      </c>
      <c r="E316" t="s">
        <v>21</v>
      </c>
      <c r="F316" t="s">
        <v>251</v>
      </c>
      <c r="G316" s="53">
        <v>44141.821956018517</v>
      </c>
      <c r="H316">
        <v>33</v>
      </c>
      <c r="I316">
        <v>15894</v>
      </c>
      <c r="J316" t="s">
        <v>50</v>
      </c>
      <c r="K316" t="s">
        <v>50</v>
      </c>
      <c r="L316" t="s">
        <v>159</v>
      </c>
      <c r="M316" t="s">
        <v>51</v>
      </c>
      <c r="N316" t="s">
        <v>92</v>
      </c>
      <c r="O316" s="1">
        <v>41335</v>
      </c>
      <c r="P316" t="s">
        <v>84</v>
      </c>
      <c r="Q316">
        <v>2</v>
      </c>
      <c r="R316" t="s">
        <v>94</v>
      </c>
      <c r="S316" t="s">
        <v>349</v>
      </c>
      <c r="T316" t="s">
        <v>349</v>
      </c>
      <c r="U316">
        <v>0</v>
      </c>
      <c r="V316">
        <v>6135.33</v>
      </c>
      <c r="W316">
        <v>0</v>
      </c>
    </row>
    <row r="317" spans="1:23" x14ac:dyDescent="0.25">
      <c r="A317" s="1">
        <v>44105</v>
      </c>
      <c r="B317" s="1">
        <v>44105</v>
      </c>
      <c r="C317" t="s">
        <v>157</v>
      </c>
      <c r="D317" t="s">
        <v>93</v>
      </c>
      <c r="E317" t="s">
        <v>49</v>
      </c>
      <c r="F317" t="s">
        <v>253</v>
      </c>
      <c r="G317" s="53">
        <v>44221.697384259256</v>
      </c>
      <c r="H317">
        <v>61</v>
      </c>
      <c r="I317" t="s">
        <v>349</v>
      </c>
      <c r="J317" t="s">
        <v>50</v>
      </c>
      <c r="K317" t="s">
        <v>50</v>
      </c>
      <c r="L317" t="s">
        <v>159</v>
      </c>
      <c r="M317" t="s">
        <v>51</v>
      </c>
      <c r="N317" t="s">
        <v>92</v>
      </c>
      <c r="O317" s="1">
        <v>41335</v>
      </c>
      <c r="P317" t="s">
        <v>84</v>
      </c>
      <c r="Q317">
        <v>2</v>
      </c>
      <c r="R317" t="s">
        <v>94</v>
      </c>
      <c r="S317">
        <v>1</v>
      </c>
      <c r="T317">
        <v>-3</v>
      </c>
      <c r="U317" t="s">
        <v>349</v>
      </c>
      <c r="V317" t="s">
        <v>349</v>
      </c>
      <c r="W317">
        <v>-3</v>
      </c>
    </row>
    <row r="318" spans="1:23" x14ac:dyDescent="0.25">
      <c r="A318" s="1">
        <v>44105</v>
      </c>
      <c r="B318" s="1">
        <v>44105</v>
      </c>
      <c r="C318" t="s">
        <v>157</v>
      </c>
      <c r="D318" t="s">
        <v>48</v>
      </c>
      <c r="E318" t="s">
        <v>49</v>
      </c>
      <c r="F318" t="s">
        <v>256</v>
      </c>
      <c r="G318" s="53">
        <v>44141.821956018517</v>
      </c>
      <c r="H318">
        <v>33</v>
      </c>
      <c r="I318">
        <v>15894</v>
      </c>
      <c r="J318" t="s">
        <v>50</v>
      </c>
      <c r="K318" t="s">
        <v>50</v>
      </c>
      <c r="L318" t="s">
        <v>159</v>
      </c>
      <c r="M318" t="s">
        <v>51</v>
      </c>
      <c r="N318" t="s">
        <v>92</v>
      </c>
      <c r="O318" s="1">
        <v>41335</v>
      </c>
      <c r="P318" t="s">
        <v>84</v>
      </c>
      <c r="Q318">
        <v>2</v>
      </c>
      <c r="R318" t="s">
        <v>94</v>
      </c>
      <c r="S318">
        <v>10.588209000000001</v>
      </c>
      <c r="T318">
        <v>81.489000000000004</v>
      </c>
      <c r="U318" t="s">
        <v>349</v>
      </c>
      <c r="V318" t="s">
        <v>349</v>
      </c>
      <c r="W318">
        <v>863</v>
      </c>
    </row>
    <row r="319" spans="1:23" x14ac:dyDescent="0.25">
      <c r="A319" s="1">
        <v>44105</v>
      </c>
      <c r="B319" s="1">
        <v>44105</v>
      </c>
      <c r="C319" t="s">
        <v>157</v>
      </c>
      <c r="D319" t="s">
        <v>54</v>
      </c>
      <c r="E319" t="s">
        <v>21</v>
      </c>
      <c r="F319" t="s">
        <v>251</v>
      </c>
      <c r="G319" s="53">
        <v>44141.821956018517</v>
      </c>
      <c r="H319">
        <v>33</v>
      </c>
      <c r="I319">
        <v>15894</v>
      </c>
      <c r="J319" t="s">
        <v>50</v>
      </c>
      <c r="K319" t="s">
        <v>50</v>
      </c>
      <c r="L319" t="s">
        <v>159</v>
      </c>
      <c r="M319" t="s">
        <v>51</v>
      </c>
      <c r="N319" t="s">
        <v>92</v>
      </c>
      <c r="O319" s="1">
        <v>41335</v>
      </c>
      <c r="P319" t="s">
        <v>84</v>
      </c>
      <c r="Q319">
        <v>3</v>
      </c>
      <c r="R319" t="s">
        <v>81</v>
      </c>
      <c r="S319" t="s">
        <v>349</v>
      </c>
      <c r="T319" t="s">
        <v>349</v>
      </c>
      <c r="U319">
        <v>0</v>
      </c>
      <c r="V319">
        <v>5857.6</v>
      </c>
      <c r="W319">
        <v>0</v>
      </c>
    </row>
    <row r="320" spans="1:23" x14ac:dyDescent="0.25">
      <c r="A320" s="1">
        <v>44105</v>
      </c>
      <c r="B320" s="1">
        <v>44105</v>
      </c>
      <c r="C320" t="s">
        <v>157</v>
      </c>
      <c r="D320" t="s">
        <v>93</v>
      </c>
      <c r="E320" t="s">
        <v>49</v>
      </c>
      <c r="F320" t="s">
        <v>253</v>
      </c>
      <c r="G320" s="53">
        <v>44221.697384259256</v>
      </c>
      <c r="H320">
        <v>61</v>
      </c>
      <c r="I320" t="s">
        <v>349</v>
      </c>
      <c r="J320" t="s">
        <v>50</v>
      </c>
      <c r="K320" t="s">
        <v>50</v>
      </c>
      <c r="L320" t="s">
        <v>159</v>
      </c>
      <c r="M320" t="s">
        <v>51</v>
      </c>
      <c r="N320" t="s">
        <v>92</v>
      </c>
      <c r="O320" s="1">
        <v>41335</v>
      </c>
      <c r="P320" t="s">
        <v>84</v>
      </c>
      <c r="Q320">
        <v>3</v>
      </c>
      <c r="R320" t="s">
        <v>81</v>
      </c>
      <c r="S320">
        <v>1</v>
      </c>
      <c r="T320">
        <v>-80</v>
      </c>
      <c r="U320" t="s">
        <v>349</v>
      </c>
      <c r="V320" t="s">
        <v>349</v>
      </c>
      <c r="W320">
        <v>-80</v>
      </c>
    </row>
    <row r="321" spans="1:23" x14ac:dyDescent="0.25">
      <c r="A321" s="1">
        <v>44105</v>
      </c>
      <c r="B321" s="1">
        <v>44105</v>
      </c>
      <c r="C321" t="s">
        <v>157</v>
      </c>
      <c r="D321" t="s">
        <v>48</v>
      </c>
      <c r="E321" t="s">
        <v>49</v>
      </c>
      <c r="F321" t="s">
        <v>256</v>
      </c>
      <c r="G321" s="53">
        <v>44141.821956018517</v>
      </c>
      <c r="H321">
        <v>33</v>
      </c>
      <c r="I321">
        <v>15894</v>
      </c>
      <c r="J321" t="s">
        <v>50</v>
      </c>
      <c r="K321" t="s">
        <v>50</v>
      </c>
      <c r="L321" t="s">
        <v>159</v>
      </c>
      <c r="M321" t="s">
        <v>51</v>
      </c>
      <c r="N321" t="s">
        <v>92</v>
      </c>
      <c r="O321" s="1">
        <v>41335</v>
      </c>
      <c r="P321" t="s">
        <v>84</v>
      </c>
      <c r="Q321">
        <v>3</v>
      </c>
      <c r="R321" t="s">
        <v>81</v>
      </c>
      <c r="S321">
        <v>359.39598799999999</v>
      </c>
      <c r="T321">
        <v>76.656999999999996</v>
      </c>
      <c r="U321" t="s">
        <v>349</v>
      </c>
      <c r="V321" t="s">
        <v>349</v>
      </c>
      <c r="W321">
        <v>27550</v>
      </c>
    </row>
    <row r="322" spans="1:23" x14ac:dyDescent="0.25">
      <c r="A322" s="1">
        <v>44105</v>
      </c>
      <c r="B322" s="1">
        <v>44105</v>
      </c>
      <c r="C322" t="s">
        <v>157</v>
      </c>
      <c r="D322" t="s">
        <v>54</v>
      </c>
      <c r="E322" t="s">
        <v>21</v>
      </c>
      <c r="F322" t="s">
        <v>251</v>
      </c>
      <c r="G322" s="53">
        <v>44141.821956018517</v>
      </c>
      <c r="H322">
        <v>33</v>
      </c>
      <c r="I322">
        <v>15894</v>
      </c>
      <c r="J322" t="s">
        <v>50</v>
      </c>
      <c r="K322" t="s">
        <v>50</v>
      </c>
      <c r="L322" t="s">
        <v>159</v>
      </c>
      <c r="M322" t="s">
        <v>51</v>
      </c>
      <c r="N322" t="s">
        <v>92</v>
      </c>
      <c r="O322" s="1">
        <v>41335</v>
      </c>
      <c r="P322" t="s">
        <v>84</v>
      </c>
      <c r="Q322">
        <v>4</v>
      </c>
      <c r="R322" t="s">
        <v>27</v>
      </c>
      <c r="S322" t="s">
        <v>349</v>
      </c>
      <c r="T322" t="s">
        <v>349</v>
      </c>
      <c r="U322">
        <v>0</v>
      </c>
      <c r="V322">
        <v>5984.39</v>
      </c>
      <c r="W322">
        <v>0</v>
      </c>
    </row>
    <row r="323" spans="1:23" x14ac:dyDescent="0.25">
      <c r="A323" s="1">
        <v>44105</v>
      </c>
      <c r="B323" s="1">
        <v>44105</v>
      </c>
      <c r="C323" t="s">
        <v>157</v>
      </c>
      <c r="D323" t="s">
        <v>93</v>
      </c>
      <c r="E323" t="s">
        <v>49</v>
      </c>
      <c r="F323" t="s">
        <v>253</v>
      </c>
      <c r="G323" s="53">
        <v>44221.697384259256</v>
      </c>
      <c r="H323">
        <v>61</v>
      </c>
      <c r="I323" t="s">
        <v>349</v>
      </c>
      <c r="J323" t="s">
        <v>50</v>
      </c>
      <c r="K323" t="s">
        <v>50</v>
      </c>
      <c r="L323" t="s">
        <v>159</v>
      </c>
      <c r="M323" t="s">
        <v>51</v>
      </c>
      <c r="N323" t="s">
        <v>92</v>
      </c>
      <c r="O323" s="1">
        <v>41335</v>
      </c>
      <c r="P323" t="s">
        <v>84</v>
      </c>
      <c r="Q323">
        <v>4</v>
      </c>
      <c r="R323" t="s">
        <v>27</v>
      </c>
      <c r="S323">
        <v>1</v>
      </c>
      <c r="T323">
        <v>-689</v>
      </c>
      <c r="U323" t="s">
        <v>349</v>
      </c>
      <c r="V323" t="s">
        <v>349</v>
      </c>
      <c r="W323">
        <v>-689</v>
      </c>
    </row>
    <row r="324" spans="1:23" x14ac:dyDescent="0.25">
      <c r="A324" s="1">
        <v>44105</v>
      </c>
      <c r="B324" s="1">
        <v>44105</v>
      </c>
      <c r="C324" t="s">
        <v>157</v>
      </c>
      <c r="D324" t="s">
        <v>48</v>
      </c>
      <c r="E324" t="s">
        <v>49</v>
      </c>
      <c r="F324" t="s">
        <v>256</v>
      </c>
      <c r="G324" s="53">
        <v>44141.821956018517</v>
      </c>
      <c r="H324">
        <v>33</v>
      </c>
      <c r="I324">
        <v>15894</v>
      </c>
      <c r="J324" t="s">
        <v>50</v>
      </c>
      <c r="K324" t="s">
        <v>50</v>
      </c>
      <c r="L324" t="s">
        <v>159</v>
      </c>
      <c r="M324" t="s">
        <v>51</v>
      </c>
      <c r="N324" t="s">
        <v>92</v>
      </c>
      <c r="O324" s="1">
        <v>41335</v>
      </c>
      <c r="P324" t="s">
        <v>84</v>
      </c>
      <c r="Q324">
        <v>4</v>
      </c>
      <c r="R324" t="s">
        <v>27</v>
      </c>
      <c r="S324">
        <v>3072.8331600000001</v>
      </c>
      <c r="T324">
        <v>76.781000000000006</v>
      </c>
      <c r="U324" t="s">
        <v>349</v>
      </c>
      <c r="V324" t="s">
        <v>349</v>
      </c>
      <c r="W324">
        <v>235935</v>
      </c>
    </row>
    <row r="325" spans="1:23" x14ac:dyDescent="0.25">
      <c r="A325" s="1">
        <v>44105</v>
      </c>
      <c r="B325" s="1">
        <v>44105</v>
      </c>
      <c r="C325" t="s">
        <v>157</v>
      </c>
      <c r="D325" t="s">
        <v>54</v>
      </c>
      <c r="E325" t="s">
        <v>21</v>
      </c>
      <c r="F325" t="s">
        <v>251</v>
      </c>
      <c r="G325" s="53">
        <v>44141.821956018517</v>
      </c>
      <c r="H325">
        <v>33</v>
      </c>
      <c r="I325">
        <v>15894</v>
      </c>
      <c r="J325" t="s">
        <v>50</v>
      </c>
      <c r="K325" t="s">
        <v>50</v>
      </c>
      <c r="L325" t="s">
        <v>159</v>
      </c>
      <c r="M325" t="s">
        <v>51</v>
      </c>
      <c r="N325" t="s">
        <v>92</v>
      </c>
      <c r="O325" s="1">
        <v>41335</v>
      </c>
      <c r="P325" t="s">
        <v>84</v>
      </c>
      <c r="Q325">
        <v>5</v>
      </c>
      <c r="R325" t="s">
        <v>28</v>
      </c>
      <c r="S325" t="s">
        <v>349</v>
      </c>
      <c r="T325" t="s">
        <v>349</v>
      </c>
      <c r="U325">
        <v>0</v>
      </c>
      <c r="V325">
        <v>5746.51</v>
      </c>
      <c r="W325">
        <v>0</v>
      </c>
    </row>
    <row r="326" spans="1:23" x14ac:dyDescent="0.25">
      <c r="A326" s="1">
        <v>44105</v>
      </c>
      <c r="B326" s="1">
        <v>44105</v>
      </c>
      <c r="C326" t="s">
        <v>157</v>
      </c>
      <c r="D326" t="s">
        <v>93</v>
      </c>
      <c r="E326" t="s">
        <v>49</v>
      </c>
      <c r="F326" t="s">
        <v>253</v>
      </c>
      <c r="G326" s="53">
        <v>44221.697384259256</v>
      </c>
      <c r="H326">
        <v>61</v>
      </c>
      <c r="I326" t="s">
        <v>349</v>
      </c>
      <c r="J326" t="s">
        <v>50</v>
      </c>
      <c r="K326" t="s">
        <v>50</v>
      </c>
      <c r="L326" t="s">
        <v>159</v>
      </c>
      <c r="M326" t="s">
        <v>51</v>
      </c>
      <c r="N326" t="s">
        <v>92</v>
      </c>
      <c r="O326" s="1">
        <v>41335</v>
      </c>
      <c r="P326" t="s">
        <v>84</v>
      </c>
      <c r="Q326">
        <v>5</v>
      </c>
      <c r="R326" t="s">
        <v>28</v>
      </c>
      <c r="S326">
        <v>1</v>
      </c>
      <c r="T326">
        <v>-3</v>
      </c>
      <c r="U326" t="s">
        <v>349</v>
      </c>
      <c r="V326" t="s">
        <v>349</v>
      </c>
      <c r="W326">
        <v>-3</v>
      </c>
    </row>
    <row r="327" spans="1:23" x14ac:dyDescent="0.25">
      <c r="A327" s="1">
        <v>44105</v>
      </c>
      <c r="B327" s="1">
        <v>44105</v>
      </c>
      <c r="C327" t="s">
        <v>157</v>
      </c>
      <c r="D327" t="s">
        <v>48</v>
      </c>
      <c r="E327" t="s">
        <v>49</v>
      </c>
      <c r="F327" t="s">
        <v>256</v>
      </c>
      <c r="G327" s="53">
        <v>44141.821956018517</v>
      </c>
      <c r="H327">
        <v>33</v>
      </c>
      <c r="I327">
        <v>15894</v>
      </c>
      <c r="J327" t="s">
        <v>50</v>
      </c>
      <c r="K327" t="s">
        <v>50</v>
      </c>
      <c r="L327" t="s">
        <v>159</v>
      </c>
      <c r="M327" t="s">
        <v>51</v>
      </c>
      <c r="N327" t="s">
        <v>92</v>
      </c>
      <c r="O327" s="1">
        <v>41335</v>
      </c>
      <c r="P327" t="s">
        <v>84</v>
      </c>
      <c r="Q327">
        <v>5</v>
      </c>
      <c r="R327" t="s">
        <v>28</v>
      </c>
      <c r="S327">
        <v>12.686017</v>
      </c>
      <c r="T327">
        <v>79.340999999999994</v>
      </c>
      <c r="U327" t="s">
        <v>349</v>
      </c>
      <c r="V327" t="s">
        <v>349</v>
      </c>
      <c r="W327">
        <v>1007</v>
      </c>
    </row>
    <row r="328" spans="1:23" x14ac:dyDescent="0.25">
      <c r="A328" s="1">
        <v>44136</v>
      </c>
      <c r="B328" s="1">
        <v>44136</v>
      </c>
      <c r="C328" t="s">
        <v>157</v>
      </c>
      <c r="D328" t="s">
        <v>54</v>
      </c>
      <c r="E328" t="s">
        <v>21</v>
      </c>
      <c r="F328" t="s">
        <v>261</v>
      </c>
      <c r="G328" s="53">
        <v>44169.666030092594</v>
      </c>
      <c r="H328">
        <v>33</v>
      </c>
      <c r="I328">
        <v>16653</v>
      </c>
      <c r="J328" t="s">
        <v>50</v>
      </c>
      <c r="K328" t="s">
        <v>50</v>
      </c>
      <c r="L328" t="s">
        <v>159</v>
      </c>
      <c r="M328" t="s">
        <v>51</v>
      </c>
      <c r="N328" t="s">
        <v>92</v>
      </c>
      <c r="O328" s="1">
        <v>41335</v>
      </c>
      <c r="P328" t="s">
        <v>84</v>
      </c>
      <c r="Q328">
        <v>1</v>
      </c>
      <c r="R328" t="s">
        <v>83</v>
      </c>
      <c r="S328" t="s">
        <v>349</v>
      </c>
      <c r="T328" t="s">
        <v>349</v>
      </c>
      <c r="U328">
        <v>0</v>
      </c>
      <c r="V328">
        <v>6059.26</v>
      </c>
      <c r="W328">
        <v>0</v>
      </c>
    </row>
    <row r="329" spans="1:23" x14ac:dyDescent="0.25">
      <c r="A329" s="1">
        <v>44136</v>
      </c>
      <c r="B329" s="1">
        <v>44136</v>
      </c>
      <c r="C329" t="s">
        <v>157</v>
      </c>
      <c r="D329" t="s">
        <v>93</v>
      </c>
      <c r="E329" t="s">
        <v>49</v>
      </c>
      <c r="F329" t="s">
        <v>259</v>
      </c>
      <c r="G329" s="53">
        <v>44215.508055555554</v>
      </c>
      <c r="H329">
        <v>61</v>
      </c>
      <c r="I329" t="s">
        <v>349</v>
      </c>
      <c r="J329" t="s">
        <v>50</v>
      </c>
      <c r="K329" t="s">
        <v>50</v>
      </c>
      <c r="L329" t="s">
        <v>159</v>
      </c>
      <c r="M329" t="s">
        <v>51</v>
      </c>
      <c r="N329" t="s">
        <v>92</v>
      </c>
      <c r="O329" s="1">
        <v>41335</v>
      </c>
      <c r="P329" t="s">
        <v>84</v>
      </c>
      <c r="Q329">
        <v>1</v>
      </c>
      <c r="R329" t="s">
        <v>83</v>
      </c>
      <c r="S329">
        <v>1</v>
      </c>
      <c r="T329">
        <v>-1312</v>
      </c>
      <c r="U329" t="s">
        <v>349</v>
      </c>
      <c r="V329" t="s">
        <v>349</v>
      </c>
      <c r="W329">
        <v>-1312</v>
      </c>
    </row>
    <row r="330" spans="1:23" x14ac:dyDescent="0.25">
      <c r="A330" s="1">
        <v>44136</v>
      </c>
      <c r="B330" s="1">
        <v>44136</v>
      </c>
      <c r="C330" t="s">
        <v>157</v>
      </c>
      <c r="D330" t="s">
        <v>48</v>
      </c>
      <c r="E330" t="s">
        <v>49</v>
      </c>
      <c r="F330" t="s">
        <v>264</v>
      </c>
      <c r="G330" s="53">
        <v>44169.666030092594</v>
      </c>
      <c r="H330">
        <v>33</v>
      </c>
      <c r="I330">
        <v>16653</v>
      </c>
      <c r="J330" t="s">
        <v>50</v>
      </c>
      <c r="K330" t="s">
        <v>50</v>
      </c>
      <c r="L330" t="s">
        <v>159</v>
      </c>
      <c r="M330" t="s">
        <v>51</v>
      </c>
      <c r="N330" t="s">
        <v>92</v>
      </c>
      <c r="O330" s="1">
        <v>41335</v>
      </c>
      <c r="P330" t="s">
        <v>84</v>
      </c>
      <c r="Q330">
        <v>1</v>
      </c>
      <c r="R330" t="s">
        <v>83</v>
      </c>
      <c r="S330">
        <v>2836.8555449999999</v>
      </c>
      <c r="T330">
        <v>80.344999999999999</v>
      </c>
      <c r="U330" t="s">
        <v>349</v>
      </c>
      <c r="V330" t="s">
        <v>349</v>
      </c>
      <c r="W330">
        <v>227927</v>
      </c>
    </row>
    <row r="331" spans="1:23" x14ac:dyDescent="0.25">
      <c r="A331" s="1">
        <v>44136</v>
      </c>
      <c r="B331" s="1">
        <v>44136</v>
      </c>
      <c r="C331" t="s">
        <v>157</v>
      </c>
      <c r="D331" t="s">
        <v>54</v>
      </c>
      <c r="E331" t="s">
        <v>21</v>
      </c>
      <c r="F331" t="s">
        <v>261</v>
      </c>
      <c r="G331" s="53">
        <v>44169.666030092594</v>
      </c>
      <c r="H331">
        <v>33</v>
      </c>
      <c r="I331">
        <v>16653</v>
      </c>
      <c r="J331" t="s">
        <v>50</v>
      </c>
      <c r="K331" t="s">
        <v>50</v>
      </c>
      <c r="L331" t="s">
        <v>159</v>
      </c>
      <c r="M331" t="s">
        <v>51</v>
      </c>
      <c r="N331" t="s">
        <v>92</v>
      </c>
      <c r="O331" s="1">
        <v>41335</v>
      </c>
      <c r="P331" t="s">
        <v>84</v>
      </c>
      <c r="Q331">
        <v>2</v>
      </c>
      <c r="R331" t="s">
        <v>94</v>
      </c>
      <c r="S331" t="s">
        <v>349</v>
      </c>
      <c r="T331" t="s">
        <v>349</v>
      </c>
      <c r="U331">
        <v>0</v>
      </c>
      <c r="V331">
        <v>6135.33</v>
      </c>
      <c r="W331">
        <v>0</v>
      </c>
    </row>
    <row r="332" spans="1:23" x14ac:dyDescent="0.25">
      <c r="A332" s="1">
        <v>44136</v>
      </c>
      <c r="B332" s="1">
        <v>44136</v>
      </c>
      <c r="C332" t="s">
        <v>157</v>
      </c>
      <c r="D332" t="s">
        <v>93</v>
      </c>
      <c r="E332" t="s">
        <v>49</v>
      </c>
      <c r="F332" t="s">
        <v>259</v>
      </c>
      <c r="G332" s="53">
        <v>44215.508055555554</v>
      </c>
      <c r="H332">
        <v>61</v>
      </c>
      <c r="I332" t="s">
        <v>349</v>
      </c>
      <c r="J332" t="s">
        <v>50</v>
      </c>
      <c r="K332" t="s">
        <v>50</v>
      </c>
      <c r="L332" t="s">
        <v>159</v>
      </c>
      <c r="M332" t="s">
        <v>51</v>
      </c>
      <c r="N332" t="s">
        <v>92</v>
      </c>
      <c r="O332" s="1">
        <v>41335</v>
      </c>
      <c r="P332" t="s">
        <v>84</v>
      </c>
      <c r="Q332">
        <v>2</v>
      </c>
      <c r="R332" t="s">
        <v>94</v>
      </c>
      <c r="S332">
        <v>1</v>
      </c>
      <c r="T332">
        <v>-6</v>
      </c>
      <c r="U332" t="s">
        <v>349</v>
      </c>
      <c r="V332" t="s">
        <v>349</v>
      </c>
      <c r="W332">
        <v>-6</v>
      </c>
    </row>
    <row r="333" spans="1:23" x14ac:dyDescent="0.25">
      <c r="A333" s="1">
        <v>44136</v>
      </c>
      <c r="B333" s="1">
        <v>44136</v>
      </c>
      <c r="C333" t="s">
        <v>157</v>
      </c>
      <c r="D333" t="s">
        <v>48</v>
      </c>
      <c r="E333" t="s">
        <v>49</v>
      </c>
      <c r="F333" t="s">
        <v>264</v>
      </c>
      <c r="G333" s="53">
        <v>44169.666030092594</v>
      </c>
      <c r="H333">
        <v>33</v>
      </c>
      <c r="I333">
        <v>16653</v>
      </c>
      <c r="J333" t="s">
        <v>50</v>
      </c>
      <c r="K333" t="s">
        <v>50</v>
      </c>
      <c r="L333" t="s">
        <v>159</v>
      </c>
      <c r="M333" t="s">
        <v>51</v>
      </c>
      <c r="N333" t="s">
        <v>92</v>
      </c>
      <c r="O333" s="1">
        <v>41335</v>
      </c>
      <c r="P333" t="s">
        <v>84</v>
      </c>
      <c r="Q333">
        <v>2</v>
      </c>
      <c r="R333" t="s">
        <v>94</v>
      </c>
      <c r="S333">
        <v>11.915349000000001</v>
      </c>
      <c r="T333">
        <v>81.489000000000004</v>
      </c>
      <c r="U333" t="s">
        <v>349</v>
      </c>
      <c r="V333" t="s">
        <v>349</v>
      </c>
      <c r="W333">
        <v>971</v>
      </c>
    </row>
    <row r="334" spans="1:23" x14ac:dyDescent="0.25">
      <c r="A334" s="1">
        <v>44136</v>
      </c>
      <c r="B334" s="1">
        <v>44136</v>
      </c>
      <c r="C334" t="s">
        <v>157</v>
      </c>
      <c r="D334" t="s">
        <v>54</v>
      </c>
      <c r="E334" t="s">
        <v>21</v>
      </c>
      <c r="F334" t="s">
        <v>261</v>
      </c>
      <c r="G334" s="53">
        <v>44169.666030092594</v>
      </c>
      <c r="H334">
        <v>33</v>
      </c>
      <c r="I334">
        <v>16653</v>
      </c>
      <c r="J334" t="s">
        <v>50</v>
      </c>
      <c r="K334" t="s">
        <v>50</v>
      </c>
      <c r="L334" t="s">
        <v>159</v>
      </c>
      <c r="M334" t="s">
        <v>51</v>
      </c>
      <c r="N334" t="s">
        <v>92</v>
      </c>
      <c r="O334" s="1">
        <v>41335</v>
      </c>
      <c r="P334" t="s">
        <v>84</v>
      </c>
      <c r="Q334">
        <v>3</v>
      </c>
      <c r="R334" t="s">
        <v>81</v>
      </c>
      <c r="S334" t="s">
        <v>349</v>
      </c>
      <c r="T334" t="s">
        <v>349</v>
      </c>
      <c r="U334">
        <v>0</v>
      </c>
      <c r="V334">
        <v>5857.6</v>
      </c>
      <c r="W334">
        <v>0</v>
      </c>
    </row>
    <row r="335" spans="1:23" x14ac:dyDescent="0.25">
      <c r="A335" s="1">
        <v>44136</v>
      </c>
      <c r="B335" s="1">
        <v>44136</v>
      </c>
      <c r="C335" t="s">
        <v>157</v>
      </c>
      <c r="D335" t="s">
        <v>93</v>
      </c>
      <c r="E335" t="s">
        <v>49</v>
      </c>
      <c r="F335" t="s">
        <v>259</v>
      </c>
      <c r="G335" s="53">
        <v>44215.508055555554</v>
      </c>
      <c r="H335">
        <v>61</v>
      </c>
      <c r="I335" t="s">
        <v>349</v>
      </c>
      <c r="J335" t="s">
        <v>50</v>
      </c>
      <c r="K335" t="s">
        <v>50</v>
      </c>
      <c r="L335" t="s">
        <v>159</v>
      </c>
      <c r="M335" t="s">
        <v>51</v>
      </c>
      <c r="N335" t="s">
        <v>92</v>
      </c>
      <c r="O335" s="1">
        <v>41335</v>
      </c>
      <c r="P335" t="s">
        <v>84</v>
      </c>
      <c r="Q335">
        <v>3</v>
      </c>
      <c r="R335" t="s">
        <v>81</v>
      </c>
      <c r="S335">
        <v>1</v>
      </c>
      <c r="T335">
        <v>-189</v>
      </c>
      <c r="U335" t="s">
        <v>349</v>
      </c>
      <c r="V335" t="s">
        <v>349</v>
      </c>
      <c r="W335">
        <v>-189</v>
      </c>
    </row>
    <row r="336" spans="1:23" x14ac:dyDescent="0.25">
      <c r="A336" s="1">
        <v>44136</v>
      </c>
      <c r="B336" s="1">
        <v>44136</v>
      </c>
      <c r="C336" t="s">
        <v>157</v>
      </c>
      <c r="D336" t="s">
        <v>48</v>
      </c>
      <c r="E336" t="s">
        <v>49</v>
      </c>
      <c r="F336" t="s">
        <v>264</v>
      </c>
      <c r="G336" s="53">
        <v>44169.666030092594</v>
      </c>
      <c r="H336">
        <v>33</v>
      </c>
      <c r="I336">
        <v>16653</v>
      </c>
      <c r="J336" t="s">
        <v>50</v>
      </c>
      <c r="K336" t="s">
        <v>50</v>
      </c>
      <c r="L336" t="s">
        <v>159</v>
      </c>
      <c r="M336" t="s">
        <v>51</v>
      </c>
      <c r="N336" t="s">
        <v>92</v>
      </c>
      <c r="O336" s="1">
        <v>41335</v>
      </c>
      <c r="P336" t="s">
        <v>84</v>
      </c>
      <c r="Q336">
        <v>3</v>
      </c>
      <c r="R336" t="s">
        <v>81</v>
      </c>
      <c r="S336">
        <v>427.739485</v>
      </c>
      <c r="T336">
        <v>76.656999999999996</v>
      </c>
      <c r="U336" t="s">
        <v>349</v>
      </c>
      <c r="V336" t="s">
        <v>349</v>
      </c>
      <c r="W336">
        <v>32789</v>
      </c>
    </row>
    <row r="337" spans="1:23" x14ac:dyDescent="0.25">
      <c r="A337" s="1">
        <v>44136</v>
      </c>
      <c r="B337" s="1">
        <v>44136</v>
      </c>
      <c r="C337" t="s">
        <v>157</v>
      </c>
      <c r="D337" t="s">
        <v>54</v>
      </c>
      <c r="E337" t="s">
        <v>21</v>
      </c>
      <c r="F337" t="s">
        <v>261</v>
      </c>
      <c r="G337" s="53">
        <v>44169.666030092594</v>
      </c>
      <c r="H337">
        <v>33</v>
      </c>
      <c r="I337">
        <v>16653</v>
      </c>
      <c r="J337" t="s">
        <v>50</v>
      </c>
      <c r="K337" t="s">
        <v>50</v>
      </c>
      <c r="L337" t="s">
        <v>159</v>
      </c>
      <c r="M337" t="s">
        <v>51</v>
      </c>
      <c r="N337" t="s">
        <v>92</v>
      </c>
      <c r="O337" s="1">
        <v>41335</v>
      </c>
      <c r="P337" t="s">
        <v>84</v>
      </c>
      <c r="Q337">
        <v>4</v>
      </c>
      <c r="R337" t="s">
        <v>27</v>
      </c>
      <c r="S337" t="s">
        <v>349</v>
      </c>
      <c r="T337" t="s">
        <v>349</v>
      </c>
      <c r="U337">
        <v>0</v>
      </c>
      <c r="V337">
        <v>5984.39</v>
      </c>
      <c r="W337">
        <v>0</v>
      </c>
    </row>
    <row r="338" spans="1:23" x14ac:dyDescent="0.25">
      <c r="A338" s="1">
        <v>44136</v>
      </c>
      <c r="B338" s="1">
        <v>44136</v>
      </c>
      <c r="C338" t="s">
        <v>157</v>
      </c>
      <c r="D338" t="s">
        <v>93</v>
      </c>
      <c r="E338" t="s">
        <v>49</v>
      </c>
      <c r="F338" t="s">
        <v>259</v>
      </c>
      <c r="G338" s="53">
        <v>44215.508055555554</v>
      </c>
      <c r="H338">
        <v>61</v>
      </c>
      <c r="I338" t="s">
        <v>349</v>
      </c>
      <c r="J338" t="s">
        <v>50</v>
      </c>
      <c r="K338" t="s">
        <v>50</v>
      </c>
      <c r="L338" t="s">
        <v>159</v>
      </c>
      <c r="M338" t="s">
        <v>51</v>
      </c>
      <c r="N338" t="s">
        <v>92</v>
      </c>
      <c r="O338" s="1">
        <v>41335</v>
      </c>
      <c r="P338" t="s">
        <v>84</v>
      </c>
      <c r="Q338">
        <v>4</v>
      </c>
      <c r="R338" t="s">
        <v>27</v>
      </c>
      <c r="S338">
        <v>1</v>
      </c>
      <c r="T338">
        <v>-1578</v>
      </c>
      <c r="U338" t="s">
        <v>349</v>
      </c>
      <c r="V338" t="s">
        <v>349</v>
      </c>
      <c r="W338">
        <v>-1578</v>
      </c>
    </row>
    <row r="339" spans="1:23" x14ac:dyDescent="0.25">
      <c r="A339" s="1">
        <v>44136</v>
      </c>
      <c r="B339" s="1">
        <v>44136</v>
      </c>
      <c r="C339" t="s">
        <v>157</v>
      </c>
      <c r="D339" t="s">
        <v>48</v>
      </c>
      <c r="E339" t="s">
        <v>49</v>
      </c>
      <c r="F339" t="s">
        <v>264</v>
      </c>
      <c r="G339" s="53">
        <v>44169.666030092594</v>
      </c>
      <c r="H339">
        <v>33</v>
      </c>
      <c r="I339">
        <v>16653</v>
      </c>
      <c r="J339" t="s">
        <v>50</v>
      </c>
      <c r="K339" t="s">
        <v>50</v>
      </c>
      <c r="L339" t="s">
        <v>159</v>
      </c>
      <c r="M339" t="s">
        <v>51</v>
      </c>
      <c r="N339" t="s">
        <v>92</v>
      </c>
      <c r="O339" s="1">
        <v>41335</v>
      </c>
      <c r="P339" t="s">
        <v>84</v>
      </c>
      <c r="Q339">
        <v>4</v>
      </c>
      <c r="R339" t="s">
        <v>27</v>
      </c>
      <c r="S339">
        <v>3569.1454020000001</v>
      </c>
      <c r="T339">
        <v>76.781000000000006</v>
      </c>
      <c r="U339" t="s">
        <v>349</v>
      </c>
      <c r="V339" t="s">
        <v>349</v>
      </c>
      <c r="W339">
        <v>274043</v>
      </c>
    </row>
    <row r="340" spans="1:23" x14ac:dyDescent="0.25">
      <c r="A340" s="1">
        <v>44136</v>
      </c>
      <c r="B340" s="1">
        <v>44136</v>
      </c>
      <c r="C340" t="s">
        <v>157</v>
      </c>
      <c r="D340" t="s">
        <v>54</v>
      </c>
      <c r="E340" t="s">
        <v>21</v>
      </c>
      <c r="F340" t="s">
        <v>261</v>
      </c>
      <c r="G340" s="53">
        <v>44169.666030092594</v>
      </c>
      <c r="H340">
        <v>33</v>
      </c>
      <c r="I340">
        <v>16653</v>
      </c>
      <c r="J340" t="s">
        <v>50</v>
      </c>
      <c r="K340" t="s">
        <v>50</v>
      </c>
      <c r="L340" t="s">
        <v>159</v>
      </c>
      <c r="M340" t="s">
        <v>51</v>
      </c>
      <c r="N340" t="s">
        <v>92</v>
      </c>
      <c r="O340" s="1">
        <v>41335</v>
      </c>
      <c r="P340" t="s">
        <v>84</v>
      </c>
      <c r="Q340">
        <v>5</v>
      </c>
      <c r="R340" t="s">
        <v>28</v>
      </c>
      <c r="S340" t="s">
        <v>349</v>
      </c>
      <c r="T340" t="s">
        <v>349</v>
      </c>
      <c r="U340">
        <v>0</v>
      </c>
      <c r="V340">
        <v>5746.51</v>
      </c>
      <c r="W340">
        <v>0</v>
      </c>
    </row>
    <row r="341" spans="1:23" x14ac:dyDescent="0.25">
      <c r="A341" s="1">
        <v>44136</v>
      </c>
      <c r="B341" s="1">
        <v>44136</v>
      </c>
      <c r="C341" t="s">
        <v>157</v>
      </c>
      <c r="D341" t="s">
        <v>93</v>
      </c>
      <c r="E341" t="s">
        <v>49</v>
      </c>
      <c r="F341" t="s">
        <v>259</v>
      </c>
      <c r="G341" s="53">
        <v>44215.508055555554</v>
      </c>
      <c r="H341">
        <v>61</v>
      </c>
      <c r="I341" t="s">
        <v>349</v>
      </c>
      <c r="J341" t="s">
        <v>50</v>
      </c>
      <c r="K341" t="s">
        <v>50</v>
      </c>
      <c r="L341" t="s">
        <v>159</v>
      </c>
      <c r="M341" t="s">
        <v>51</v>
      </c>
      <c r="N341" t="s">
        <v>92</v>
      </c>
      <c r="O341" s="1">
        <v>41335</v>
      </c>
      <c r="P341" t="s">
        <v>84</v>
      </c>
      <c r="Q341">
        <v>5</v>
      </c>
      <c r="R341" t="s">
        <v>28</v>
      </c>
      <c r="S341">
        <v>1</v>
      </c>
      <c r="T341">
        <v>-7</v>
      </c>
      <c r="U341" t="s">
        <v>349</v>
      </c>
      <c r="V341" t="s">
        <v>349</v>
      </c>
      <c r="W341">
        <v>-7</v>
      </c>
    </row>
    <row r="342" spans="1:23" x14ac:dyDescent="0.25">
      <c r="A342" s="1">
        <v>44136</v>
      </c>
      <c r="B342" s="1">
        <v>44136</v>
      </c>
      <c r="C342" t="s">
        <v>157</v>
      </c>
      <c r="D342" t="s">
        <v>48</v>
      </c>
      <c r="E342" t="s">
        <v>49</v>
      </c>
      <c r="F342" t="s">
        <v>264</v>
      </c>
      <c r="G342" s="53">
        <v>44169.666030092594</v>
      </c>
      <c r="H342">
        <v>33</v>
      </c>
      <c r="I342">
        <v>16653</v>
      </c>
      <c r="J342" t="s">
        <v>50</v>
      </c>
      <c r="K342" t="s">
        <v>50</v>
      </c>
      <c r="L342" t="s">
        <v>159</v>
      </c>
      <c r="M342" t="s">
        <v>51</v>
      </c>
      <c r="N342" t="s">
        <v>92</v>
      </c>
      <c r="O342" s="1">
        <v>41335</v>
      </c>
      <c r="P342" t="s">
        <v>84</v>
      </c>
      <c r="Q342">
        <v>5</v>
      </c>
      <c r="R342" t="s">
        <v>28</v>
      </c>
      <c r="S342">
        <v>14.665755000000001</v>
      </c>
      <c r="T342">
        <v>79.340999999999994</v>
      </c>
      <c r="U342" t="s">
        <v>349</v>
      </c>
      <c r="V342" t="s">
        <v>349</v>
      </c>
      <c r="W342">
        <v>1164</v>
      </c>
    </row>
    <row r="343" spans="1:23" x14ac:dyDescent="0.25">
      <c r="A343" s="1">
        <v>44166</v>
      </c>
      <c r="B343" s="1">
        <v>44166</v>
      </c>
      <c r="C343" t="s">
        <v>157</v>
      </c>
      <c r="D343" t="s">
        <v>54</v>
      </c>
      <c r="E343" t="s">
        <v>21</v>
      </c>
      <c r="F343" t="s">
        <v>265</v>
      </c>
      <c r="G343" s="53">
        <v>44203.692604166667</v>
      </c>
      <c r="H343">
        <v>33</v>
      </c>
      <c r="I343">
        <v>16938</v>
      </c>
      <c r="J343" t="s">
        <v>50</v>
      </c>
      <c r="K343" t="s">
        <v>50</v>
      </c>
      <c r="L343" t="s">
        <v>159</v>
      </c>
      <c r="M343" t="s">
        <v>51</v>
      </c>
      <c r="N343" t="s">
        <v>92</v>
      </c>
      <c r="O343" s="1">
        <v>41335</v>
      </c>
      <c r="P343" t="s">
        <v>84</v>
      </c>
      <c r="Q343">
        <v>1</v>
      </c>
      <c r="R343" t="s">
        <v>83</v>
      </c>
      <c r="S343" t="s">
        <v>349</v>
      </c>
      <c r="T343" t="s">
        <v>349</v>
      </c>
      <c r="U343">
        <v>0</v>
      </c>
      <c r="V343">
        <v>6059.26</v>
      </c>
      <c r="W343">
        <v>0</v>
      </c>
    </row>
    <row r="344" spans="1:23" x14ac:dyDescent="0.25">
      <c r="A344" s="1">
        <v>44166</v>
      </c>
      <c r="B344" s="1">
        <v>44166</v>
      </c>
      <c r="C344" t="s">
        <v>157</v>
      </c>
      <c r="D344" t="s">
        <v>93</v>
      </c>
      <c r="E344" t="s">
        <v>49</v>
      </c>
      <c r="F344" t="s">
        <v>268</v>
      </c>
      <c r="G344" s="53">
        <v>44251.474293981482</v>
      </c>
      <c r="H344">
        <v>33</v>
      </c>
      <c r="I344" t="s">
        <v>349</v>
      </c>
      <c r="J344" t="s">
        <v>50</v>
      </c>
      <c r="K344" t="s">
        <v>50</v>
      </c>
      <c r="L344" t="s">
        <v>159</v>
      </c>
      <c r="M344" t="s">
        <v>51</v>
      </c>
      <c r="N344" t="s">
        <v>92</v>
      </c>
      <c r="O344" s="1">
        <v>41335</v>
      </c>
      <c r="P344" t="s">
        <v>84</v>
      </c>
      <c r="Q344">
        <v>1</v>
      </c>
      <c r="R344" t="s">
        <v>83</v>
      </c>
      <c r="S344">
        <v>1</v>
      </c>
      <c r="T344">
        <v>882</v>
      </c>
      <c r="U344" t="s">
        <v>349</v>
      </c>
      <c r="V344" t="s">
        <v>349</v>
      </c>
      <c r="W344">
        <v>882</v>
      </c>
    </row>
    <row r="345" spans="1:23" x14ac:dyDescent="0.25">
      <c r="A345" s="1">
        <v>44166</v>
      </c>
      <c r="B345" s="1">
        <v>44166</v>
      </c>
      <c r="C345" t="s">
        <v>157</v>
      </c>
      <c r="D345" t="s">
        <v>48</v>
      </c>
      <c r="E345" t="s">
        <v>49</v>
      </c>
      <c r="F345" t="s">
        <v>267</v>
      </c>
      <c r="G345" s="53">
        <v>44203.692604166667</v>
      </c>
      <c r="H345">
        <v>33</v>
      </c>
      <c r="I345">
        <v>16938</v>
      </c>
      <c r="J345" t="s">
        <v>50</v>
      </c>
      <c r="K345" t="s">
        <v>50</v>
      </c>
      <c r="L345" t="s">
        <v>159</v>
      </c>
      <c r="M345" t="s">
        <v>51</v>
      </c>
      <c r="N345" t="s">
        <v>92</v>
      </c>
      <c r="O345" s="1">
        <v>41335</v>
      </c>
      <c r="P345" t="s">
        <v>84</v>
      </c>
      <c r="Q345">
        <v>1</v>
      </c>
      <c r="R345" t="s">
        <v>83</v>
      </c>
      <c r="S345">
        <v>3655.0122390000001</v>
      </c>
      <c r="T345">
        <v>80.344999999999999</v>
      </c>
      <c r="U345" t="s">
        <v>349</v>
      </c>
      <c r="V345" t="s">
        <v>349</v>
      </c>
      <c r="W345">
        <v>293662</v>
      </c>
    </row>
    <row r="346" spans="1:23" x14ac:dyDescent="0.25">
      <c r="A346" s="1">
        <v>44166</v>
      </c>
      <c r="B346" s="1">
        <v>44166</v>
      </c>
      <c r="C346" t="s">
        <v>157</v>
      </c>
      <c r="D346" t="s">
        <v>54</v>
      </c>
      <c r="E346" t="s">
        <v>21</v>
      </c>
      <c r="F346" t="s">
        <v>265</v>
      </c>
      <c r="G346" s="53">
        <v>44203.692604166667</v>
      </c>
      <c r="H346">
        <v>33</v>
      </c>
      <c r="I346">
        <v>16938</v>
      </c>
      <c r="J346" t="s">
        <v>50</v>
      </c>
      <c r="K346" t="s">
        <v>50</v>
      </c>
      <c r="L346" t="s">
        <v>159</v>
      </c>
      <c r="M346" t="s">
        <v>51</v>
      </c>
      <c r="N346" t="s">
        <v>92</v>
      </c>
      <c r="O346" s="1">
        <v>41335</v>
      </c>
      <c r="P346" t="s">
        <v>84</v>
      </c>
      <c r="Q346">
        <v>2</v>
      </c>
      <c r="R346" t="s">
        <v>94</v>
      </c>
      <c r="S346" t="s">
        <v>349</v>
      </c>
      <c r="T346" t="s">
        <v>349</v>
      </c>
      <c r="U346">
        <v>0</v>
      </c>
      <c r="V346">
        <v>6135.33</v>
      </c>
      <c r="W346">
        <v>0</v>
      </c>
    </row>
    <row r="347" spans="1:23" x14ac:dyDescent="0.25">
      <c r="A347" s="1">
        <v>44166</v>
      </c>
      <c r="B347" s="1">
        <v>44166</v>
      </c>
      <c r="C347" t="s">
        <v>157</v>
      </c>
      <c r="D347" t="s">
        <v>93</v>
      </c>
      <c r="E347" t="s">
        <v>49</v>
      </c>
      <c r="F347" t="s">
        <v>268</v>
      </c>
      <c r="G347" s="53">
        <v>44251.474293981482</v>
      </c>
      <c r="H347">
        <v>33</v>
      </c>
      <c r="I347" t="s">
        <v>349</v>
      </c>
      <c r="J347" t="s">
        <v>50</v>
      </c>
      <c r="K347" t="s">
        <v>50</v>
      </c>
      <c r="L347" t="s">
        <v>159</v>
      </c>
      <c r="M347" t="s">
        <v>51</v>
      </c>
      <c r="N347" t="s">
        <v>92</v>
      </c>
      <c r="O347" s="1">
        <v>41335</v>
      </c>
      <c r="P347" t="s">
        <v>84</v>
      </c>
      <c r="Q347">
        <v>2</v>
      </c>
      <c r="R347" t="s">
        <v>94</v>
      </c>
      <c r="S347">
        <v>1</v>
      </c>
      <c r="T347">
        <v>4</v>
      </c>
      <c r="U347" t="s">
        <v>349</v>
      </c>
      <c r="V347" t="s">
        <v>349</v>
      </c>
      <c r="W347">
        <v>4</v>
      </c>
    </row>
    <row r="348" spans="1:23" x14ac:dyDescent="0.25">
      <c r="A348" s="1">
        <v>44166</v>
      </c>
      <c r="B348" s="1">
        <v>44166</v>
      </c>
      <c r="C348" t="s">
        <v>157</v>
      </c>
      <c r="D348" t="s">
        <v>48</v>
      </c>
      <c r="E348" t="s">
        <v>49</v>
      </c>
      <c r="F348" t="s">
        <v>267</v>
      </c>
      <c r="G348" s="53">
        <v>44203.692604166667</v>
      </c>
      <c r="H348">
        <v>33</v>
      </c>
      <c r="I348">
        <v>16938</v>
      </c>
      <c r="J348" t="s">
        <v>50</v>
      </c>
      <c r="K348" t="s">
        <v>50</v>
      </c>
      <c r="L348" t="s">
        <v>159</v>
      </c>
      <c r="M348" t="s">
        <v>51</v>
      </c>
      <c r="N348" t="s">
        <v>92</v>
      </c>
      <c r="O348" s="1">
        <v>41335</v>
      </c>
      <c r="P348" t="s">
        <v>84</v>
      </c>
      <c r="Q348">
        <v>2</v>
      </c>
      <c r="R348" t="s">
        <v>94</v>
      </c>
      <c r="S348">
        <v>14.851406000000001</v>
      </c>
      <c r="T348">
        <v>81.489000000000004</v>
      </c>
      <c r="U348" t="s">
        <v>349</v>
      </c>
      <c r="V348" t="s">
        <v>349</v>
      </c>
      <c r="W348">
        <v>1210</v>
      </c>
    </row>
    <row r="349" spans="1:23" x14ac:dyDescent="0.25">
      <c r="A349" s="1">
        <v>44166</v>
      </c>
      <c r="B349" s="1">
        <v>44166</v>
      </c>
      <c r="C349" t="s">
        <v>157</v>
      </c>
      <c r="D349" t="s">
        <v>54</v>
      </c>
      <c r="E349" t="s">
        <v>21</v>
      </c>
      <c r="F349" t="s">
        <v>265</v>
      </c>
      <c r="G349" s="53">
        <v>44203.692604166667</v>
      </c>
      <c r="H349">
        <v>33</v>
      </c>
      <c r="I349">
        <v>16938</v>
      </c>
      <c r="J349" t="s">
        <v>50</v>
      </c>
      <c r="K349" t="s">
        <v>50</v>
      </c>
      <c r="L349" t="s">
        <v>159</v>
      </c>
      <c r="M349" t="s">
        <v>51</v>
      </c>
      <c r="N349" t="s">
        <v>92</v>
      </c>
      <c r="O349" s="1">
        <v>41335</v>
      </c>
      <c r="P349" t="s">
        <v>84</v>
      </c>
      <c r="Q349">
        <v>3</v>
      </c>
      <c r="R349" t="s">
        <v>81</v>
      </c>
      <c r="S349" t="s">
        <v>349</v>
      </c>
      <c r="T349" t="s">
        <v>349</v>
      </c>
      <c r="U349">
        <v>0</v>
      </c>
      <c r="V349">
        <v>5857.6</v>
      </c>
      <c r="W349">
        <v>0</v>
      </c>
    </row>
    <row r="350" spans="1:23" x14ac:dyDescent="0.25">
      <c r="A350" s="1">
        <v>44166</v>
      </c>
      <c r="B350" s="1">
        <v>44166</v>
      </c>
      <c r="C350" t="s">
        <v>157</v>
      </c>
      <c r="D350" t="s">
        <v>93</v>
      </c>
      <c r="E350" t="s">
        <v>49</v>
      </c>
      <c r="F350" t="s">
        <v>268</v>
      </c>
      <c r="G350" s="53">
        <v>44251.474293981482</v>
      </c>
      <c r="H350">
        <v>33</v>
      </c>
      <c r="I350" t="s">
        <v>349</v>
      </c>
      <c r="J350" t="s">
        <v>50</v>
      </c>
      <c r="K350" t="s">
        <v>50</v>
      </c>
      <c r="L350" t="s">
        <v>159</v>
      </c>
      <c r="M350" t="s">
        <v>51</v>
      </c>
      <c r="N350" t="s">
        <v>92</v>
      </c>
      <c r="O350" s="1">
        <v>41335</v>
      </c>
      <c r="P350" t="s">
        <v>84</v>
      </c>
      <c r="Q350">
        <v>3</v>
      </c>
      <c r="R350" t="s">
        <v>81</v>
      </c>
      <c r="S350">
        <v>1</v>
      </c>
      <c r="T350">
        <v>128</v>
      </c>
      <c r="U350" t="s">
        <v>349</v>
      </c>
      <c r="V350" t="s">
        <v>349</v>
      </c>
      <c r="W350">
        <v>128</v>
      </c>
    </row>
    <row r="351" spans="1:23" x14ac:dyDescent="0.25">
      <c r="A351" s="1">
        <v>44166</v>
      </c>
      <c r="B351" s="1">
        <v>44166</v>
      </c>
      <c r="C351" t="s">
        <v>157</v>
      </c>
      <c r="D351" t="s">
        <v>48</v>
      </c>
      <c r="E351" t="s">
        <v>49</v>
      </c>
      <c r="F351" t="s">
        <v>267</v>
      </c>
      <c r="G351" s="53">
        <v>44203.692604166667</v>
      </c>
      <c r="H351">
        <v>33</v>
      </c>
      <c r="I351">
        <v>16938</v>
      </c>
      <c r="J351" t="s">
        <v>50</v>
      </c>
      <c r="K351" t="s">
        <v>50</v>
      </c>
      <c r="L351" t="s">
        <v>159</v>
      </c>
      <c r="M351" t="s">
        <v>51</v>
      </c>
      <c r="N351" t="s">
        <v>92</v>
      </c>
      <c r="O351" s="1">
        <v>41335</v>
      </c>
      <c r="P351" t="s">
        <v>84</v>
      </c>
      <c r="Q351">
        <v>3</v>
      </c>
      <c r="R351" t="s">
        <v>81</v>
      </c>
      <c r="S351">
        <v>555.09301300000004</v>
      </c>
      <c r="T351">
        <v>76.656999999999996</v>
      </c>
      <c r="U351" t="s">
        <v>349</v>
      </c>
      <c r="V351" t="s">
        <v>349</v>
      </c>
      <c r="W351">
        <v>42552</v>
      </c>
    </row>
    <row r="352" spans="1:23" x14ac:dyDescent="0.25">
      <c r="A352" s="1">
        <v>44166</v>
      </c>
      <c r="B352" s="1">
        <v>44166</v>
      </c>
      <c r="C352" t="s">
        <v>157</v>
      </c>
      <c r="D352" t="s">
        <v>54</v>
      </c>
      <c r="E352" t="s">
        <v>21</v>
      </c>
      <c r="F352" t="s">
        <v>265</v>
      </c>
      <c r="G352" s="53">
        <v>44203.692604166667</v>
      </c>
      <c r="H352">
        <v>33</v>
      </c>
      <c r="I352">
        <v>16938</v>
      </c>
      <c r="J352" t="s">
        <v>50</v>
      </c>
      <c r="K352" t="s">
        <v>50</v>
      </c>
      <c r="L352" t="s">
        <v>159</v>
      </c>
      <c r="M352" t="s">
        <v>51</v>
      </c>
      <c r="N352" t="s">
        <v>92</v>
      </c>
      <c r="O352" s="1">
        <v>41335</v>
      </c>
      <c r="P352" t="s">
        <v>84</v>
      </c>
      <c r="Q352">
        <v>4</v>
      </c>
      <c r="R352" t="s">
        <v>27</v>
      </c>
      <c r="S352" t="s">
        <v>349</v>
      </c>
      <c r="T352" t="s">
        <v>349</v>
      </c>
      <c r="U352">
        <v>0</v>
      </c>
      <c r="V352">
        <v>5984.39</v>
      </c>
      <c r="W352">
        <v>0</v>
      </c>
    </row>
    <row r="353" spans="1:23" x14ac:dyDescent="0.25">
      <c r="A353" s="1">
        <v>44166</v>
      </c>
      <c r="B353" s="1">
        <v>44166</v>
      </c>
      <c r="C353" t="s">
        <v>157</v>
      </c>
      <c r="D353" t="s">
        <v>93</v>
      </c>
      <c r="E353" t="s">
        <v>49</v>
      </c>
      <c r="F353" t="s">
        <v>268</v>
      </c>
      <c r="G353" s="53">
        <v>44251.474293981482</v>
      </c>
      <c r="H353">
        <v>33</v>
      </c>
      <c r="I353" t="s">
        <v>349</v>
      </c>
      <c r="J353" t="s">
        <v>50</v>
      </c>
      <c r="K353" t="s">
        <v>50</v>
      </c>
      <c r="L353" t="s">
        <v>159</v>
      </c>
      <c r="M353" t="s">
        <v>51</v>
      </c>
      <c r="N353" t="s">
        <v>92</v>
      </c>
      <c r="O353" s="1">
        <v>41335</v>
      </c>
      <c r="P353" t="s">
        <v>84</v>
      </c>
      <c r="Q353">
        <v>4</v>
      </c>
      <c r="R353" t="s">
        <v>27</v>
      </c>
      <c r="S353">
        <v>1</v>
      </c>
      <c r="T353">
        <v>1055</v>
      </c>
      <c r="U353" t="s">
        <v>349</v>
      </c>
      <c r="V353" t="s">
        <v>349</v>
      </c>
      <c r="W353">
        <v>1055</v>
      </c>
    </row>
    <row r="354" spans="1:23" x14ac:dyDescent="0.25">
      <c r="A354" s="1">
        <v>44166</v>
      </c>
      <c r="B354" s="1">
        <v>44166</v>
      </c>
      <c r="C354" t="s">
        <v>157</v>
      </c>
      <c r="D354" t="s">
        <v>48</v>
      </c>
      <c r="E354" t="s">
        <v>49</v>
      </c>
      <c r="F354" t="s">
        <v>267</v>
      </c>
      <c r="G354" s="53">
        <v>44203.692604166667</v>
      </c>
      <c r="H354">
        <v>33</v>
      </c>
      <c r="I354">
        <v>16938</v>
      </c>
      <c r="J354" t="s">
        <v>50</v>
      </c>
      <c r="K354" t="s">
        <v>50</v>
      </c>
      <c r="L354" t="s">
        <v>159</v>
      </c>
      <c r="M354" t="s">
        <v>51</v>
      </c>
      <c r="N354" t="s">
        <v>92</v>
      </c>
      <c r="O354" s="1">
        <v>41335</v>
      </c>
      <c r="P354" t="s">
        <v>84</v>
      </c>
      <c r="Q354">
        <v>4</v>
      </c>
      <c r="R354" t="s">
        <v>27</v>
      </c>
      <c r="S354">
        <v>4574.312688</v>
      </c>
      <c r="T354">
        <v>76.781000000000006</v>
      </c>
      <c r="U354" t="s">
        <v>349</v>
      </c>
      <c r="V354" t="s">
        <v>349</v>
      </c>
      <c r="W354">
        <v>351220</v>
      </c>
    </row>
    <row r="355" spans="1:23" x14ac:dyDescent="0.25">
      <c r="A355" s="1">
        <v>44166</v>
      </c>
      <c r="B355" s="1">
        <v>44166</v>
      </c>
      <c r="C355" t="s">
        <v>157</v>
      </c>
      <c r="D355" t="s">
        <v>54</v>
      </c>
      <c r="E355" t="s">
        <v>21</v>
      </c>
      <c r="F355" t="s">
        <v>265</v>
      </c>
      <c r="G355" s="53">
        <v>44203.692604166667</v>
      </c>
      <c r="H355">
        <v>33</v>
      </c>
      <c r="I355">
        <v>16938</v>
      </c>
      <c r="J355" t="s">
        <v>50</v>
      </c>
      <c r="K355" t="s">
        <v>50</v>
      </c>
      <c r="L355" t="s">
        <v>159</v>
      </c>
      <c r="M355" t="s">
        <v>51</v>
      </c>
      <c r="N355" t="s">
        <v>92</v>
      </c>
      <c r="O355" s="1">
        <v>41335</v>
      </c>
      <c r="P355" t="s">
        <v>84</v>
      </c>
      <c r="Q355">
        <v>5</v>
      </c>
      <c r="R355" t="s">
        <v>28</v>
      </c>
      <c r="S355" t="s">
        <v>349</v>
      </c>
      <c r="T355" t="s">
        <v>349</v>
      </c>
      <c r="U355">
        <v>0</v>
      </c>
      <c r="V355">
        <v>5746.51</v>
      </c>
      <c r="W355">
        <v>0</v>
      </c>
    </row>
    <row r="356" spans="1:23" x14ac:dyDescent="0.25">
      <c r="A356" s="1">
        <v>44166</v>
      </c>
      <c r="B356" s="1">
        <v>44166</v>
      </c>
      <c r="C356" t="s">
        <v>157</v>
      </c>
      <c r="D356" t="s">
        <v>93</v>
      </c>
      <c r="E356" t="s">
        <v>49</v>
      </c>
      <c r="F356" t="s">
        <v>268</v>
      </c>
      <c r="G356" s="53">
        <v>44251.474293981482</v>
      </c>
      <c r="H356">
        <v>33</v>
      </c>
      <c r="I356" t="s">
        <v>349</v>
      </c>
      <c r="J356" t="s">
        <v>50</v>
      </c>
      <c r="K356" t="s">
        <v>50</v>
      </c>
      <c r="L356" t="s">
        <v>159</v>
      </c>
      <c r="M356" t="s">
        <v>51</v>
      </c>
      <c r="N356" t="s">
        <v>92</v>
      </c>
      <c r="O356" s="1">
        <v>41335</v>
      </c>
      <c r="P356" t="s">
        <v>84</v>
      </c>
      <c r="Q356">
        <v>5</v>
      </c>
      <c r="R356" t="s">
        <v>28</v>
      </c>
      <c r="S356">
        <v>1</v>
      </c>
      <c r="T356">
        <v>4</v>
      </c>
      <c r="U356" t="s">
        <v>349</v>
      </c>
      <c r="V356" t="s">
        <v>349</v>
      </c>
      <c r="W356">
        <v>4</v>
      </c>
    </row>
    <row r="357" spans="1:23" x14ac:dyDescent="0.25">
      <c r="A357" s="1">
        <v>44166</v>
      </c>
      <c r="B357" s="1">
        <v>44166</v>
      </c>
      <c r="C357" t="s">
        <v>157</v>
      </c>
      <c r="D357" t="s">
        <v>48</v>
      </c>
      <c r="E357" t="s">
        <v>49</v>
      </c>
      <c r="F357" t="s">
        <v>267</v>
      </c>
      <c r="G357" s="53">
        <v>44203.692604166667</v>
      </c>
      <c r="H357">
        <v>33</v>
      </c>
      <c r="I357">
        <v>16938</v>
      </c>
      <c r="J357" t="s">
        <v>50</v>
      </c>
      <c r="K357" t="s">
        <v>50</v>
      </c>
      <c r="L357" t="s">
        <v>159</v>
      </c>
      <c r="M357" t="s">
        <v>51</v>
      </c>
      <c r="N357" t="s">
        <v>92</v>
      </c>
      <c r="O357" s="1">
        <v>41335</v>
      </c>
      <c r="P357" t="s">
        <v>84</v>
      </c>
      <c r="Q357">
        <v>5</v>
      </c>
      <c r="R357" t="s">
        <v>28</v>
      </c>
      <c r="S357">
        <v>18.685690000000001</v>
      </c>
      <c r="T357">
        <v>79.340999999999994</v>
      </c>
      <c r="U357" t="s">
        <v>349</v>
      </c>
      <c r="V357" t="s">
        <v>349</v>
      </c>
      <c r="W357">
        <v>1483</v>
      </c>
    </row>
    <row r="358" spans="1:23" x14ac:dyDescent="0.25">
      <c r="A358" s="1">
        <v>44197</v>
      </c>
      <c r="B358" s="1">
        <v>44197</v>
      </c>
      <c r="C358" t="s">
        <v>157</v>
      </c>
      <c r="D358" t="s">
        <v>54</v>
      </c>
      <c r="E358" t="s">
        <v>21</v>
      </c>
      <c r="F358" t="s">
        <v>274</v>
      </c>
      <c r="G358" s="53">
        <v>44235.838287037041</v>
      </c>
      <c r="H358">
        <v>33</v>
      </c>
      <c r="I358">
        <v>17339</v>
      </c>
      <c r="J358" t="s">
        <v>50</v>
      </c>
      <c r="K358" t="s">
        <v>50</v>
      </c>
      <c r="L358" t="s">
        <v>159</v>
      </c>
      <c r="M358" t="s">
        <v>51</v>
      </c>
      <c r="N358" t="s">
        <v>92</v>
      </c>
      <c r="O358" s="1">
        <v>41335</v>
      </c>
      <c r="P358" t="s">
        <v>84</v>
      </c>
      <c r="Q358">
        <v>1</v>
      </c>
      <c r="R358" t="s">
        <v>83</v>
      </c>
      <c r="S358" t="s">
        <v>349</v>
      </c>
      <c r="T358" t="s">
        <v>349</v>
      </c>
      <c r="U358">
        <v>0</v>
      </c>
      <c r="V358">
        <v>5914.42</v>
      </c>
      <c r="W358">
        <v>0</v>
      </c>
    </row>
    <row r="359" spans="1:23" x14ac:dyDescent="0.25">
      <c r="A359" s="1">
        <v>44197</v>
      </c>
      <c r="B359" s="1">
        <v>44197</v>
      </c>
      <c r="C359" t="s">
        <v>157</v>
      </c>
      <c r="D359" t="s">
        <v>93</v>
      </c>
      <c r="E359" t="s">
        <v>49</v>
      </c>
      <c r="F359" t="s">
        <v>270</v>
      </c>
      <c r="G359" s="53">
        <v>44273.429872685185</v>
      </c>
      <c r="H359">
        <v>61</v>
      </c>
      <c r="I359" t="s">
        <v>349</v>
      </c>
      <c r="J359" t="s">
        <v>50</v>
      </c>
      <c r="K359" t="s">
        <v>50</v>
      </c>
      <c r="L359" t="s">
        <v>159</v>
      </c>
      <c r="M359" t="s">
        <v>51</v>
      </c>
      <c r="N359" t="s">
        <v>92</v>
      </c>
      <c r="O359" s="1">
        <v>41335</v>
      </c>
      <c r="P359" t="s">
        <v>84</v>
      </c>
      <c r="Q359">
        <v>1</v>
      </c>
      <c r="R359" t="s">
        <v>83</v>
      </c>
      <c r="S359">
        <v>1</v>
      </c>
      <c r="T359">
        <v>-332</v>
      </c>
      <c r="U359" t="s">
        <v>349</v>
      </c>
      <c r="V359" t="s">
        <v>349</v>
      </c>
      <c r="W359">
        <v>-332</v>
      </c>
    </row>
    <row r="360" spans="1:23" x14ac:dyDescent="0.25">
      <c r="A360" s="1">
        <v>44197</v>
      </c>
      <c r="B360" s="1">
        <v>44197</v>
      </c>
      <c r="C360" t="s">
        <v>157</v>
      </c>
      <c r="D360" t="s">
        <v>48</v>
      </c>
      <c r="E360" t="s">
        <v>49</v>
      </c>
      <c r="F360" t="s">
        <v>272</v>
      </c>
      <c r="G360" s="53">
        <v>44235.838287037041</v>
      </c>
      <c r="H360">
        <v>33</v>
      </c>
      <c r="I360">
        <v>17339</v>
      </c>
      <c r="J360" t="s">
        <v>50</v>
      </c>
      <c r="K360" t="s">
        <v>50</v>
      </c>
      <c r="L360" t="s">
        <v>159</v>
      </c>
      <c r="M360" t="s">
        <v>51</v>
      </c>
      <c r="N360" t="s">
        <v>92</v>
      </c>
      <c r="O360" s="1">
        <v>41335</v>
      </c>
      <c r="P360" t="s">
        <v>84</v>
      </c>
      <c r="Q360">
        <v>1</v>
      </c>
      <c r="R360" t="s">
        <v>83</v>
      </c>
      <c r="S360">
        <v>2962.3663649999999</v>
      </c>
      <c r="T360">
        <v>85.203000000000003</v>
      </c>
      <c r="U360" t="s">
        <v>349</v>
      </c>
      <c r="V360" t="s">
        <v>349</v>
      </c>
      <c r="W360">
        <v>252403</v>
      </c>
    </row>
    <row r="361" spans="1:23" x14ac:dyDescent="0.25">
      <c r="A361" s="1">
        <v>44197</v>
      </c>
      <c r="B361" s="1">
        <v>44197</v>
      </c>
      <c r="C361" t="s">
        <v>157</v>
      </c>
      <c r="D361" t="s">
        <v>54</v>
      </c>
      <c r="E361" t="s">
        <v>21</v>
      </c>
      <c r="F361" t="s">
        <v>274</v>
      </c>
      <c r="G361" s="53">
        <v>44235.838287037041</v>
      </c>
      <c r="H361">
        <v>33</v>
      </c>
      <c r="I361">
        <v>17339</v>
      </c>
      <c r="J361" t="s">
        <v>50</v>
      </c>
      <c r="K361" t="s">
        <v>50</v>
      </c>
      <c r="L361" t="s">
        <v>159</v>
      </c>
      <c r="M361" t="s">
        <v>51</v>
      </c>
      <c r="N361" t="s">
        <v>92</v>
      </c>
      <c r="O361" s="1">
        <v>41335</v>
      </c>
      <c r="P361" t="s">
        <v>84</v>
      </c>
      <c r="Q361">
        <v>2</v>
      </c>
      <c r="R361" t="s">
        <v>94</v>
      </c>
      <c r="S361" t="s">
        <v>349</v>
      </c>
      <c r="T361" t="s">
        <v>349</v>
      </c>
      <c r="U361">
        <v>0</v>
      </c>
      <c r="V361">
        <v>6007.37</v>
      </c>
      <c r="W361">
        <v>0</v>
      </c>
    </row>
    <row r="362" spans="1:23" x14ac:dyDescent="0.25">
      <c r="A362" s="1">
        <v>44197</v>
      </c>
      <c r="B362" s="1">
        <v>44197</v>
      </c>
      <c r="C362" t="s">
        <v>157</v>
      </c>
      <c r="D362" t="s">
        <v>93</v>
      </c>
      <c r="E362" t="s">
        <v>49</v>
      </c>
      <c r="F362" t="s">
        <v>270</v>
      </c>
      <c r="G362" s="53">
        <v>44273.429872685185</v>
      </c>
      <c r="H362">
        <v>61</v>
      </c>
      <c r="I362" t="s">
        <v>349</v>
      </c>
      <c r="J362" t="s">
        <v>50</v>
      </c>
      <c r="K362" t="s">
        <v>50</v>
      </c>
      <c r="L362" t="s">
        <v>159</v>
      </c>
      <c r="M362" t="s">
        <v>51</v>
      </c>
      <c r="N362" t="s">
        <v>92</v>
      </c>
      <c r="O362" s="1">
        <v>41335</v>
      </c>
      <c r="P362" t="s">
        <v>84</v>
      </c>
      <c r="Q362">
        <v>2</v>
      </c>
      <c r="R362" t="s">
        <v>94</v>
      </c>
      <c r="S362">
        <v>1</v>
      </c>
      <c r="T362">
        <v>-1</v>
      </c>
      <c r="U362" t="s">
        <v>349</v>
      </c>
      <c r="V362" t="s">
        <v>349</v>
      </c>
      <c r="W362">
        <v>-1</v>
      </c>
    </row>
    <row r="363" spans="1:23" x14ac:dyDescent="0.25">
      <c r="A363" s="1">
        <v>44197</v>
      </c>
      <c r="B363" s="1">
        <v>44197</v>
      </c>
      <c r="C363" t="s">
        <v>157</v>
      </c>
      <c r="D363" t="s">
        <v>48</v>
      </c>
      <c r="E363" t="s">
        <v>49</v>
      </c>
      <c r="F363" t="s">
        <v>272</v>
      </c>
      <c r="G363" s="53">
        <v>44235.838287037041</v>
      </c>
      <c r="H363">
        <v>33</v>
      </c>
      <c r="I363">
        <v>17339</v>
      </c>
      <c r="J363" t="s">
        <v>50</v>
      </c>
      <c r="K363" t="s">
        <v>50</v>
      </c>
      <c r="L363" t="s">
        <v>159</v>
      </c>
      <c r="M363" t="s">
        <v>51</v>
      </c>
      <c r="N363" t="s">
        <v>92</v>
      </c>
      <c r="O363" s="1">
        <v>41335</v>
      </c>
      <c r="P363" t="s">
        <v>84</v>
      </c>
      <c r="Q363">
        <v>2</v>
      </c>
      <c r="R363" t="s">
        <v>94</v>
      </c>
      <c r="S363">
        <v>9.6260829999999995</v>
      </c>
      <c r="T363">
        <v>86.819000000000003</v>
      </c>
      <c r="U363" t="s">
        <v>349</v>
      </c>
      <c r="V363" t="s">
        <v>349</v>
      </c>
      <c r="W363">
        <v>836</v>
      </c>
    </row>
    <row r="364" spans="1:23" x14ac:dyDescent="0.25">
      <c r="A364" s="1">
        <v>44197</v>
      </c>
      <c r="B364" s="1">
        <v>44197</v>
      </c>
      <c r="C364" t="s">
        <v>157</v>
      </c>
      <c r="D364" t="s">
        <v>54</v>
      </c>
      <c r="E364" t="s">
        <v>21</v>
      </c>
      <c r="F364" t="s">
        <v>274</v>
      </c>
      <c r="G364" s="53">
        <v>44235.838287037041</v>
      </c>
      <c r="H364">
        <v>33</v>
      </c>
      <c r="I364">
        <v>17339</v>
      </c>
      <c r="J364" t="s">
        <v>50</v>
      </c>
      <c r="K364" t="s">
        <v>50</v>
      </c>
      <c r="L364" t="s">
        <v>159</v>
      </c>
      <c r="M364" t="s">
        <v>51</v>
      </c>
      <c r="N364" t="s">
        <v>92</v>
      </c>
      <c r="O364" s="1">
        <v>41335</v>
      </c>
      <c r="P364" t="s">
        <v>84</v>
      </c>
      <c r="Q364">
        <v>3</v>
      </c>
      <c r="R364" t="s">
        <v>81</v>
      </c>
      <c r="S364" t="s">
        <v>349</v>
      </c>
      <c r="T364" t="s">
        <v>349</v>
      </c>
      <c r="U364">
        <v>0</v>
      </c>
      <c r="V364">
        <v>5302.48</v>
      </c>
      <c r="W364">
        <v>0</v>
      </c>
    </row>
    <row r="365" spans="1:23" x14ac:dyDescent="0.25">
      <c r="A365" s="1">
        <v>44197</v>
      </c>
      <c r="B365" s="1">
        <v>44197</v>
      </c>
      <c r="C365" t="s">
        <v>157</v>
      </c>
      <c r="D365" t="s">
        <v>93</v>
      </c>
      <c r="E365" t="s">
        <v>49</v>
      </c>
      <c r="F365" t="s">
        <v>270</v>
      </c>
      <c r="G365" s="53">
        <v>44273.429872685185</v>
      </c>
      <c r="H365">
        <v>61</v>
      </c>
      <c r="I365" t="s">
        <v>349</v>
      </c>
      <c r="J365" t="s">
        <v>50</v>
      </c>
      <c r="K365" t="s">
        <v>50</v>
      </c>
      <c r="L365" t="s">
        <v>159</v>
      </c>
      <c r="M365" t="s">
        <v>51</v>
      </c>
      <c r="N365" t="s">
        <v>92</v>
      </c>
      <c r="O365" s="1">
        <v>41335</v>
      </c>
      <c r="P365" t="s">
        <v>84</v>
      </c>
      <c r="Q365">
        <v>3</v>
      </c>
      <c r="R365" t="s">
        <v>81</v>
      </c>
      <c r="S365">
        <v>1</v>
      </c>
      <c r="T365">
        <v>-33</v>
      </c>
      <c r="U365" t="s">
        <v>349</v>
      </c>
      <c r="V365" t="s">
        <v>349</v>
      </c>
      <c r="W365">
        <v>-33</v>
      </c>
    </row>
    <row r="366" spans="1:23" x14ac:dyDescent="0.25">
      <c r="A366" s="1">
        <v>44197</v>
      </c>
      <c r="B366" s="1">
        <v>44197</v>
      </c>
      <c r="C366" t="s">
        <v>157</v>
      </c>
      <c r="D366" t="s">
        <v>48</v>
      </c>
      <c r="E366" t="s">
        <v>49</v>
      </c>
      <c r="F366" t="s">
        <v>272</v>
      </c>
      <c r="G366" s="53">
        <v>44235.838287037041</v>
      </c>
      <c r="H366">
        <v>33</v>
      </c>
      <c r="I366">
        <v>17339</v>
      </c>
      <c r="J366" t="s">
        <v>50</v>
      </c>
      <c r="K366" t="s">
        <v>50</v>
      </c>
      <c r="L366" t="s">
        <v>159</v>
      </c>
      <c r="M366" t="s">
        <v>51</v>
      </c>
      <c r="N366" t="s">
        <v>92</v>
      </c>
      <c r="O366" s="1">
        <v>41335</v>
      </c>
      <c r="P366" t="s">
        <v>84</v>
      </c>
      <c r="Q366">
        <v>3</v>
      </c>
      <c r="R366" t="s">
        <v>81</v>
      </c>
      <c r="S366">
        <v>320.36813000000001</v>
      </c>
      <c r="T366">
        <v>78.597999999999999</v>
      </c>
      <c r="U366" t="s">
        <v>349</v>
      </c>
      <c r="V366" t="s">
        <v>349</v>
      </c>
      <c r="W366">
        <v>25180</v>
      </c>
    </row>
    <row r="367" spans="1:23" x14ac:dyDescent="0.25">
      <c r="A367" s="1">
        <v>44197</v>
      </c>
      <c r="B367" s="1">
        <v>44197</v>
      </c>
      <c r="C367" t="s">
        <v>157</v>
      </c>
      <c r="D367" t="s">
        <v>54</v>
      </c>
      <c r="E367" t="s">
        <v>21</v>
      </c>
      <c r="F367" t="s">
        <v>274</v>
      </c>
      <c r="G367" s="53">
        <v>44235.838287037041</v>
      </c>
      <c r="H367">
        <v>33</v>
      </c>
      <c r="I367">
        <v>17339</v>
      </c>
      <c r="J367" t="s">
        <v>50</v>
      </c>
      <c r="K367" t="s">
        <v>50</v>
      </c>
      <c r="L367" t="s">
        <v>159</v>
      </c>
      <c r="M367" t="s">
        <v>51</v>
      </c>
      <c r="N367" t="s">
        <v>92</v>
      </c>
      <c r="O367" s="1">
        <v>41335</v>
      </c>
      <c r="P367" t="s">
        <v>84</v>
      </c>
      <c r="Q367">
        <v>4</v>
      </c>
      <c r="R367" t="s">
        <v>27</v>
      </c>
      <c r="S367" t="s">
        <v>349</v>
      </c>
      <c r="T367" t="s">
        <v>349</v>
      </c>
      <c r="U367">
        <v>0</v>
      </c>
      <c r="V367">
        <v>5512.82</v>
      </c>
      <c r="W367">
        <v>0</v>
      </c>
    </row>
    <row r="368" spans="1:23" x14ac:dyDescent="0.25">
      <c r="A368" s="1">
        <v>44197</v>
      </c>
      <c r="B368" s="1">
        <v>44197</v>
      </c>
      <c r="C368" t="s">
        <v>157</v>
      </c>
      <c r="D368" t="s">
        <v>93</v>
      </c>
      <c r="E368" t="s">
        <v>49</v>
      </c>
      <c r="F368" t="s">
        <v>270</v>
      </c>
      <c r="G368" s="53">
        <v>44273.429872685185</v>
      </c>
      <c r="H368">
        <v>61</v>
      </c>
      <c r="I368" t="s">
        <v>349</v>
      </c>
      <c r="J368" t="s">
        <v>50</v>
      </c>
      <c r="K368" t="s">
        <v>50</v>
      </c>
      <c r="L368" t="s">
        <v>159</v>
      </c>
      <c r="M368" t="s">
        <v>51</v>
      </c>
      <c r="N368" t="s">
        <v>92</v>
      </c>
      <c r="O368" s="1">
        <v>41335</v>
      </c>
      <c r="P368" t="s">
        <v>84</v>
      </c>
      <c r="Q368">
        <v>4</v>
      </c>
      <c r="R368" t="s">
        <v>27</v>
      </c>
      <c r="S368">
        <v>1</v>
      </c>
      <c r="T368">
        <v>-385</v>
      </c>
      <c r="U368" t="s">
        <v>349</v>
      </c>
      <c r="V368" t="s">
        <v>349</v>
      </c>
      <c r="W368">
        <v>-385</v>
      </c>
    </row>
    <row r="369" spans="1:23" x14ac:dyDescent="0.25">
      <c r="A369" s="1">
        <v>44197</v>
      </c>
      <c r="B369" s="1">
        <v>44197</v>
      </c>
      <c r="C369" t="s">
        <v>157</v>
      </c>
      <c r="D369" t="s">
        <v>48</v>
      </c>
      <c r="E369" t="s">
        <v>49</v>
      </c>
      <c r="F369" t="s">
        <v>272</v>
      </c>
      <c r="G369" s="53">
        <v>44235.838287037041</v>
      </c>
      <c r="H369">
        <v>33</v>
      </c>
      <c r="I369">
        <v>17339</v>
      </c>
      <c r="J369" t="s">
        <v>50</v>
      </c>
      <c r="K369" t="s">
        <v>50</v>
      </c>
      <c r="L369" t="s">
        <v>159</v>
      </c>
      <c r="M369" t="s">
        <v>51</v>
      </c>
      <c r="N369" t="s">
        <v>92</v>
      </c>
      <c r="O369" s="1">
        <v>41335</v>
      </c>
      <c r="P369" t="s">
        <v>84</v>
      </c>
      <c r="Q369">
        <v>4</v>
      </c>
      <c r="R369" t="s">
        <v>27</v>
      </c>
      <c r="S369">
        <v>3662.8658420000002</v>
      </c>
      <c r="T369">
        <v>80.213999999999999</v>
      </c>
      <c r="U369" t="s">
        <v>349</v>
      </c>
      <c r="V369" t="s">
        <v>349</v>
      </c>
      <c r="W369">
        <v>293813</v>
      </c>
    </row>
    <row r="370" spans="1:23" x14ac:dyDescent="0.25">
      <c r="A370" s="1">
        <v>44197</v>
      </c>
      <c r="B370" s="1">
        <v>44197</v>
      </c>
      <c r="C370" t="s">
        <v>157</v>
      </c>
      <c r="D370" t="s">
        <v>54</v>
      </c>
      <c r="E370" t="s">
        <v>21</v>
      </c>
      <c r="F370" t="s">
        <v>274</v>
      </c>
      <c r="G370" s="53">
        <v>44235.838287037041</v>
      </c>
      <c r="H370">
        <v>33</v>
      </c>
      <c r="I370">
        <v>17339</v>
      </c>
      <c r="J370" t="s">
        <v>50</v>
      </c>
      <c r="K370" t="s">
        <v>50</v>
      </c>
      <c r="L370" t="s">
        <v>159</v>
      </c>
      <c r="M370" t="s">
        <v>51</v>
      </c>
      <c r="N370" t="s">
        <v>92</v>
      </c>
      <c r="O370" s="1">
        <v>41335</v>
      </c>
      <c r="P370" t="s">
        <v>84</v>
      </c>
      <c r="Q370">
        <v>5</v>
      </c>
      <c r="R370" t="s">
        <v>28</v>
      </c>
      <c r="S370" t="s">
        <v>349</v>
      </c>
      <c r="T370" t="s">
        <v>349</v>
      </c>
      <c r="U370">
        <v>0</v>
      </c>
      <c r="V370">
        <v>5963.28</v>
      </c>
      <c r="W370">
        <v>0</v>
      </c>
    </row>
    <row r="371" spans="1:23" x14ac:dyDescent="0.25">
      <c r="A371" s="1">
        <v>44197</v>
      </c>
      <c r="B371" s="1">
        <v>44197</v>
      </c>
      <c r="C371" t="s">
        <v>157</v>
      </c>
      <c r="D371" t="s">
        <v>93</v>
      </c>
      <c r="E371" t="s">
        <v>49</v>
      </c>
      <c r="F371" t="s">
        <v>270</v>
      </c>
      <c r="G371" s="53">
        <v>44273.429872685185</v>
      </c>
      <c r="H371">
        <v>61</v>
      </c>
      <c r="I371" t="s">
        <v>349</v>
      </c>
      <c r="J371" t="s">
        <v>50</v>
      </c>
      <c r="K371" t="s">
        <v>50</v>
      </c>
      <c r="L371" t="s">
        <v>159</v>
      </c>
      <c r="M371" t="s">
        <v>51</v>
      </c>
      <c r="N371" t="s">
        <v>92</v>
      </c>
      <c r="O371" s="1">
        <v>41335</v>
      </c>
      <c r="P371" t="s">
        <v>84</v>
      </c>
      <c r="Q371">
        <v>5</v>
      </c>
      <c r="R371" t="s">
        <v>28</v>
      </c>
      <c r="S371">
        <v>1</v>
      </c>
      <c r="T371">
        <v>-1</v>
      </c>
      <c r="U371" t="s">
        <v>349</v>
      </c>
      <c r="V371" t="s">
        <v>349</v>
      </c>
      <c r="W371">
        <v>-1</v>
      </c>
    </row>
    <row r="372" spans="1:23" x14ac:dyDescent="0.25">
      <c r="A372" s="1">
        <v>44197</v>
      </c>
      <c r="B372" s="1">
        <v>44197</v>
      </c>
      <c r="C372" t="s">
        <v>157</v>
      </c>
      <c r="D372" t="s">
        <v>48</v>
      </c>
      <c r="E372" t="s">
        <v>49</v>
      </c>
      <c r="F372" t="s">
        <v>272</v>
      </c>
      <c r="G372" s="53">
        <v>44235.838287037041</v>
      </c>
      <c r="H372">
        <v>33</v>
      </c>
      <c r="I372">
        <v>17339</v>
      </c>
      <c r="J372" t="s">
        <v>50</v>
      </c>
      <c r="K372" t="s">
        <v>50</v>
      </c>
      <c r="L372" t="s">
        <v>159</v>
      </c>
      <c r="M372" t="s">
        <v>51</v>
      </c>
      <c r="N372" t="s">
        <v>92</v>
      </c>
      <c r="O372" s="1">
        <v>41335</v>
      </c>
      <c r="P372" t="s">
        <v>84</v>
      </c>
      <c r="Q372">
        <v>5</v>
      </c>
      <c r="R372" t="s">
        <v>28</v>
      </c>
      <c r="S372">
        <v>10.591604999999999</v>
      </c>
      <c r="T372">
        <v>86.617999999999995</v>
      </c>
      <c r="U372" t="s">
        <v>349</v>
      </c>
      <c r="V372" t="s">
        <v>349</v>
      </c>
      <c r="W372">
        <v>917</v>
      </c>
    </row>
    <row r="373" spans="1:23" x14ac:dyDescent="0.25">
      <c r="A373" s="1">
        <v>44228</v>
      </c>
      <c r="B373" s="1">
        <v>44228</v>
      </c>
      <c r="C373" t="s">
        <v>157</v>
      </c>
      <c r="D373" t="s">
        <v>54</v>
      </c>
      <c r="E373" t="s">
        <v>21</v>
      </c>
      <c r="F373" t="s">
        <v>275</v>
      </c>
      <c r="G373" s="53">
        <v>44259.815057870372</v>
      </c>
      <c r="H373">
        <v>33</v>
      </c>
      <c r="I373">
        <v>17645</v>
      </c>
      <c r="J373" t="s">
        <v>50</v>
      </c>
      <c r="K373" t="s">
        <v>50</v>
      </c>
      <c r="L373" t="s">
        <v>159</v>
      </c>
      <c r="M373" t="s">
        <v>51</v>
      </c>
      <c r="N373" t="s">
        <v>92</v>
      </c>
      <c r="O373" s="1">
        <v>41335</v>
      </c>
      <c r="P373" t="s">
        <v>84</v>
      </c>
      <c r="Q373">
        <v>1</v>
      </c>
      <c r="R373" t="s">
        <v>83</v>
      </c>
      <c r="S373" t="s">
        <v>349</v>
      </c>
      <c r="T373" t="s">
        <v>349</v>
      </c>
      <c r="U373">
        <v>0</v>
      </c>
      <c r="V373">
        <v>5914.42</v>
      </c>
      <c r="W373">
        <v>0</v>
      </c>
    </row>
    <row r="374" spans="1:23" x14ac:dyDescent="0.25">
      <c r="A374" s="1">
        <v>44228</v>
      </c>
      <c r="B374" s="1">
        <v>44228</v>
      </c>
      <c r="C374" t="s">
        <v>157</v>
      </c>
      <c r="D374" t="s">
        <v>93</v>
      </c>
      <c r="E374" t="s">
        <v>49</v>
      </c>
      <c r="F374" t="s">
        <v>278</v>
      </c>
      <c r="G374" s="53">
        <v>44302.769236111111</v>
      </c>
      <c r="H374">
        <v>33</v>
      </c>
      <c r="I374" t="s">
        <v>349</v>
      </c>
      <c r="J374" t="s">
        <v>50</v>
      </c>
      <c r="K374" t="s">
        <v>50</v>
      </c>
      <c r="L374" t="s">
        <v>159</v>
      </c>
      <c r="M374" t="s">
        <v>51</v>
      </c>
      <c r="N374" t="s">
        <v>92</v>
      </c>
      <c r="O374" s="1">
        <v>41335</v>
      </c>
      <c r="P374" t="s">
        <v>84</v>
      </c>
      <c r="Q374">
        <v>1</v>
      </c>
      <c r="R374" t="s">
        <v>83</v>
      </c>
      <c r="S374">
        <v>1</v>
      </c>
      <c r="T374">
        <v>1042</v>
      </c>
      <c r="U374" t="s">
        <v>349</v>
      </c>
      <c r="V374" t="s">
        <v>349</v>
      </c>
      <c r="W374">
        <v>1042</v>
      </c>
    </row>
    <row r="375" spans="1:23" x14ac:dyDescent="0.25">
      <c r="A375" s="1">
        <v>44228</v>
      </c>
      <c r="B375" s="1">
        <v>44228</v>
      </c>
      <c r="C375" t="s">
        <v>157</v>
      </c>
      <c r="D375" t="s">
        <v>48</v>
      </c>
      <c r="E375" t="s">
        <v>49</v>
      </c>
      <c r="F375" t="s">
        <v>277</v>
      </c>
      <c r="G375" s="53">
        <v>44259.815057870372</v>
      </c>
      <c r="H375">
        <v>33</v>
      </c>
      <c r="I375">
        <v>17645</v>
      </c>
      <c r="J375" t="s">
        <v>50</v>
      </c>
      <c r="K375" t="s">
        <v>50</v>
      </c>
      <c r="L375" t="s">
        <v>159</v>
      </c>
      <c r="M375" t="s">
        <v>51</v>
      </c>
      <c r="N375" t="s">
        <v>92</v>
      </c>
      <c r="O375" s="1">
        <v>41335</v>
      </c>
      <c r="P375" t="s">
        <v>84</v>
      </c>
      <c r="Q375">
        <v>1</v>
      </c>
      <c r="R375" t="s">
        <v>83</v>
      </c>
      <c r="S375">
        <v>2149.7309340000002</v>
      </c>
      <c r="T375">
        <v>85.203000000000003</v>
      </c>
      <c r="U375" t="s">
        <v>349</v>
      </c>
      <c r="V375" t="s">
        <v>349</v>
      </c>
      <c r="W375">
        <v>183164</v>
      </c>
    </row>
    <row r="376" spans="1:23" x14ac:dyDescent="0.25">
      <c r="A376" s="1">
        <v>44228</v>
      </c>
      <c r="B376" s="1">
        <v>44228</v>
      </c>
      <c r="C376" t="s">
        <v>157</v>
      </c>
      <c r="D376" t="s">
        <v>54</v>
      </c>
      <c r="E376" t="s">
        <v>21</v>
      </c>
      <c r="F376" t="s">
        <v>275</v>
      </c>
      <c r="G376" s="53">
        <v>44259.815057870372</v>
      </c>
      <c r="H376">
        <v>33</v>
      </c>
      <c r="I376">
        <v>17645</v>
      </c>
      <c r="J376" t="s">
        <v>50</v>
      </c>
      <c r="K376" t="s">
        <v>50</v>
      </c>
      <c r="L376" t="s">
        <v>159</v>
      </c>
      <c r="M376" t="s">
        <v>51</v>
      </c>
      <c r="N376" t="s">
        <v>92</v>
      </c>
      <c r="O376" s="1">
        <v>41335</v>
      </c>
      <c r="P376" t="s">
        <v>84</v>
      </c>
      <c r="Q376">
        <v>2</v>
      </c>
      <c r="R376" t="s">
        <v>94</v>
      </c>
      <c r="S376" t="s">
        <v>349</v>
      </c>
      <c r="T376" t="s">
        <v>349</v>
      </c>
      <c r="U376">
        <v>0</v>
      </c>
      <c r="V376">
        <v>6007.37</v>
      </c>
      <c r="W376">
        <v>0</v>
      </c>
    </row>
    <row r="377" spans="1:23" x14ac:dyDescent="0.25">
      <c r="A377" s="1">
        <v>44228</v>
      </c>
      <c r="B377" s="1">
        <v>44228</v>
      </c>
      <c r="C377" t="s">
        <v>157</v>
      </c>
      <c r="D377" t="s">
        <v>93</v>
      </c>
      <c r="E377" t="s">
        <v>49</v>
      </c>
      <c r="F377" t="s">
        <v>278</v>
      </c>
      <c r="G377" s="53">
        <v>44302.769236111111</v>
      </c>
      <c r="H377">
        <v>33</v>
      </c>
      <c r="I377" t="s">
        <v>349</v>
      </c>
      <c r="J377" t="s">
        <v>50</v>
      </c>
      <c r="K377" t="s">
        <v>50</v>
      </c>
      <c r="L377" t="s">
        <v>159</v>
      </c>
      <c r="M377" t="s">
        <v>51</v>
      </c>
      <c r="N377" t="s">
        <v>92</v>
      </c>
      <c r="O377" s="1">
        <v>41335</v>
      </c>
      <c r="P377" t="s">
        <v>84</v>
      </c>
      <c r="Q377">
        <v>2</v>
      </c>
      <c r="R377" t="s">
        <v>94</v>
      </c>
      <c r="S377">
        <v>1</v>
      </c>
      <c r="T377">
        <v>4</v>
      </c>
      <c r="U377" t="s">
        <v>349</v>
      </c>
      <c r="V377" t="s">
        <v>349</v>
      </c>
      <c r="W377">
        <v>4</v>
      </c>
    </row>
    <row r="378" spans="1:23" x14ac:dyDescent="0.25">
      <c r="A378" s="1">
        <v>44228</v>
      </c>
      <c r="B378" s="1">
        <v>44228</v>
      </c>
      <c r="C378" t="s">
        <v>157</v>
      </c>
      <c r="D378" t="s">
        <v>48</v>
      </c>
      <c r="E378" t="s">
        <v>49</v>
      </c>
      <c r="F378" t="s">
        <v>277</v>
      </c>
      <c r="G378" s="53">
        <v>44259.815057870372</v>
      </c>
      <c r="H378">
        <v>33</v>
      </c>
      <c r="I378">
        <v>17645</v>
      </c>
      <c r="J378" t="s">
        <v>50</v>
      </c>
      <c r="K378" t="s">
        <v>50</v>
      </c>
      <c r="L378" t="s">
        <v>159</v>
      </c>
      <c r="M378" t="s">
        <v>51</v>
      </c>
      <c r="N378" t="s">
        <v>92</v>
      </c>
      <c r="O378" s="1">
        <v>41335</v>
      </c>
      <c r="P378" t="s">
        <v>84</v>
      </c>
      <c r="Q378">
        <v>2</v>
      </c>
      <c r="R378" t="s">
        <v>94</v>
      </c>
      <c r="S378">
        <v>7.2339039999999999</v>
      </c>
      <c r="T378">
        <v>86.819000000000003</v>
      </c>
      <c r="U378" t="s">
        <v>349</v>
      </c>
      <c r="V378" t="s">
        <v>349</v>
      </c>
      <c r="W378">
        <v>628</v>
      </c>
    </row>
    <row r="379" spans="1:23" x14ac:dyDescent="0.25">
      <c r="A379" s="1">
        <v>44228</v>
      </c>
      <c r="B379" s="1">
        <v>44228</v>
      </c>
      <c r="C379" t="s">
        <v>157</v>
      </c>
      <c r="D379" t="s">
        <v>54</v>
      </c>
      <c r="E379" t="s">
        <v>21</v>
      </c>
      <c r="F379" t="s">
        <v>275</v>
      </c>
      <c r="G379" s="53">
        <v>44259.815057870372</v>
      </c>
      <c r="H379">
        <v>33</v>
      </c>
      <c r="I379">
        <v>17645</v>
      </c>
      <c r="J379" t="s">
        <v>50</v>
      </c>
      <c r="K379" t="s">
        <v>50</v>
      </c>
      <c r="L379" t="s">
        <v>159</v>
      </c>
      <c r="M379" t="s">
        <v>51</v>
      </c>
      <c r="N379" t="s">
        <v>92</v>
      </c>
      <c r="O379" s="1">
        <v>41335</v>
      </c>
      <c r="P379" t="s">
        <v>84</v>
      </c>
      <c r="Q379">
        <v>3</v>
      </c>
      <c r="R379" t="s">
        <v>81</v>
      </c>
      <c r="S379" t="s">
        <v>349</v>
      </c>
      <c r="T379" t="s">
        <v>349</v>
      </c>
      <c r="U379">
        <v>0</v>
      </c>
      <c r="V379">
        <v>5302.48</v>
      </c>
      <c r="W379">
        <v>0</v>
      </c>
    </row>
    <row r="380" spans="1:23" x14ac:dyDescent="0.25">
      <c r="A380" s="1">
        <v>44228</v>
      </c>
      <c r="B380" s="1">
        <v>44228</v>
      </c>
      <c r="C380" t="s">
        <v>157</v>
      </c>
      <c r="D380" t="s">
        <v>93</v>
      </c>
      <c r="E380" t="s">
        <v>49</v>
      </c>
      <c r="F380" t="s">
        <v>278</v>
      </c>
      <c r="G380" s="53">
        <v>44302.769236111111</v>
      </c>
      <c r="H380">
        <v>33</v>
      </c>
      <c r="I380" t="s">
        <v>349</v>
      </c>
      <c r="J380" t="s">
        <v>50</v>
      </c>
      <c r="K380" t="s">
        <v>50</v>
      </c>
      <c r="L380" t="s">
        <v>159</v>
      </c>
      <c r="M380" t="s">
        <v>51</v>
      </c>
      <c r="N380" t="s">
        <v>92</v>
      </c>
      <c r="O380" s="1">
        <v>41335</v>
      </c>
      <c r="P380" t="s">
        <v>84</v>
      </c>
      <c r="Q380">
        <v>3</v>
      </c>
      <c r="R380" t="s">
        <v>81</v>
      </c>
      <c r="S380">
        <v>1</v>
      </c>
      <c r="T380">
        <v>105</v>
      </c>
      <c r="U380" t="s">
        <v>349</v>
      </c>
      <c r="V380" t="s">
        <v>349</v>
      </c>
      <c r="W380">
        <v>105</v>
      </c>
    </row>
    <row r="381" spans="1:23" x14ac:dyDescent="0.25">
      <c r="A381" s="1">
        <v>44228</v>
      </c>
      <c r="B381" s="1">
        <v>44228</v>
      </c>
      <c r="C381" t="s">
        <v>157</v>
      </c>
      <c r="D381" t="s">
        <v>48</v>
      </c>
      <c r="E381" t="s">
        <v>49</v>
      </c>
      <c r="F381" t="s">
        <v>277</v>
      </c>
      <c r="G381" s="53">
        <v>44259.815057870372</v>
      </c>
      <c r="H381">
        <v>33</v>
      </c>
      <c r="I381">
        <v>17645</v>
      </c>
      <c r="J381" t="s">
        <v>50</v>
      </c>
      <c r="K381" t="s">
        <v>50</v>
      </c>
      <c r="L381" t="s">
        <v>159</v>
      </c>
      <c r="M381" t="s">
        <v>51</v>
      </c>
      <c r="N381" t="s">
        <v>92</v>
      </c>
      <c r="O381" s="1">
        <v>41335</v>
      </c>
      <c r="P381" t="s">
        <v>84</v>
      </c>
      <c r="Q381">
        <v>3</v>
      </c>
      <c r="R381" t="s">
        <v>81</v>
      </c>
      <c r="S381">
        <v>234.44251299999999</v>
      </c>
      <c r="T381">
        <v>78.597999999999999</v>
      </c>
      <c r="U381" t="s">
        <v>349</v>
      </c>
      <c r="V381" t="s">
        <v>349</v>
      </c>
      <c r="W381">
        <v>18427</v>
      </c>
    </row>
    <row r="382" spans="1:23" x14ac:dyDescent="0.25">
      <c r="A382" s="1">
        <v>44228</v>
      </c>
      <c r="B382" s="1">
        <v>44228</v>
      </c>
      <c r="C382" t="s">
        <v>157</v>
      </c>
      <c r="D382" t="s">
        <v>54</v>
      </c>
      <c r="E382" t="s">
        <v>21</v>
      </c>
      <c r="F382" t="s">
        <v>275</v>
      </c>
      <c r="G382" s="53">
        <v>44259.815057870372</v>
      </c>
      <c r="H382">
        <v>33</v>
      </c>
      <c r="I382">
        <v>17645</v>
      </c>
      <c r="J382" t="s">
        <v>50</v>
      </c>
      <c r="K382" t="s">
        <v>50</v>
      </c>
      <c r="L382" t="s">
        <v>159</v>
      </c>
      <c r="M382" t="s">
        <v>51</v>
      </c>
      <c r="N382" t="s">
        <v>92</v>
      </c>
      <c r="O382" s="1">
        <v>41335</v>
      </c>
      <c r="P382" t="s">
        <v>84</v>
      </c>
      <c r="Q382">
        <v>4</v>
      </c>
      <c r="R382" t="s">
        <v>27</v>
      </c>
      <c r="S382" t="s">
        <v>349</v>
      </c>
      <c r="T382" t="s">
        <v>349</v>
      </c>
      <c r="U382">
        <v>0</v>
      </c>
      <c r="V382">
        <v>5512.82</v>
      </c>
      <c r="W382">
        <v>0</v>
      </c>
    </row>
    <row r="383" spans="1:23" x14ac:dyDescent="0.25">
      <c r="A383" s="1">
        <v>44228</v>
      </c>
      <c r="B383" s="1">
        <v>44228</v>
      </c>
      <c r="C383" t="s">
        <v>157</v>
      </c>
      <c r="D383" t="s">
        <v>93</v>
      </c>
      <c r="E383" t="s">
        <v>49</v>
      </c>
      <c r="F383" t="s">
        <v>278</v>
      </c>
      <c r="G383" s="53">
        <v>44302.769236111111</v>
      </c>
      <c r="H383">
        <v>33</v>
      </c>
      <c r="I383" t="s">
        <v>349</v>
      </c>
      <c r="J383" t="s">
        <v>50</v>
      </c>
      <c r="K383" t="s">
        <v>50</v>
      </c>
      <c r="L383" t="s">
        <v>159</v>
      </c>
      <c r="M383" t="s">
        <v>51</v>
      </c>
      <c r="N383" t="s">
        <v>92</v>
      </c>
      <c r="O383" s="1">
        <v>41335</v>
      </c>
      <c r="P383" t="s">
        <v>84</v>
      </c>
      <c r="Q383">
        <v>4</v>
      </c>
      <c r="R383" t="s">
        <v>27</v>
      </c>
      <c r="S383">
        <v>1</v>
      </c>
      <c r="T383">
        <v>1221</v>
      </c>
      <c r="U383" t="s">
        <v>349</v>
      </c>
      <c r="V383" t="s">
        <v>349</v>
      </c>
      <c r="W383">
        <v>1221</v>
      </c>
    </row>
    <row r="384" spans="1:23" x14ac:dyDescent="0.25">
      <c r="A384" s="1">
        <v>44228</v>
      </c>
      <c r="B384" s="1">
        <v>44228</v>
      </c>
      <c r="C384" t="s">
        <v>157</v>
      </c>
      <c r="D384" t="s">
        <v>48</v>
      </c>
      <c r="E384" t="s">
        <v>49</v>
      </c>
      <c r="F384" t="s">
        <v>277</v>
      </c>
      <c r="G384" s="53">
        <v>44259.815057870372</v>
      </c>
      <c r="H384">
        <v>33</v>
      </c>
      <c r="I384">
        <v>17645</v>
      </c>
      <c r="J384" t="s">
        <v>50</v>
      </c>
      <c r="K384" t="s">
        <v>50</v>
      </c>
      <c r="L384" t="s">
        <v>159</v>
      </c>
      <c r="M384" t="s">
        <v>51</v>
      </c>
      <c r="N384" t="s">
        <v>92</v>
      </c>
      <c r="O384" s="1">
        <v>41335</v>
      </c>
      <c r="P384" t="s">
        <v>84</v>
      </c>
      <c r="Q384">
        <v>4</v>
      </c>
      <c r="R384" t="s">
        <v>27</v>
      </c>
      <c r="S384">
        <v>2674.997464</v>
      </c>
      <c r="T384">
        <v>80.213999999999999</v>
      </c>
      <c r="U384" t="s">
        <v>349</v>
      </c>
      <c r="V384" t="s">
        <v>349</v>
      </c>
      <c r="W384">
        <v>214572</v>
      </c>
    </row>
    <row r="385" spans="1:23" x14ac:dyDescent="0.25">
      <c r="A385" s="1">
        <v>44228</v>
      </c>
      <c r="B385" s="1">
        <v>44228</v>
      </c>
      <c r="C385" t="s">
        <v>157</v>
      </c>
      <c r="D385" t="s">
        <v>54</v>
      </c>
      <c r="E385" t="s">
        <v>21</v>
      </c>
      <c r="F385" t="s">
        <v>275</v>
      </c>
      <c r="G385" s="53">
        <v>44259.815057870372</v>
      </c>
      <c r="H385">
        <v>33</v>
      </c>
      <c r="I385">
        <v>17645</v>
      </c>
      <c r="J385" t="s">
        <v>50</v>
      </c>
      <c r="K385" t="s">
        <v>50</v>
      </c>
      <c r="L385" t="s">
        <v>159</v>
      </c>
      <c r="M385" t="s">
        <v>51</v>
      </c>
      <c r="N385" t="s">
        <v>92</v>
      </c>
      <c r="O385" s="1">
        <v>41335</v>
      </c>
      <c r="P385" t="s">
        <v>84</v>
      </c>
      <c r="Q385">
        <v>5</v>
      </c>
      <c r="R385" t="s">
        <v>28</v>
      </c>
      <c r="S385" t="s">
        <v>349</v>
      </c>
      <c r="T385" t="s">
        <v>349</v>
      </c>
      <c r="U385">
        <v>0</v>
      </c>
      <c r="V385">
        <v>5963.28</v>
      </c>
      <c r="W385">
        <v>0</v>
      </c>
    </row>
    <row r="386" spans="1:23" x14ac:dyDescent="0.25">
      <c r="A386" s="1">
        <v>44228</v>
      </c>
      <c r="B386" s="1">
        <v>44228</v>
      </c>
      <c r="C386" t="s">
        <v>157</v>
      </c>
      <c r="D386" t="s">
        <v>93</v>
      </c>
      <c r="E386" t="s">
        <v>49</v>
      </c>
      <c r="F386" t="s">
        <v>278</v>
      </c>
      <c r="G386" s="53">
        <v>44302.769236111111</v>
      </c>
      <c r="H386">
        <v>33</v>
      </c>
      <c r="I386" t="s">
        <v>349</v>
      </c>
      <c r="J386" t="s">
        <v>50</v>
      </c>
      <c r="K386" t="s">
        <v>50</v>
      </c>
      <c r="L386" t="s">
        <v>159</v>
      </c>
      <c r="M386" t="s">
        <v>51</v>
      </c>
      <c r="N386" t="s">
        <v>92</v>
      </c>
      <c r="O386" s="1">
        <v>41335</v>
      </c>
      <c r="P386" t="s">
        <v>84</v>
      </c>
      <c r="Q386">
        <v>5</v>
      </c>
      <c r="R386" t="s">
        <v>28</v>
      </c>
      <c r="S386">
        <v>1</v>
      </c>
      <c r="T386">
        <v>3</v>
      </c>
      <c r="U386" t="s">
        <v>349</v>
      </c>
      <c r="V386" t="s">
        <v>349</v>
      </c>
      <c r="W386">
        <v>3</v>
      </c>
    </row>
    <row r="387" spans="1:23" x14ac:dyDescent="0.25">
      <c r="A387" s="1">
        <v>44228</v>
      </c>
      <c r="B387" s="1">
        <v>44228</v>
      </c>
      <c r="C387" t="s">
        <v>157</v>
      </c>
      <c r="D387" t="s">
        <v>48</v>
      </c>
      <c r="E387" t="s">
        <v>49</v>
      </c>
      <c r="F387" t="s">
        <v>277</v>
      </c>
      <c r="G387" s="53">
        <v>44259.815057870372</v>
      </c>
      <c r="H387">
        <v>33</v>
      </c>
      <c r="I387">
        <v>17645</v>
      </c>
      <c r="J387" t="s">
        <v>50</v>
      </c>
      <c r="K387" t="s">
        <v>50</v>
      </c>
      <c r="L387" t="s">
        <v>159</v>
      </c>
      <c r="M387" t="s">
        <v>51</v>
      </c>
      <c r="N387" t="s">
        <v>92</v>
      </c>
      <c r="O387" s="1">
        <v>41335</v>
      </c>
      <c r="P387" t="s">
        <v>84</v>
      </c>
      <c r="Q387">
        <v>5</v>
      </c>
      <c r="R387" t="s">
        <v>28</v>
      </c>
      <c r="S387">
        <v>7.8341200000000004</v>
      </c>
      <c r="T387">
        <v>86.617999999999995</v>
      </c>
      <c r="U387" t="s">
        <v>349</v>
      </c>
      <c r="V387" t="s">
        <v>349</v>
      </c>
      <c r="W387">
        <v>679</v>
      </c>
    </row>
    <row r="388" spans="1:23" x14ac:dyDescent="0.25">
      <c r="A388" s="1">
        <v>44256</v>
      </c>
      <c r="B388" s="1">
        <v>44256</v>
      </c>
      <c r="C388" t="s">
        <v>157</v>
      </c>
      <c r="D388" t="s">
        <v>54</v>
      </c>
      <c r="E388" t="s">
        <v>21</v>
      </c>
      <c r="F388" t="s">
        <v>280</v>
      </c>
      <c r="G388" s="53">
        <v>44294.484247685185</v>
      </c>
      <c r="H388">
        <v>33</v>
      </c>
      <c r="I388">
        <v>18264</v>
      </c>
      <c r="J388" t="s">
        <v>50</v>
      </c>
      <c r="K388" t="s">
        <v>50</v>
      </c>
      <c r="L388" t="s">
        <v>159</v>
      </c>
      <c r="M388" t="s">
        <v>51</v>
      </c>
      <c r="N388" t="s">
        <v>92</v>
      </c>
      <c r="O388" s="1">
        <v>41335</v>
      </c>
      <c r="P388" t="s">
        <v>84</v>
      </c>
      <c r="Q388">
        <v>1</v>
      </c>
      <c r="R388" t="s">
        <v>83</v>
      </c>
      <c r="S388" t="s">
        <v>349</v>
      </c>
      <c r="T388" t="s">
        <v>349</v>
      </c>
      <c r="U388">
        <v>0</v>
      </c>
      <c r="V388">
        <v>5914.4219999999996</v>
      </c>
      <c r="W388">
        <v>0</v>
      </c>
    </row>
    <row r="389" spans="1:23" x14ac:dyDescent="0.25">
      <c r="A389" s="1">
        <v>44256</v>
      </c>
      <c r="B389" s="1">
        <v>44256</v>
      </c>
      <c r="C389" t="s">
        <v>157</v>
      </c>
      <c r="D389" t="s">
        <v>93</v>
      </c>
      <c r="E389" t="s">
        <v>49</v>
      </c>
      <c r="F389" t="s">
        <v>284</v>
      </c>
      <c r="G389" s="53">
        <v>44327.522789351853</v>
      </c>
      <c r="H389">
        <v>33</v>
      </c>
      <c r="I389" t="s">
        <v>349</v>
      </c>
      <c r="J389" t="s">
        <v>50</v>
      </c>
      <c r="K389" t="s">
        <v>50</v>
      </c>
      <c r="L389" t="s">
        <v>159</v>
      </c>
      <c r="M389" t="s">
        <v>51</v>
      </c>
      <c r="N389" t="s">
        <v>92</v>
      </c>
      <c r="O389" s="1">
        <v>41335</v>
      </c>
      <c r="P389" t="s">
        <v>84</v>
      </c>
      <c r="Q389">
        <v>1</v>
      </c>
      <c r="R389" t="s">
        <v>83</v>
      </c>
      <c r="S389">
        <v>1</v>
      </c>
      <c r="T389">
        <v>1933</v>
      </c>
      <c r="U389" t="s">
        <v>349</v>
      </c>
      <c r="V389" t="s">
        <v>349</v>
      </c>
      <c r="W389">
        <v>1933</v>
      </c>
    </row>
    <row r="390" spans="1:23" x14ac:dyDescent="0.25">
      <c r="A390" s="1">
        <v>44256</v>
      </c>
      <c r="B390" s="1">
        <v>44256</v>
      </c>
      <c r="C390" t="s">
        <v>157</v>
      </c>
      <c r="D390" t="s">
        <v>48</v>
      </c>
      <c r="E390" t="s">
        <v>49</v>
      </c>
      <c r="F390" t="s">
        <v>282</v>
      </c>
      <c r="G390" s="53">
        <v>44294.484247685185</v>
      </c>
      <c r="H390">
        <v>33</v>
      </c>
      <c r="I390">
        <v>18264</v>
      </c>
      <c r="J390" t="s">
        <v>50</v>
      </c>
      <c r="K390" t="s">
        <v>50</v>
      </c>
      <c r="L390" t="s">
        <v>159</v>
      </c>
      <c r="M390" t="s">
        <v>51</v>
      </c>
      <c r="N390" t="s">
        <v>92</v>
      </c>
      <c r="O390" s="1">
        <v>41335</v>
      </c>
      <c r="P390" t="s">
        <v>84</v>
      </c>
      <c r="Q390">
        <v>1</v>
      </c>
      <c r="R390" t="s">
        <v>83</v>
      </c>
      <c r="S390">
        <v>2429.5084940000002</v>
      </c>
      <c r="T390">
        <v>85.203000000000003</v>
      </c>
      <c r="U390" t="s">
        <v>349</v>
      </c>
      <c r="V390" t="s">
        <v>349</v>
      </c>
      <c r="W390">
        <v>207001</v>
      </c>
    </row>
    <row r="391" spans="1:23" x14ac:dyDescent="0.25">
      <c r="A391" s="1">
        <v>44256</v>
      </c>
      <c r="B391" s="1">
        <v>44256</v>
      </c>
      <c r="C391" t="s">
        <v>157</v>
      </c>
      <c r="D391" t="s">
        <v>54</v>
      </c>
      <c r="E391" t="s">
        <v>21</v>
      </c>
      <c r="F391" t="s">
        <v>280</v>
      </c>
      <c r="G391" s="53">
        <v>44294.484247685185</v>
      </c>
      <c r="H391">
        <v>33</v>
      </c>
      <c r="I391">
        <v>18264</v>
      </c>
      <c r="J391" t="s">
        <v>50</v>
      </c>
      <c r="K391" t="s">
        <v>50</v>
      </c>
      <c r="L391" t="s">
        <v>159</v>
      </c>
      <c r="M391" t="s">
        <v>51</v>
      </c>
      <c r="N391" t="s">
        <v>92</v>
      </c>
      <c r="O391" s="1">
        <v>41335</v>
      </c>
      <c r="P391" t="s">
        <v>84</v>
      </c>
      <c r="Q391">
        <v>2</v>
      </c>
      <c r="R391" t="s">
        <v>94</v>
      </c>
      <c r="S391" t="s">
        <v>349</v>
      </c>
      <c r="T391" t="s">
        <v>349</v>
      </c>
      <c r="U391">
        <v>0</v>
      </c>
      <c r="V391">
        <v>6007.3739999999998</v>
      </c>
      <c r="W391">
        <v>0</v>
      </c>
    </row>
    <row r="392" spans="1:23" x14ac:dyDescent="0.25">
      <c r="A392" s="1">
        <v>44256</v>
      </c>
      <c r="B392" s="1">
        <v>44256</v>
      </c>
      <c r="C392" t="s">
        <v>157</v>
      </c>
      <c r="D392" t="s">
        <v>93</v>
      </c>
      <c r="E392" t="s">
        <v>49</v>
      </c>
      <c r="F392" t="s">
        <v>284</v>
      </c>
      <c r="G392" s="53">
        <v>44327.522789351853</v>
      </c>
      <c r="H392">
        <v>33</v>
      </c>
      <c r="I392" t="s">
        <v>349</v>
      </c>
      <c r="J392" t="s">
        <v>50</v>
      </c>
      <c r="K392" t="s">
        <v>50</v>
      </c>
      <c r="L392" t="s">
        <v>159</v>
      </c>
      <c r="M392" t="s">
        <v>51</v>
      </c>
      <c r="N392" t="s">
        <v>92</v>
      </c>
      <c r="O392" s="1">
        <v>41335</v>
      </c>
      <c r="P392" t="s">
        <v>84</v>
      </c>
      <c r="Q392">
        <v>2</v>
      </c>
      <c r="R392" t="s">
        <v>94</v>
      </c>
      <c r="S392">
        <v>1</v>
      </c>
      <c r="T392">
        <v>6</v>
      </c>
      <c r="U392" t="s">
        <v>349</v>
      </c>
      <c r="V392" t="s">
        <v>349</v>
      </c>
      <c r="W392">
        <v>6</v>
      </c>
    </row>
    <row r="393" spans="1:23" x14ac:dyDescent="0.25">
      <c r="A393" s="1">
        <v>44256</v>
      </c>
      <c r="B393" s="1">
        <v>44256</v>
      </c>
      <c r="C393" t="s">
        <v>157</v>
      </c>
      <c r="D393" t="s">
        <v>48</v>
      </c>
      <c r="E393" t="s">
        <v>49</v>
      </c>
      <c r="F393" t="s">
        <v>282</v>
      </c>
      <c r="G393" s="53">
        <v>44294.484247685185</v>
      </c>
      <c r="H393">
        <v>33</v>
      </c>
      <c r="I393">
        <v>18264</v>
      </c>
      <c r="J393" t="s">
        <v>50</v>
      </c>
      <c r="K393" t="s">
        <v>50</v>
      </c>
      <c r="L393" t="s">
        <v>159</v>
      </c>
      <c r="M393" t="s">
        <v>51</v>
      </c>
      <c r="N393" t="s">
        <v>92</v>
      </c>
      <c r="O393" s="1">
        <v>41335</v>
      </c>
      <c r="P393" t="s">
        <v>84</v>
      </c>
      <c r="Q393">
        <v>2</v>
      </c>
      <c r="R393" t="s">
        <v>94</v>
      </c>
      <c r="S393">
        <v>8.2069919999999996</v>
      </c>
      <c r="T393">
        <v>86.819000000000003</v>
      </c>
      <c r="U393" t="s">
        <v>349</v>
      </c>
      <c r="V393" t="s">
        <v>349</v>
      </c>
      <c r="W393">
        <v>713</v>
      </c>
    </row>
    <row r="394" spans="1:23" x14ac:dyDescent="0.25">
      <c r="A394" s="1">
        <v>44256</v>
      </c>
      <c r="B394" s="1">
        <v>44256</v>
      </c>
      <c r="C394" t="s">
        <v>157</v>
      </c>
      <c r="D394" t="s">
        <v>54</v>
      </c>
      <c r="E394" t="s">
        <v>21</v>
      </c>
      <c r="F394" t="s">
        <v>280</v>
      </c>
      <c r="G394" s="53">
        <v>44294.484247685185</v>
      </c>
      <c r="H394">
        <v>33</v>
      </c>
      <c r="I394">
        <v>18264</v>
      </c>
      <c r="J394" t="s">
        <v>50</v>
      </c>
      <c r="K394" t="s">
        <v>50</v>
      </c>
      <c r="L394" t="s">
        <v>159</v>
      </c>
      <c r="M394" t="s">
        <v>51</v>
      </c>
      <c r="N394" t="s">
        <v>92</v>
      </c>
      <c r="O394" s="1">
        <v>41335</v>
      </c>
      <c r="P394" t="s">
        <v>84</v>
      </c>
      <c r="Q394">
        <v>3</v>
      </c>
      <c r="R394" t="s">
        <v>81</v>
      </c>
      <c r="S394" t="s">
        <v>349</v>
      </c>
      <c r="T394" t="s">
        <v>349</v>
      </c>
      <c r="U394">
        <v>0</v>
      </c>
      <c r="V394">
        <v>5302.482</v>
      </c>
      <c r="W394">
        <v>0</v>
      </c>
    </row>
    <row r="395" spans="1:23" x14ac:dyDescent="0.25">
      <c r="A395" s="1">
        <v>44256</v>
      </c>
      <c r="B395" s="1">
        <v>44256</v>
      </c>
      <c r="C395" t="s">
        <v>157</v>
      </c>
      <c r="D395" t="s">
        <v>93</v>
      </c>
      <c r="E395" t="s">
        <v>49</v>
      </c>
      <c r="F395" t="s">
        <v>284</v>
      </c>
      <c r="G395" s="53">
        <v>44327.522789351853</v>
      </c>
      <c r="H395">
        <v>33</v>
      </c>
      <c r="I395" t="s">
        <v>349</v>
      </c>
      <c r="J395" t="s">
        <v>50</v>
      </c>
      <c r="K395" t="s">
        <v>50</v>
      </c>
      <c r="L395" t="s">
        <v>159</v>
      </c>
      <c r="M395" t="s">
        <v>51</v>
      </c>
      <c r="N395" t="s">
        <v>92</v>
      </c>
      <c r="O395" s="1">
        <v>41335</v>
      </c>
      <c r="P395" t="s">
        <v>84</v>
      </c>
      <c r="Q395">
        <v>3</v>
      </c>
      <c r="R395" t="s">
        <v>81</v>
      </c>
      <c r="S395">
        <v>1</v>
      </c>
      <c r="T395">
        <v>196</v>
      </c>
      <c r="U395" t="s">
        <v>349</v>
      </c>
      <c r="V395" t="s">
        <v>349</v>
      </c>
      <c r="W395">
        <v>196</v>
      </c>
    </row>
    <row r="396" spans="1:23" x14ac:dyDescent="0.25">
      <c r="A396" s="1">
        <v>44256</v>
      </c>
      <c r="B396" s="1">
        <v>44256</v>
      </c>
      <c r="C396" t="s">
        <v>157</v>
      </c>
      <c r="D396" t="s">
        <v>48</v>
      </c>
      <c r="E396" t="s">
        <v>49</v>
      </c>
      <c r="F396" t="s">
        <v>282</v>
      </c>
      <c r="G396" s="53">
        <v>44294.484247685185</v>
      </c>
      <c r="H396">
        <v>33</v>
      </c>
      <c r="I396">
        <v>18264</v>
      </c>
      <c r="J396" t="s">
        <v>50</v>
      </c>
      <c r="K396" t="s">
        <v>50</v>
      </c>
      <c r="L396" t="s">
        <v>159</v>
      </c>
      <c r="M396" t="s">
        <v>51</v>
      </c>
      <c r="N396" t="s">
        <v>92</v>
      </c>
      <c r="O396" s="1">
        <v>41335</v>
      </c>
      <c r="P396" t="s">
        <v>84</v>
      </c>
      <c r="Q396">
        <v>3</v>
      </c>
      <c r="R396" t="s">
        <v>81</v>
      </c>
      <c r="S396">
        <v>266.55027999999999</v>
      </c>
      <c r="T396">
        <v>78.597999999999999</v>
      </c>
      <c r="U396" t="s">
        <v>349</v>
      </c>
      <c r="V396" t="s">
        <v>349</v>
      </c>
      <c r="W396">
        <v>20950</v>
      </c>
    </row>
    <row r="397" spans="1:23" x14ac:dyDescent="0.25">
      <c r="A397" s="1">
        <v>44256</v>
      </c>
      <c r="B397" s="1">
        <v>44256</v>
      </c>
      <c r="C397" t="s">
        <v>157</v>
      </c>
      <c r="D397" t="s">
        <v>54</v>
      </c>
      <c r="E397" t="s">
        <v>21</v>
      </c>
      <c r="F397" t="s">
        <v>280</v>
      </c>
      <c r="G397" s="53">
        <v>44294.484247685185</v>
      </c>
      <c r="H397">
        <v>33</v>
      </c>
      <c r="I397">
        <v>18264</v>
      </c>
      <c r="J397" t="s">
        <v>50</v>
      </c>
      <c r="K397" t="s">
        <v>50</v>
      </c>
      <c r="L397" t="s">
        <v>159</v>
      </c>
      <c r="M397" t="s">
        <v>51</v>
      </c>
      <c r="N397" t="s">
        <v>92</v>
      </c>
      <c r="O397" s="1">
        <v>41335</v>
      </c>
      <c r="P397" t="s">
        <v>84</v>
      </c>
      <c r="Q397">
        <v>4</v>
      </c>
      <c r="R397" t="s">
        <v>27</v>
      </c>
      <c r="S397" t="s">
        <v>349</v>
      </c>
      <c r="T397" t="s">
        <v>349</v>
      </c>
      <c r="U397">
        <v>0</v>
      </c>
      <c r="V397">
        <v>5512.8180000000002</v>
      </c>
      <c r="W397">
        <v>0</v>
      </c>
    </row>
    <row r="398" spans="1:23" x14ac:dyDescent="0.25">
      <c r="A398" s="1">
        <v>44256</v>
      </c>
      <c r="B398" s="1">
        <v>44256</v>
      </c>
      <c r="C398" t="s">
        <v>157</v>
      </c>
      <c r="D398" t="s">
        <v>93</v>
      </c>
      <c r="E398" t="s">
        <v>49</v>
      </c>
      <c r="F398" t="s">
        <v>284</v>
      </c>
      <c r="G398" s="53">
        <v>44327.522789351853</v>
      </c>
      <c r="H398">
        <v>33</v>
      </c>
      <c r="I398" t="s">
        <v>349</v>
      </c>
      <c r="J398" t="s">
        <v>50</v>
      </c>
      <c r="K398" t="s">
        <v>50</v>
      </c>
      <c r="L398" t="s">
        <v>159</v>
      </c>
      <c r="M398" t="s">
        <v>51</v>
      </c>
      <c r="N398" t="s">
        <v>92</v>
      </c>
      <c r="O398" s="1">
        <v>41335</v>
      </c>
      <c r="P398" t="s">
        <v>84</v>
      </c>
      <c r="Q398">
        <v>4</v>
      </c>
      <c r="R398" t="s">
        <v>27</v>
      </c>
      <c r="S398">
        <v>1</v>
      </c>
      <c r="T398">
        <v>2266</v>
      </c>
      <c r="U398" t="s">
        <v>349</v>
      </c>
      <c r="V398" t="s">
        <v>349</v>
      </c>
      <c r="W398">
        <v>2266</v>
      </c>
    </row>
    <row r="399" spans="1:23" x14ac:dyDescent="0.25">
      <c r="A399" s="1">
        <v>44256</v>
      </c>
      <c r="B399" s="1">
        <v>44256</v>
      </c>
      <c r="C399" t="s">
        <v>157</v>
      </c>
      <c r="D399" t="s">
        <v>48</v>
      </c>
      <c r="E399" t="s">
        <v>49</v>
      </c>
      <c r="F399" t="s">
        <v>282</v>
      </c>
      <c r="G399" s="53">
        <v>44294.484247685185</v>
      </c>
      <c r="H399">
        <v>33</v>
      </c>
      <c r="I399">
        <v>18264</v>
      </c>
      <c r="J399" t="s">
        <v>50</v>
      </c>
      <c r="K399" t="s">
        <v>50</v>
      </c>
      <c r="L399" t="s">
        <v>159</v>
      </c>
      <c r="M399" t="s">
        <v>51</v>
      </c>
      <c r="N399" t="s">
        <v>92</v>
      </c>
      <c r="O399" s="1">
        <v>41335</v>
      </c>
      <c r="P399" t="s">
        <v>84</v>
      </c>
      <c r="Q399">
        <v>4</v>
      </c>
      <c r="R399" t="s">
        <v>27</v>
      </c>
      <c r="S399">
        <v>3026.9486430000002</v>
      </c>
      <c r="T399">
        <v>80.213999999999999</v>
      </c>
      <c r="U399" t="s">
        <v>349</v>
      </c>
      <c r="V399" t="s">
        <v>349</v>
      </c>
      <c r="W399">
        <v>242804</v>
      </c>
    </row>
    <row r="400" spans="1:23" x14ac:dyDescent="0.25">
      <c r="A400" s="1">
        <v>44256</v>
      </c>
      <c r="B400" s="1">
        <v>44256</v>
      </c>
      <c r="C400" t="s">
        <v>157</v>
      </c>
      <c r="D400" t="s">
        <v>54</v>
      </c>
      <c r="E400" t="s">
        <v>21</v>
      </c>
      <c r="F400" t="s">
        <v>280</v>
      </c>
      <c r="G400" s="53">
        <v>44294.484247685185</v>
      </c>
      <c r="H400">
        <v>33</v>
      </c>
      <c r="I400">
        <v>18264</v>
      </c>
      <c r="J400" t="s">
        <v>50</v>
      </c>
      <c r="K400" t="s">
        <v>50</v>
      </c>
      <c r="L400" t="s">
        <v>159</v>
      </c>
      <c r="M400" t="s">
        <v>51</v>
      </c>
      <c r="N400" t="s">
        <v>92</v>
      </c>
      <c r="O400" s="1">
        <v>41335</v>
      </c>
      <c r="P400" t="s">
        <v>84</v>
      </c>
      <c r="Q400">
        <v>5</v>
      </c>
      <c r="R400" t="s">
        <v>28</v>
      </c>
      <c r="S400" t="s">
        <v>349</v>
      </c>
      <c r="T400" t="s">
        <v>349</v>
      </c>
      <c r="U400">
        <v>0</v>
      </c>
      <c r="V400">
        <v>5963.2809999999999</v>
      </c>
      <c r="W400">
        <v>0</v>
      </c>
    </row>
    <row r="401" spans="1:23" x14ac:dyDescent="0.25">
      <c r="A401" s="1">
        <v>44256</v>
      </c>
      <c r="B401" s="1">
        <v>44256</v>
      </c>
      <c r="C401" t="s">
        <v>157</v>
      </c>
      <c r="D401" t="s">
        <v>93</v>
      </c>
      <c r="E401" t="s">
        <v>49</v>
      </c>
      <c r="F401" t="s">
        <v>284</v>
      </c>
      <c r="G401" s="53">
        <v>44327.522789351853</v>
      </c>
      <c r="H401">
        <v>33</v>
      </c>
      <c r="I401" t="s">
        <v>349</v>
      </c>
      <c r="J401" t="s">
        <v>50</v>
      </c>
      <c r="K401" t="s">
        <v>50</v>
      </c>
      <c r="L401" t="s">
        <v>159</v>
      </c>
      <c r="M401" t="s">
        <v>51</v>
      </c>
      <c r="N401" t="s">
        <v>92</v>
      </c>
      <c r="O401" s="1">
        <v>41335</v>
      </c>
      <c r="P401" t="s">
        <v>84</v>
      </c>
      <c r="Q401">
        <v>5</v>
      </c>
      <c r="R401" t="s">
        <v>28</v>
      </c>
      <c r="S401">
        <v>1</v>
      </c>
      <c r="T401">
        <v>7</v>
      </c>
      <c r="U401" t="s">
        <v>349</v>
      </c>
      <c r="V401" t="s">
        <v>349</v>
      </c>
      <c r="W401">
        <v>7</v>
      </c>
    </row>
    <row r="402" spans="1:23" x14ac:dyDescent="0.25">
      <c r="A402" s="1">
        <v>44256</v>
      </c>
      <c r="B402" s="1">
        <v>44256</v>
      </c>
      <c r="C402" t="s">
        <v>157</v>
      </c>
      <c r="D402" t="s">
        <v>48</v>
      </c>
      <c r="E402" t="s">
        <v>49</v>
      </c>
      <c r="F402" t="s">
        <v>282</v>
      </c>
      <c r="G402" s="53">
        <v>44294.484247685185</v>
      </c>
      <c r="H402">
        <v>33</v>
      </c>
      <c r="I402">
        <v>18264</v>
      </c>
      <c r="J402" t="s">
        <v>50</v>
      </c>
      <c r="K402" t="s">
        <v>50</v>
      </c>
      <c r="L402" t="s">
        <v>159</v>
      </c>
      <c r="M402" t="s">
        <v>51</v>
      </c>
      <c r="N402" t="s">
        <v>92</v>
      </c>
      <c r="O402" s="1">
        <v>41335</v>
      </c>
      <c r="P402" t="s">
        <v>84</v>
      </c>
      <c r="Q402">
        <v>5</v>
      </c>
      <c r="R402" t="s">
        <v>28</v>
      </c>
      <c r="S402">
        <v>8.8766890000000007</v>
      </c>
      <c r="T402">
        <v>86.617999999999995</v>
      </c>
      <c r="U402" t="s">
        <v>349</v>
      </c>
      <c r="V402" t="s">
        <v>349</v>
      </c>
      <c r="W402">
        <v>769</v>
      </c>
    </row>
    <row r="403" spans="1:23" x14ac:dyDescent="0.25">
      <c r="A403" s="1">
        <v>44287</v>
      </c>
      <c r="B403" s="1">
        <v>44287</v>
      </c>
      <c r="C403" t="s">
        <v>157</v>
      </c>
      <c r="D403" t="s">
        <v>54</v>
      </c>
      <c r="E403" t="s">
        <v>21</v>
      </c>
      <c r="F403" t="s">
        <v>285</v>
      </c>
      <c r="G403" s="53">
        <v>44323.702997685185</v>
      </c>
      <c r="H403">
        <v>33</v>
      </c>
      <c r="I403">
        <v>18700</v>
      </c>
      <c r="J403" t="s">
        <v>50</v>
      </c>
      <c r="K403" t="s">
        <v>50</v>
      </c>
      <c r="L403" t="s">
        <v>159</v>
      </c>
      <c r="M403" t="s">
        <v>51</v>
      </c>
      <c r="N403" t="s">
        <v>92</v>
      </c>
      <c r="O403" s="1">
        <v>41335</v>
      </c>
      <c r="P403" t="s">
        <v>84</v>
      </c>
      <c r="Q403">
        <v>1</v>
      </c>
      <c r="R403" t="s">
        <v>83</v>
      </c>
      <c r="S403" t="s">
        <v>349</v>
      </c>
      <c r="T403" t="s">
        <v>349</v>
      </c>
      <c r="U403">
        <v>0</v>
      </c>
      <c r="V403">
        <v>5914.4219999999996</v>
      </c>
      <c r="W403">
        <v>0</v>
      </c>
    </row>
    <row r="404" spans="1:23" x14ac:dyDescent="0.25">
      <c r="A404" s="1">
        <v>44287</v>
      </c>
      <c r="B404" s="1">
        <v>44287</v>
      </c>
      <c r="C404" t="s">
        <v>157</v>
      </c>
      <c r="D404" t="s">
        <v>48</v>
      </c>
      <c r="E404" t="s">
        <v>49</v>
      </c>
      <c r="F404" t="s">
        <v>286</v>
      </c>
      <c r="G404" s="53">
        <v>44323.702997685185</v>
      </c>
      <c r="H404">
        <v>33</v>
      </c>
      <c r="I404">
        <v>18700</v>
      </c>
      <c r="J404" t="s">
        <v>50</v>
      </c>
      <c r="K404" t="s">
        <v>50</v>
      </c>
      <c r="L404" t="s">
        <v>159</v>
      </c>
      <c r="M404" t="s">
        <v>51</v>
      </c>
      <c r="N404" t="s">
        <v>92</v>
      </c>
      <c r="O404" s="1">
        <v>41335</v>
      </c>
      <c r="P404" t="s">
        <v>84</v>
      </c>
      <c r="Q404">
        <v>1</v>
      </c>
      <c r="R404" t="s">
        <v>83</v>
      </c>
      <c r="S404">
        <v>1898.22228</v>
      </c>
      <c r="T404">
        <v>85.203000000000003</v>
      </c>
      <c r="U404" t="s">
        <v>349</v>
      </c>
      <c r="V404" t="s">
        <v>349</v>
      </c>
      <c r="W404">
        <v>161734</v>
      </c>
    </row>
    <row r="405" spans="1:23" x14ac:dyDescent="0.25">
      <c r="A405" s="1">
        <v>44287</v>
      </c>
      <c r="B405" s="1">
        <v>44287</v>
      </c>
      <c r="C405" t="s">
        <v>157</v>
      </c>
      <c r="D405" t="s">
        <v>54</v>
      </c>
      <c r="E405" t="s">
        <v>21</v>
      </c>
      <c r="F405" t="s">
        <v>285</v>
      </c>
      <c r="G405" s="53">
        <v>44323.702997685185</v>
      </c>
      <c r="H405">
        <v>33</v>
      </c>
      <c r="I405">
        <v>18700</v>
      </c>
      <c r="J405" t="s">
        <v>50</v>
      </c>
      <c r="K405" t="s">
        <v>50</v>
      </c>
      <c r="L405" t="s">
        <v>159</v>
      </c>
      <c r="M405" t="s">
        <v>51</v>
      </c>
      <c r="N405" t="s">
        <v>92</v>
      </c>
      <c r="O405" s="1">
        <v>41335</v>
      </c>
      <c r="P405" t="s">
        <v>84</v>
      </c>
      <c r="Q405">
        <v>2</v>
      </c>
      <c r="R405" t="s">
        <v>94</v>
      </c>
      <c r="S405" t="s">
        <v>349</v>
      </c>
      <c r="T405" t="s">
        <v>349</v>
      </c>
      <c r="U405">
        <v>0</v>
      </c>
      <c r="V405">
        <v>6007.3739999999998</v>
      </c>
      <c r="W405">
        <v>0</v>
      </c>
    </row>
    <row r="406" spans="1:23" x14ac:dyDescent="0.25">
      <c r="A406" s="1">
        <v>44287</v>
      </c>
      <c r="B406" s="1">
        <v>44287</v>
      </c>
      <c r="C406" t="s">
        <v>157</v>
      </c>
      <c r="D406" t="s">
        <v>48</v>
      </c>
      <c r="E406" t="s">
        <v>49</v>
      </c>
      <c r="F406" t="s">
        <v>286</v>
      </c>
      <c r="G406" s="53">
        <v>44323.702997685185</v>
      </c>
      <c r="H406">
        <v>33</v>
      </c>
      <c r="I406">
        <v>18700</v>
      </c>
      <c r="J406" t="s">
        <v>50</v>
      </c>
      <c r="K406" t="s">
        <v>50</v>
      </c>
      <c r="L406" t="s">
        <v>159</v>
      </c>
      <c r="M406" t="s">
        <v>51</v>
      </c>
      <c r="N406" t="s">
        <v>92</v>
      </c>
      <c r="O406" s="1">
        <v>41335</v>
      </c>
      <c r="P406" t="s">
        <v>84</v>
      </c>
      <c r="Q406">
        <v>2</v>
      </c>
      <c r="R406" t="s">
        <v>94</v>
      </c>
      <c r="S406">
        <v>6.7238790000000002</v>
      </c>
      <c r="T406">
        <v>86.819000000000003</v>
      </c>
      <c r="U406" t="s">
        <v>349</v>
      </c>
      <c r="V406" t="s">
        <v>349</v>
      </c>
      <c r="W406">
        <v>584</v>
      </c>
    </row>
    <row r="407" spans="1:23" x14ac:dyDescent="0.25">
      <c r="A407" s="1">
        <v>44287</v>
      </c>
      <c r="B407" s="1">
        <v>44287</v>
      </c>
      <c r="C407" t="s">
        <v>157</v>
      </c>
      <c r="D407" t="s">
        <v>54</v>
      </c>
      <c r="E407" t="s">
        <v>21</v>
      </c>
      <c r="F407" t="s">
        <v>285</v>
      </c>
      <c r="G407" s="53">
        <v>44323.702997685185</v>
      </c>
      <c r="H407">
        <v>33</v>
      </c>
      <c r="I407">
        <v>18700</v>
      </c>
      <c r="J407" t="s">
        <v>50</v>
      </c>
      <c r="K407" t="s">
        <v>50</v>
      </c>
      <c r="L407" t="s">
        <v>159</v>
      </c>
      <c r="M407" t="s">
        <v>51</v>
      </c>
      <c r="N407" t="s">
        <v>92</v>
      </c>
      <c r="O407" s="1">
        <v>41335</v>
      </c>
      <c r="P407" t="s">
        <v>84</v>
      </c>
      <c r="Q407">
        <v>3</v>
      </c>
      <c r="R407" t="s">
        <v>81</v>
      </c>
      <c r="S407" t="s">
        <v>349</v>
      </c>
      <c r="T407" t="s">
        <v>349</v>
      </c>
      <c r="U407">
        <v>0</v>
      </c>
      <c r="V407">
        <v>5302.482</v>
      </c>
      <c r="W407">
        <v>0</v>
      </c>
    </row>
    <row r="408" spans="1:23" x14ac:dyDescent="0.25">
      <c r="A408" s="1">
        <v>44287</v>
      </c>
      <c r="B408" s="1">
        <v>44287</v>
      </c>
      <c r="C408" t="s">
        <v>157</v>
      </c>
      <c r="D408" t="s">
        <v>48</v>
      </c>
      <c r="E408" t="s">
        <v>49</v>
      </c>
      <c r="F408" t="s">
        <v>286</v>
      </c>
      <c r="G408" s="53">
        <v>44323.702997685185</v>
      </c>
      <c r="H408">
        <v>33</v>
      </c>
      <c r="I408">
        <v>18700</v>
      </c>
      <c r="J408" t="s">
        <v>50</v>
      </c>
      <c r="K408" t="s">
        <v>50</v>
      </c>
      <c r="L408" t="s">
        <v>159</v>
      </c>
      <c r="M408" t="s">
        <v>51</v>
      </c>
      <c r="N408" t="s">
        <v>92</v>
      </c>
      <c r="O408" s="1">
        <v>41335</v>
      </c>
      <c r="P408" t="s">
        <v>84</v>
      </c>
      <c r="Q408">
        <v>3</v>
      </c>
      <c r="R408" t="s">
        <v>81</v>
      </c>
      <c r="S408">
        <v>210.80923799999999</v>
      </c>
      <c r="T408">
        <v>78.597999999999999</v>
      </c>
      <c r="U408" t="s">
        <v>349</v>
      </c>
      <c r="V408" t="s">
        <v>349</v>
      </c>
      <c r="W408">
        <v>16569</v>
      </c>
    </row>
    <row r="409" spans="1:23" x14ac:dyDescent="0.25">
      <c r="A409" s="1">
        <v>44287</v>
      </c>
      <c r="B409" s="1">
        <v>44287</v>
      </c>
      <c r="C409" t="s">
        <v>157</v>
      </c>
      <c r="D409" t="s">
        <v>54</v>
      </c>
      <c r="E409" t="s">
        <v>21</v>
      </c>
      <c r="F409" t="s">
        <v>285</v>
      </c>
      <c r="G409" s="53">
        <v>44323.702997685185</v>
      </c>
      <c r="H409">
        <v>33</v>
      </c>
      <c r="I409">
        <v>18700</v>
      </c>
      <c r="J409" t="s">
        <v>50</v>
      </c>
      <c r="K409" t="s">
        <v>50</v>
      </c>
      <c r="L409" t="s">
        <v>159</v>
      </c>
      <c r="M409" t="s">
        <v>51</v>
      </c>
      <c r="N409" t="s">
        <v>92</v>
      </c>
      <c r="O409" s="1">
        <v>41335</v>
      </c>
      <c r="P409" t="s">
        <v>84</v>
      </c>
      <c r="Q409">
        <v>4</v>
      </c>
      <c r="R409" t="s">
        <v>27</v>
      </c>
      <c r="S409" t="s">
        <v>349</v>
      </c>
      <c r="T409" t="s">
        <v>349</v>
      </c>
      <c r="U409">
        <v>0</v>
      </c>
      <c r="V409">
        <v>5512.8180000000002</v>
      </c>
      <c r="W409">
        <v>0</v>
      </c>
    </row>
    <row r="410" spans="1:23" x14ac:dyDescent="0.25">
      <c r="A410" s="1">
        <v>44287</v>
      </c>
      <c r="B410" s="1">
        <v>44287</v>
      </c>
      <c r="C410" t="s">
        <v>157</v>
      </c>
      <c r="D410" t="s">
        <v>48</v>
      </c>
      <c r="E410" t="s">
        <v>49</v>
      </c>
      <c r="F410" t="s">
        <v>286</v>
      </c>
      <c r="G410" s="53">
        <v>44323.702997685185</v>
      </c>
      <c r="H410">
        <v>33</v>
      </c>
      <c r="I410">
        <v>18700</v>
      </c>
      <c r="J410" t="s">
        <v>50</v>
      </c>
      <c r="K410" t="s">
        <v>50</v>
      </c>
      <c r="L410" t="s">
        <v>159</v>
      </c>
      <c r="M410" t="s">
        <v>51</v>
      </c>
      <c r="N410" t="s">
        <v>92</v>
      </c>
      <c r="O410" s="1">
        <v>41335</v>
      </c>
      <c r="P410" t="s">
        <v>84</v>
      </c>
      <c r="Q410">
        <v>4</v>
      </c>
      <c r="R410" t="s">
        <v>27</v>
      </c>
      <c r="S410">
        <v>2386.3591110000002</v>
      </c>
      <c r="T410">
        <v>80.213999999999999</v>
      </c>
      <c r="U410" t="s">
        <v>349</v>
      </c>
      <c r="V410" t="s">
        <v>349</v>
      </c>
      <c r="W410">
        <v>191419</v>
      </c>
    </row>
    <row r="411" spans="1:23" x14ac:dyDescent="0.25">
      <c r="A411" s="1">
        <v>44287</v>
      </c>
      <c r="B411" s="1">
        <v>44287</v>
      </c>
      <c r="C411" t="s">
        <v>157</v>
      </c>
      <c r="D411" t="s">
        <v>54</v>
      </c>
      <c r="E411" t="s">
        <v>21</v>
      </c>
      <c r="F411" t="s">
        <v>285</v>
      </c>
      <c r="G411" s="53">
        <v>44323.702997685185</v>
      </c>
      <c r="H411">
        <v>33</v>
      </c>
      <c r="I411">
        <v>18700</v>
      </c>
      <c r="J411" t="s">
        <v>50</v>
      </c>
      <c r="K411" t="s">
        <v>50</v>
      </c>
      <c r="L411" t="s">
        <v>159</v>
      </c>
      <c r="M411" t="s">
        <v>51</v>
      </c>
      <c r="N411" t="s">
        <v>92</v>
      </c>
      <c r="O411" s="1">
        <v>41335</v>
      </c>
      <c r="P411" t="s">
        <v>84</v>
      </c>
      <c r="Q411">
        <v>5</v>
      </c>
      <c r="R411" t="s">
        <v>28</v>
      </c>
      <c r="S411" t="s">
        <v>349</v>
      </c>
      <c r="T411" t="s">
        <v>349</v>
      </c>
      <c r="U411">
        <v>0</v>
      </c>
      <c r="V411">
        <v>5963.2809999999999</v>
      </c>
      <c r="W411">
        <v>0</v>
      </c>
    </row>
    <row r="412" spans="1:23" x14ac:dyDescent="0.25">
      <c r="A412" s="1">
        <v>44287</v>
      </c>
      <c r="B412" s="1">
        <v>44287</v>
      </c>
      <c r="C412" t="s">
        <v>157</v>
      </c>
      <c r="D412" t="s">
        <v>48</v>
      </c>
      <c r="E412" t="s">
        <v>49</v>
      </c>
      <c r="F412" t="s">
        <v>286</v>
      </c>
      <c r="G412" s="53">
        <v>44323.702997685185</v>
      </c>
      <c r="H412">
        <v>33</v>
      </c>
      <c r="I412">
        <v>18700</v>
      </c>
      <c r="J412" t="s">
        <v>50</v>
      </c>
      <c r="K412" t="s">
        <v>50</v>
      </c>
      <c r="L412" t="s">
        <v>159</v>
      </c>
      <c r="M412" t="s">
        <v>51</v>
      </c>
      <c r="N412" t="s">
        <v>92</v>
      </c>
      <c r="O412" s="1">
        <v>41335</v>
      </c>
      <c r="P412" t="s">
        <v>84</v>
      </c>
      <c r="Q412">
        <v>5</v>
      </c>
      <c r="R412" t="s">
        <v>28</v>
      </c>
      <c r="S412">
        <v>7.1214380000000004</v>
      </c>
      <c r="T412">
        <v>86.617999999999995</v>
      </c>
      <c r="U412" t="s">
        <v>349</v>
      </c>
      <c r="V412" t="s">
        <v>349</v>
      </c>
      <c r="W412">
        <v>617</v>
      </c>
    </row>
    <row r="413" spans="1:23" x14ac:dyDescent="0.25">
      <c r="A413" s="1">
        <v>43922</v>
      </c>
      <c r="B413" s="1">
        <v>43922</v>
      </c>
      <c r="C413" t="s">
        <v>157</v>
      </c>
      <c r="D413" t="s">
        <v>52</v>
      </c>
      <c r="E413" t="s">
        <v>53</v>
      </c>
      <c r="F413" t="s">
        <v>210</v>
      </c>
      <c r="G413" s="53">
        <v>43959.644641203704</v>
      </c>
      <c r="H413">
        <v>33</v>
      </c>
      <c r="I413">
        <v>13722</v>
      </c>
      <c r="J413" t="s">
        <v>50</v>
      </c>
      <c r="K413" t="s">
        <v>50</v>
      </c>
      <c r="L413" t="s">
        <v>159</v>
      </c>
      <c r="M413" t="s">
        <v>51</v>
      </c>
      <c r="N413" t="s">
        <v>92</v>
      </c>
      <c r="O413" s="1">
        <v>41335</v>
      </c>
      <c r="P413" t="s">
        <v>84</v>
      </c>
      <c r="Q413">
        <v>5</v>
      </c>
      <c r="R413" t="s">
        <v>28</v>
      </c>
      <c r="S413">
        <v>0</v>
      </c>
      <c r="T413">
        <v>0</v>
      </c>
      <c r="U413">
        <v>0</v>
      </c>
    </row>
    <row r="414" spans="1:23" x14ac:dyDescent="0.25">
      <c r="A414" s="1">
        <v>43922</v>
      </c>
      <c r="B414" s="1">
        <v>43922</v>
      </c>
      <c r="C414" t="s">
        <v>157</v>
      </c>
      <c r="D414" t="s">
        <v>95</v>
      </c>
      <c r="E414" t="s">
        <v>56</v>
      </c>
      <c r="F414" t="s">
        <v>213</v>
      </c>
      <c r="G414" s="53">
        <v>43992.659548611111</v>
      </c>
      <c r="H414">
        <v>33</v>
      </c>
      <c r="I414" t="s">
        <v>349</v>
      </c>
      <c r="J414" t="s">
        <v>50</v>
      </c>
      <c r="K414" t="s">
        <v>50</v>
      </c>
      <c r="L414" t="s">
        <v>159</v>
      </c>
      <c r="M414" t="s">
        <v>51</v>
      </c>
      <c r="N414" t="s">
        <v>92</v>
      </c>
      <c r="O414" s="1">
        <v>41335</v>
      </c>
      <c r="P414" t="s">
        <v>84</v>
      </c>
      <c r="Q414">
        <v>5</v>
      </c>
      <c r="R414" t="s">
        <v>28</v>
      </c>
      <c r="S414">
        <v>1</v>
      </c>
      <c r="T414">
        <v>1</v>
      </c>
      <c r="U414">
        <v>1</v>
      </c>
    </row>
    <row r="415" spans="1:23" x14ac:dyDescent="0.25">
      <c r="A415" s="1">
        <v>43922</v>
      </c>
      <c r="B415" s="1">
        <v>43922</v>
      </c>
      <c r="C415" t="s">
        <v>157</v>
      </c>
      <c r="D415" t="s">
        <v>93</v>
      </c>
      <c r="E415" t="s">
        <v>49</v>
      </c>
      <c r="F415" t="s">
        <v>211</v>
      </c>
      <c r="G415" s="53">
        <v>43992.659548611111</v>
      </c>
      <c r="H415">
        <v>33</v>
      </c>
      <c r="I415" t="s">
        <v>349</v>
      </c>
      <c r="J415" t="s">
        <v>50</v>
      </c>
      <c r="K415" t="s">
        <v>50</v>
      </c>
      <c r="L415" t="s">
        <v>159</v>
      </c>
      <c r="M415" t="s">
        <v>51</v>
      </c>
      <c r="N415" t="s">
        <v>92</v>
      </c>
      <c r="O415" s="1">
        <v>41335</v>
      </c>
      <c r="P415" t="s">
        <v>84</v>
      </c>
      <c r="Q415">
        <v>5</v>
      </c>
      <c r="R415" t="s">
        <v>28</v>
      </c>
      <c r="S415">
        <v>1</v>
      </c>
      <c r="T415">
        <v>20</v>
      </c>
      <c r="U415">
        <v>20</v>
      </c>
    </row>
    <row r="416" spans="1:23" x14ac:dyDescent="0.25">
      <c r="A416" s="1">
        <v>43922</v>
      </c>
      <c r="B416" s="1">
        <v>43922</v>
      </c>
      <c r="C416" t="s">
        <v>157</v>
      </c>
      <c r="D416" t="s">
        <v>55</v>
      </c>
      <c r="E416" t="s">
        <v>56</v>
      </c>
      <c r="F416" t="s">
        <v>214</v>
      </c>
      <c r="G416" s="53">
        <v>43959.644641203704</v>
      </c>
      <c r="H416">
        <v>33</v>
      </c>
      <c r="I416">
        <v>13722</v>
      </c>
      <c r="J416" t="s">
        <v>50</v>
      </c>
      <c r="K416" t="s">
        <v>50</v>
      </c>
      <c r="L416" t="s">
        <v>159</v>
      </c>
      <c r="M416" t="s">
        <v>51</v>
      </c>
      <c r="N416" t="s">
        <v>92</v>
      </c>
      <c r="O416" s="1">
        <v>41335</v>
      </c>
      <c r="P416" t="s">
        <v>84</v>
      </c>
      <c r="Q416">
        <v>5</v>
      </c>
      <c r="R416" t="s">
        <v>28</v>
      </c>
      <c r="S416">
        <v>15.457482000000001</v>
      </c>
      <c r="T416">
        <v>1.0669999999999999</v>
      </c>
      <c r="U416">
        <v>16</v>
      </c>
    </row>
    <row r="417" spans="1:21" x14ac:dyDescent="0.25">
      <c r="A417" s="1">
        <v>43952</v>
      </c>
      <c r="B417" s="1">
        <v>43952</v>
      </c>
      <c r="C417" t="s">
        <v>157</v>
      </c>
      <c r="D417" t="s">
        <v>93</v>
      </c>
      <c r="E417" t="s">
        <v>49</v>
      </c>
      <c r="F417" t="s">
        <v>217</v>
      </c>
      <c r="G417" s="53">
        <v>44027.009201388886</v>
      </c>
      <c r="H417">
        <v>33</v>
      </c>
      <c r="I417">
        <v>14695</v>
      </c>
      <c r="J417" t="s">
        <v>50</v>
      </c>
      <c r="K417" t="s">
        <v>50</v>
      </c>
      <c r="L417" t="s">
        <v>159</v>
      </c>
      <c r="M417" t="s">
        <v>51</v>
      </c>
      <c r="N417" t="s">
        <v>92</v>
      </c>
      <c r="O417" s="1">
        <v>41335</v>
      </c>
      <c r="P417" t="s">
        <v>84</v>
      </c>
      <c r="Q417">
        <v>1</v>
      </c>
      <c r="R417" t="s">
        <v>83</v>
      </c>
      <c r="S417">
        <v>1</v>
      </c>
      <c r="T417">
        <v>269</v>
      </c>
      <c r="U417">
        <v>269</v>
      </c>
    </row>
    <row r="418" spans="1:21" x14ac:dyDescent="0.25">
      <c r="A418" s="1">
        <v>43952</v>
      </c>
      <c r="B418" s="1">
        <v>43952</v>
      </c>
      <c r="C418" t="s">
        <v>157</v>
      </c>
      <c r="D418" t="s">
        <v>95</v>
      </c>
      <c r="E418" t="s">
        <v>56</v>
      </c>
      <c r="F418" t="s">
        <v>218</v>
      </c>
      <c r="G418" s="53">
        <v>44027.009201388886</v>
      </c>
      <c r="H418">
        <v>33</v>
      </c>
      <c r="I418">
        <v>14695</v>
      </c>
      <c r="J418" t="s">
        <v>50</v>
      </c>
      <c r="K418" t="s">
        <v>50</v>
      </c>
      <c r="L418" t="s">
        <v>159</v>
      </c>
      <c r="M418" t="s">
        <v>51</v>
      </c>
      <c r="N418" t="s">
        <v>92</v>
      </c>
      <c r="O418" s="1">
        <v>41335</v>
      </c>
      <c r="P418" t="s">
        <v>84</v>
      </c>
      <c r="Q418">
        <v>1</v>
      </c>
      <c r="R418" t="s">
        <v>83</v>
      </c>
      <c r="S418">
        <v>1</v>
      </c>
      <c r="T418">
        <v>4</v>
      </c>
      <c r="U418">
        <v>4</v>
      </c>
    </row>
    <row r="419" spans="1:21" x14ac:dyDescent="0.25">
      <c r="A419" s="1">
        <v>43952</v>
      </c>
      <c r="B419" s="1">
        <v>43952</v>
      </c>
      <c r="C419" t="s">
        <v>157</v>
      </c>
      <c r="D419" t="s">
        <v>52</v>
      </c>
      <c r="E419" t="s">
        <v>53</v>
      </c>
      <c r="F419" t="s">
        <v>219</v>
      </c>
      <c r="G419" s="53">
        <v>43987.496550925927</v>
      </c>
      <c r="H419">
        <v>33</v>
      </c>
      <c r="I419">
        <v>14013</v>
      </c>
      <c r="J419" t="s">
        <v>50</v>
      </c>
      <c r="K419" t="s">
        <v>50</v>
      </c>
      <c r="L419" t="s">
        <v>159</v>
      </c>
      <c r="M419" t="s">
        <v>51</v>
      </c>
      <c r="N419" t="s">
        <v>92</v>
      </c>
      <c r="O419" s="1">
        <v>41335</v>
      </c>
      <c r="P419" t="s">
        <v>84</v>
      </c>
      <c r="Q419">
        <v>1</v>
      </c>
      <c r="R419" t="s">
        <v>83</v>
      </c>
      <c r="S419">
        <v>0</v>
      </c>
      <c r="T419">
        <v>0</v>
      </c>
      <c r="U419">
        <v>0</v>
      </c>
    </row>
    <row r="420" spans="1:21" x14ac:dyDescent="0.25">
      <c r="A420" s="1">
        <v>43952</v>
      </c>
      <c r="B420" s="1">
        <v>43952</v>
      </c>
      <c r="C420" t="s">
        <v>157</v>
      </c>
      <c r="D420" t="s">
        <v>48</v>
      </c>
      <c r="E420" t="s">
        <v>49</v>
      </c>
      <c r="F420" t="s">
        <v>220</v>
      </c>
      <c r="G420" s="53">
        <v>43987.496550925927</v>
      </c>
      <c r="H420">
        <v>33</v>
      </c>
      <c r="I420">
        <v>14013</v>
      </c>
      <c r="J420" t="s">
        <v>50</v>
      </c>
      <c r="K420" t="s">
        <v>50</v>
      </c>
      <c r="L420" t="s">
        <v>159</v>
      </c>
      <c r="M420" t="s">
        <v>51</v>
      </c>
      <c r="N420" t="s">
        <v>92</v>
      </c>
      <c r="O420" s="1">
        <v>41335</v>
      </c>
      <c r="P420" t="s">
        <v>84</v>
      </c>
      <c r="Q420">
        <v>1</v>
      </c>
      <c r="R420" t="s">
        <v>83</v>
      </c>
      <c r="S420">
        <v>2850.9896789999998</v>
      </c>
      <c r="T420">
        <v>71.221999999999994</v>
      </c>
      <c r="U420">
        <v>203053</v>
      </c>
    </row>
    <row r="421" spans="1:21" x14ac:dyDescent="0.25">
      <c r="A421" s="1">
        <v>43952</v>
      </c>
      <c r="B421" s="1">
        <v>43952</v>
      </c>
      <c r="C421" t="s">
        <v>157</v>
      </c>
      <c r="D421" t="s">
        <v>54</v>
      </c>
      <c r="E421" t="s">
        <v>21</v>
      </c>
      <c r="F421" t="s">
        <v>221</v>
      </c>
      <c r="G421" s="53">
        <v>43987.496550925927</v>
      </c>
      <c r="H421">
        <v>33</v>
      </c>
      <c r="I421">
        <v>14013</v>
      </c>
      <c r="J421" t="s">
        <v>50</v>
      </c>
      <c r="K421" t="s">
        <v>50</v>
      </c>
      <c r="L421" t="s">
        <v>159</v>
      </c>
      <c r="M421" t="s">
        <v>51</v>
      </c>
      <c r="N421" t="s">
        <v>92</v>
      </c>
      <c r="O421" s="1">
        <v>41335</v>
      </c>
      <c r="P421" t="s">
        <v>84</v>
      </c>
      <c r="Q421">
        <v>1</v>
      </c>
      <c r="R421" t="s">
        <v>83</v>
      </c>
      <c r="S421">
        <v>0</v>
      </c>
      <c r="T421">
        <v>6077.2</v>
      </c>
      <c r="U421">
        <v>0</v>
      </c>
    </row>
    <row r="422" spans="1:21" x14ac:dyDescent="0.25">
      <c r="A422" s="1">
        <v>43952</v>
      </c>
      <c r="B422" s="1">
        <v>43952</v>
      </c>
      <c r="C422" t="s">
        <v>157</v>
      </c>
      <c r="D422" t="s">
        <v>55</v>
      </c>
      <c r="E422" t="s">
        <v>56</v>
      </c>
      <c r="F422" t="s">
        <v>222</v>
      </c>
      <c r="G422" s="53">
        <v>43987.496550925927</v>
      </c>
      <c r="H422">
        <v>33</v>
      </c>
      <c r="I422">
        <v>14013</v>
      </c>
      <c r="J422" t="s">
        <v>50</v>
      </c>
      <c r="K422" t="s">
        <v>50</v>
      </c>
      <c r="L422" t="s">
        <v>159</v>
      </c>
      <c r="M422" t="s">
        <v>51</v>
      </c>
      <c r="N422" t="s">
        <v>92</v>
      </c>
      <c r="O422" s="1">
        <v>41335</v>
      </c>
      <c r="P422" t="s">
        <v>84</v>
      </c>
      <c r="Q422">
        <v>1</v>
      </c>
      <c r="R422" t="s">
        <v>83</v>
      </c>
      <c r="S422">
        <v>2850.9896789999998</v>
      </c>
      <c r="T422">
        <v>1.0669999999999999</v>
      </c>
      <c r="U422">
        <v>3042</v>
      </c>
    </row>
    <row r="423" spans="1:21" x14ac:dyDescent="0.25">
      <c r="A423" s="1">
        <v>43952</v>
      </c>
      <c r="B423" s="1">
        <v>43952</v>
      </c>
      <c r="C423" t="s">
        <v>157</v>
      </c>
      <c r="D423" t="s">
        <v>48</v>
      </c>
      <c r="E423" t="s">
        <v>49</v>
      </c>
      <c r="F423" t="s">
        <v>220</v>
      </c>
      <c r="G423" s="53">
        <v>43987.496550925927</v>
      </c>
      <c r="H423">
        <v>33</v>
      </c>
      <c r="I423">
        <v>14013</v>
      </c>
      <c r="J423" t="s">
        <v>50</v>
      </c>
      <c r="K423" t="s">
        <v>50</v>
      </c>
      <c r="L423" t="s">
        <v>159</v>
      </c>
      <c r="M423" t="s">
        <v>51</v>
      </c>
      <c r="N423" t="s">
        <v>92</v>
      </c>
      <c r="O423" s="1">
        <v>41335</v>
      </c>
      <c r="P423" t="s">
        <v>84</v>
      </c>
      <c r="Q423">
        <v>2</v>
      </c>
      <c r="R423" t="s">
        <v>94</v>
      </c>
      <c r="S423">
        <v>6.0668620000000004</v>
      </c>
      <c r="T423">
        <v>73.772999999999996</v>
      </c>
      <c r="U423">
        <v>448</v>
      </c>
    </row>
    <row r="424" spans="1:21" x14ac:dyDescent="0.25">
      <c r="A424" s="1">
        <v>43952</v>
      </c>
      <c r="B424" s="1">
        <v>43952</v>
      </c>
      <c r="C424" t="s">
        <v>157</v>
      </c>
      <c r="D424" t="s">
        <v>52</v>
      </c>
      <c r="E424" t="s">
        <v>53</v>
      </c>
      <c r="F424" t="s">
        <v>219</v>
      </c>
      <c r="G424" s="53">
        <v>43987.496550925927</v>
      </c>
      <c r="H424">
        <v>33</v>
      </c>
      <c r="I424">
        <v>14013</v>
      </c>
      <c r="J424" t="s">
        <v>50</v>
      </c>
      <c r="K424" t="s">
        <v>50</v>
      </c>
      <c r="L424" t="s">
        <v>159</v>
      </c>
      <c r="M424" t="s">
        <v>51</v>
      </c>
      <c r="N424" t="s">
        <v>92</v>
      </c>
      <c r="O424" s="1">
        <v>41335</v>
      </c>
      <c r="P424" t="s">
        <v>84</v>
      </c>
      <c r="Q424">
        <v>2</v>
      </c>
      <c r="R424" t="s">
        <v>94</v>
      </c>
      <c r="S424">
        <v>0</v>
      </c>
      <c r="T424">
        <v>0</v>
      </c>
      <c r="U424">
        <v>0</v>
      </c>
    </row>
    <row r="425" spans="1:21" x14ac:dyDescent="0.25">
      <c r="A425" s="1">
        <v>43952</v>
      </c>
      <c r="B425" s="1">
        <v>43952</v>
      </c>
      <c r="C425" t="s">
        <v>157</v>
      </c>
      <c r="D425" t="s">
        <v>54</v>
      </c>
      <c r="E425" t="s">
        <v>21</v>
      </c>
      <c r="F425" t="s">
        <v>221</v>
      </c>
      <c r="G425" s="53">
        <v>43987.496550925927</v>
      </c>
      <c r="H425">
        <v>33</v>
      </c>
      <c r="I425">
        <v>14013</v>
      </c>
      <c r="J425" t="s">
        <v>50</v>
      </c>
      <c r="K425" t="s">
        <v>50</v>
      </c>
      <c r="L425" t="s">
        <v>159</v>
      </c>
      <c r="M425" t="s">
        <v>51</v>
      </c>
      <c r="N425" t="s">
        <v>92</v>
      </c>
      <c r="O425" s="1">
        <v>41335</v>
      </c>
      <c r="P425" t="s">
        <v>84</v>
      </c>
      <c r="Q425">
        <v>2</v>
      </c>
      <c r="R425" t="s">
        <v>94</v>
      </c>
      <c r="S425">
        <v>0</v>
      </c>
      <c r="T425">
        <v>6151.21</v>
      </c>
      <c r="U425">
        <v>0</v>
      </c>
    </row>
    <row r="426" spans="1:21" x14ac:dyDescent="0.25">
      <c r="A426" s="1">
        <v>43952</v>
      </c>
      <c r="B426" s="1">
        <v>43952</v>
      </c>
      <c r="C426" t="s">
        <v>157</v>
      </c>
      <c r="D426" t="s">
        <v>55</v>
      </c>
      <c r="E426" t="s">
        <v>56</v>
      </c>
      <c r="F426" t="s">
        <v>222</v>
      </c>
      <c r="G426" s="53">
        <v>43987.496550925927</v>
      </c>
      <c r="H426">
        <v>33</v>
      </c>
      <c r="I426">
        <v>14013</v>
      </c>
      <c r="J426" t="s">
        <v>50</v>
      </c>
      <c r="K426" t="s">
        <v>50</v>
      </c>
      <c r="L426" t="s">
        <v>159</v>
      </c>
      <c r="M426" t="s">
        <v>51</v>
      </c>
      <c r="N426" t="s">
        <v>92</v>
      </c>
      <c r="O426" s="1">
        <v>41335</v>
      </c>
      <c r="P426" t="s">
        <v>84</v>
      </c>
      <c r="Q426">
        <v>2</v>
      </c>
      <c r="R426" t="s">
        <v>94</v>
      </c>
      <c r="S426">
        <v>6.9</v>
      </c>
      <c r="T426">
        <v>1.0669999999999999</v>
      </c>
      <c r="U426">
        <v>7</v>
      </c>
    </row>
    <row r="427" spans="1:21" x14ac:dyDescent="0.25">
      <c r="A427" s="1">
        <v>43952</v>
      </c>
      <c r="B427" s="1">
        <v>43952</v>
      </c>
      <c r="C427" t="s">
        <v>157</v>
      </c>
      <c r="D427" t="s">
        <v>95</v>
      </c>
      <c r="E427" t="s">
        <v>56</v>
      </c>
      <c r="F427" t="s">
        <v>218</v>
      </c>
      <c r="G427" s="53">
        <v>44027.009201388886</v>
      </c>
      <c r="H427">
        <v>33</v>
      </c>
      <c r="I427">
        <v>14695</v>
      </c>
      <c r="J427" t="s">
        <v>50</v>
      </c>
      <c r="K427" t="s">
        <v>50</v>
      </c>
      <c r="L427" t="s">
        <v>159</v>
      </c>
      <c r="M427" t="s">
        <v>51</v>
      </c>
      <c r="N427" t="s">
        <v>92</v>
      </c>
      <c r="O427" s="1">
        <v>41335</v>
      </c>
      <c r="P427" t="s">
        <v>84</v>
      </c>
      <c r="Q427">
        <v>3</v>
      </c>
      <c r="R427" t="s">
        <v>81</v>
      </c>
      <c r="S427">
        <v>1</v>
      </c>
      <c r="T427">
        <v>1</v>
      </c>
      <c r="U427">
        <v>1</v>
      </c>
    </row>
    <row r="428" spans="1:21" x14ac:dyDescent="0.25">
      <c r="A428" s="1">
        <v>43952</v>
      </c>
      <c r="B428" s="1">
        <v>43952</v>
      </c>
      <c r="C428" t="s">
        <v>157</v>
      </c>
      <c r="D428" t="s">
        <v>52</v>
      </c>
      <c r="E428" t="s">
        <v>53</v>
      </c>
      <c r="F428" t="s">
        <v>219</v>
      </c>
      <c r="G428" s="53">
        <v>43987.496550925927</v>
      </c>
      <c r="H428">
        <v>33</v>
      </c>
      <c r="I428">
        <v>14013</v>
      </c>
      <c r="J428" t="s">
        <v>50</v>
      </c>
      <c r="K428" t="s">
        <v>50</v>
      </c>
      <c r="L428" t="s">
        <v>159</v>
      </c>
      <c r="M428" t="s">
        <v>51</v>
      </c>
      <c r="N428" t="s">
        <v>92</v>
      </c>
      <c r="O428" s="1">
        <v>41335</v>
      </c>
      <c r="P428" t="s">
        <v>84</v>
      </c>
      <c r="Q428">
        <v>3</v>
      </c>
      <c r="R428" t="s">
        <v>81</v>
      </c>
      <c r="S428">
        <v>0</v>
      </c>
      <c r="T428">
        <v>0</v>
      </c>
      <c r="U428">
        <v>0</v>
      </c>
    </row>
    <row r="429" spans="1:21" x14ac:dyDescent="0.25">
      <c r="A429" s="1">
        <v>43952</v>
      </c>
      <c r="B429" s="1">
        <v>43952</v>
      </c>
      <c r="C429" t="s">
        <v>157</v>
      </c>
      <c r="D429" t="s">
        <v>93</v>
      </c>
      <c r="E429" t="s">
        <v>49</v>
      </c>
      <c r="F429" t="s">
        <v>217</v>
      </c>
      <c r="G429" s="53">
        <v>44027.009201388886</v>
      </c>
      <c r="H429">
        <v>33</v>
      </c>
      <c r="I429">
        <v>14695</v>
      </c>
      <c r="J429" t="s">
        <v>50</v>
      </c>
      <c r="K429" t="s">
        <v>50</v>
      </c>
      <c r="L429" t="s">
        <v>159</v>
      </c>
      <c r="M429" t="s">
        <v>51</v>
      </c>
      <c r="N429" t="s">
        <v>92</v>
      </c>
      <c r="O429" s="1">
        <v>41335</v>
      </c>
      <c r="P429" t="s">
        <v>84</v>
      </c>
      <c r="Q429">
        <v>3</v>
      </c>
      <c r="R429" t="s">
        <v>81</v>
      </c>
      <c r="S429">
        <v>1</v>
      </c>
      <c r="T429">
        <v>38</v>
      </c>
      <c r="U429">
        <v>38</v>
      </c>
    </row>
    <row r="430" spans="1:21" x14ac:dyDescent="0.25">
      <c r="A430" s="1">
        <v>43952</v>
      </c>
      <c r="B430" s="1">
        <v>43952</v>
      </c>
      <c r="C430" t="s">
        <v>157</v>
      </c>
      <c r="D430" t="s">
        <v>54</v>
      </c>
      <c r="E430" t="s">
        <v>21</v>
      </c>
      <c r="F430" t="s">
        <v>221</v>
      </c>
      <c r="G430" s="53">
        <v>43987.496550925927</v>
      </c>
      <c r="H430">
        <v>33</v>
      </c>
      <c r="I430">
        <v>14013</v>
      </c>
      <c r="J430" t="s">
        <v>50</v>
      </c>
      <c r="K430" t="s">
        <v>50</v>
      </c>
      <c r="L430" t="s">
        <v>159</v>
      </c>
      <c r="M430" t="s">
        <v>51</v>
      </c>
      <c r="N430" t="s">
        <v>92</v>
      </c>
      <c r="O430" s="1">
        <v>41335</v>
      </c>
      <c r="P430" t="s">
        <v>84</v>
      </c>
      <c r="Q430">
        <v>3</v>
      </c>
      <c r="R430" t="s">
        <v>81</v>
      </c>
      <c r="S430">
        <v>0</v>
      </c>
      <c r="T430">
        <v>5767.18</v>
      </c>
      <c r="U430">
        <v>0</v>
      </c>
    </row>
    <row r="431" spans="1:21" x14ac:dyDescent="0.25">
      <c r="A431" s="1">
        <v>43952</v>
      </c>
      <c r="B431" s="1">
        <v>43952</v>
      </c>
      <c r="C431" t="s">
        <v>157</v>
      </c>
      <c r="D431" t="s">
        <v>55</v>
      </c>
      <c r="E431" t="s">
        <v>56</v>
      </c>
      <c r="F431" t="s">
        <v>222</v>
      </c>
      <c r="G431" s="53">
        <v>43987.496550925927</v>
      </c>
      <c r="H431">
        <v>33</v>
      </c>
      <c r="I431">
        <v>14013</v>
      </c>
      <c r="J431" t="s">
        <v>50</v>
      </c>
      <c r="K431" t="s">
        <v>50</v>
      </c>
      <c r="L431" t="s">
        <v>159</v>
      </c>
      <c r="M431" t="s">
        <v>51</v>
      </c>
      <c r="N431" t="s">
        <v>92</v>
      </c>
      <c r="O431" s="1">
        <v>41335</v>
      </c>
      <c r="P431" t="s">
        <v>84</v>
      </c>
      <c r="Q431">
        <v>3</v>
      </c>
      <c r="R431" t="s">
        <v>81</v>
      </c>
      <c r="S431">
        <v>420.03741300000002</v>
      </c>
      <c r="T431">
        <v>1.0669999999999999</v>
      </c>
      <c r="U431">
        <v>448</v>
      </c>
    </row>
    <row r="432" spans="1:21" x14ac:dyDescent="0.25">
      <c r="A432" s="1">
        <v>43952</v>
      </c>
      <c r="B432" s="1">
        <v>43952</v>
      </c>
      <c r="C432" t="s">
        <v>157</v>
      </c>
      <c r="D432" t="s">
        <v>48</v>
      </c>
      <c r="E432" t="s">
        <v>49</v>
      </c>
      <c r="F432" t="s">
        <v>220</v>
      </c>
      <c r="G432" s="53">
        <v>43987.496550925927</v>
      </c>
      <c r="H432">
        <v>33</v>
      </c>
      <c r="I432">
        <v>14013</v>
      </c>
      <c r="J432" t="s">
        <v>50</v>
      </c>
      <c r="K432" t="s">
        <v>50</v>
      </c>
      <c r="L432" t="s">
        <v>159</v>
      </c>
      <c r="M432" t="s">
        <v>51</v>
      </c>
      <c r="N432" t="s">
        <v>92</v>
      </c>
      <c r="O432" s="1">
        <v>41335</v>
      </c>
      <c r="P432" t="s">
        <v>84</v>
      </c>
      <c r="Q432">
        <v>3</v>
      </c>
      <c r="R432" t="s">
        <v>81</v>
      </c>
      <c r="S432">
        <v>420.03741300000002</v>
      </c>
      <c r="T432">
        <v>67.765000000000001</v>
      </c>
      <c r="U432">
        <v>28464</v>
      </c>
    </row>
    <row r="433" spans="1:21" x14ac:dyDescent="0.25">
      <c r="A433" s="1">
        <v>43952</v>
      </c>
      <c r="B433" s="1">
        <v>43952</v>
      </c>
      <c r="C433" t="s">
        <v>157</v>
      </c>
      <c r="D433" t="s">
        <v>55</v>
      </c>
      <c r="E433" t="s">
        <v>56</v>
      </c>
      <c r="F433" t="s">
        <v>222</v>
      </c>
      <c r="G433" s="53">
        <v>43987.496550925927</v>
      </c>
      <c r="H433">
        <v>33</v>
      </c>
      <c r="I433">
        <v>14013</v>
      </c>
      <c r="J433" t="s">
        <v>50</v>
      </c>
      <c r="K433" t="s">
        <v>50</v>
      </c>
      <c r="L433" t="s">
        <v>159</v>
      </c>
      <c r="M433" t="s">
        <v>51</v>
      </c>
      <c r="N433" t="s">
        <v>92</v>
      </c>
      <c r="O433" s="1">
        <v>41335</v>
      </c>
      <c r="P433" t="s">
        <v>84</v>
      </c>
      <c r="Q433">
        <v>4</v>
      </c>
      <c r="R433" t="s">
        <v>27</v>
      </c>
      <c r="S433">
        <v>2600.4811690000001</v>
      </c>
      <c r="T433">
        <v>1.0669999999999999</v>
      </c>
      <c r="U433">
        <v>2775</v>
      </c>
    </row>
    <row r="434" spans="1:21" x14ac:dyDescent="0.25">
      <c r="A434" s="1">
        <v>43952</v>
      </c>
      <c r="B434" s="1">
        <v>43952</v>
      </c>
      <c r="C434" t="s">
        <v>157</v>
      </c>
      <c r="D434" t="s">
        <v>52</v>
      </c>
      <c r="E434" t="s">
        <v>53</v>
      </c>
      <c r="F434" t="s">
        <v>219</v>
      </c>
      <c r="G434" s="53">
        <v>43987.496550925927</v>
      </c>
      <c r="H434">
        <v>33</v>
      </c>
      <c r="I434">
        <v>14013</v>
      </c>
      <c r="J434" t="s">
        <v>50</v>
      </c>
      <c r="K434" t="s">
        <v>50</v>
      </c>
      <c r="L434" t="s">
        <v>159</v>
      </c>
      <c r="M434" t="s">
        <v>51</v>
      </c>
      <c r="N434" t="s">
        <v>92</v>
      </c>
      <c r="O434" s="1">
        <v>41335</v>
      </c>
      <c r="P434" t="s">
        <v>84</v>
      </c>
      <c r="Q434">
        <v>4</v>
      </c>
      <c r="R434" t="s">
        <v>27</v>
      </c>
      <c r="S434">
        <v>0</v>
      </c>
      <c r="T434">
        <v>0</v>
      </c>
      <c r="U434">
        <v>0</v>
      </c>
    </row>
    <row r="435" spans="1:21" x14ac:dyDescent="0.25">
      <c r="A435" s="1">
        <v>43952</v>
      </c>
      <c r="B435" s="1">
        <v>43952</v>
      </c>
      <c r="C435" t="s">
        <v>157</v>
      </c>
      <c r="D435" t="s">
        <v>95</v>
      </c>
      <c r="E435" t="s">
        <v>56</v>
      </c>
      <c r="F435" t="s">
        <v>218</v>
      </c>
      <c r="G435" s="53">
        <v>44027.009201388886</v>
      </c>
      <c r="H435">
        <v>33</v>
      </c>
      <c r="I435">
        <v>14695</v>
      </c>
      <c r="J435" t="s">
        <v>50</v>
      </c>
      <c r="K435" t="s">
        <v>50</v>
      </c>
      <c r="L435" t="s">
        <v>159</v>
      </c>
      <c r="M435" t="s">
        <v>51</v>
      </c>
      <c r="N435" t="s">
        <v>92</v>
      </c>
      <c r="O435" s="1">
        <v>41335</v>
      </c>
      <c r="P435" t="s">
        <v>84</v>
      </c>
      <c r="Q435">
        <v>4</v>
      </c>
      <c r="R435" t="s">
        <v>27</v>
      </c>
      <c r="S435">
        <v>1</v>
      </c>
      <c r="T435">
        <v>3</v>
      </c>
      <c r="U435">
        <v>3</v>
      </c>
    </row>
    <row r="436" spans="1:21" x14ac:dyDescent="0.25">
      <c r="A436" s="1">
        <v>43952</v>
      </c>
      <c r="B436" s="1">
        <v>43952</v>
      </c>
      <c r="C436" t="s">
        <v>157</v>
      </c>
      <c r="D436" t="s">
        <v>93</v>
      </c>
      <c r="E436" t="s">
        <v>49</v>
      </c>
      <c r="F436" t="s">
        <v>217</v>
      </c>
      <c r="G436" s="53">
        <v>44027.009201388886</v>
      </c>
      <c r="H436">
        <v>33</v>
      </c>
      <c r="I436">
        <v>14695</v>
      </c>
      <c r="J436" t="s">
        <v>50</v>
      </c>
      <c r="K436" t="s">
        <v>50</v>
      </c>
      <c r="L436" t="s">
        <v>159</v>
      </c>
      <c r="M436" t="s">
        <v>51</v>
      </c>
      <c r="N436" t="s">
        <v>92</v>
      </c>
      <c r="O436" s="1">
        <v>41335</v>
      </c>
      <c r="P436" t="s">
        <v>84</v>
      </c>
      <c r="Q436">
        <v>4</v>
      </c>
      <c r="R436" t="s">
        <v>27</v>
      </c>
      <c r="S436">
        <v>1</v>
      </c>
      <c r="T436">
        <v>238</v>
      </c>
      <c r="U436">
        <v>238</v>
      </c>
    </row>
    <row r="437" spans="1:21" x14ac:dyDescent="0.25">
      <c r="A437" s="1">
        <v>43952</v>
      </c>
      <c r="B437" s="1">
        <v>43952</v>
      </c>
      <c r="C437" t="s">
        <v>157</v>
      </c>
      <c r="D437" t="s">
        <v>48</v>
      </c>
      <c r="E437" t="s">
        <v>49</v>
      </c>
      <c r="F437" t="s">
        <v>220</v>
      </c>
      <c r="G437" s="53">
        <v>43987.496550925927</v>
      </c>
      <c r="H437">
        <v>33</v>
      </c>
      <c r="I437">
        <v>14013</v>
      </c>
      <c r="J437" t="s">
        <v>50</v>
      </c>
      <c r="K437" t="s">
        <v>50</v>
      </c>
      <c r="L437" t="s">
        <v>159</v>
      </c>
      <c r="M437" t="s">
        <v>51</v>
      </c>
      <c r="N437" t="s">
        <v>92</v>
      </c>
      <c r="O437" s="1">
        <v>41335</v>
      </c>
      <c r="P437" t="s">
        <v>84</v>
      </c>
      <c r="Q437">
        <v>4</v>
      </c>
      <c r="R437" t="s">
        <v>27</v>
      </c>
      <c r="S437">
        <v>2600.4811690000001</v>
      </c>
      <c r="T437">
        <v>69.12</v>
      </c>
      <c r="U437">
        <v>179745</v>
      </c>
    </row>
    <row r="438" spans="1:21" x14ac:dyDescent="0.25">
      <c r="A438" s="1">
        <v>43952</v>
      </c>
      <c r="B438" s="1">
        <v>43952</v>
      </c>
      <c r="C438" t="s">
        <v>157</v>
      </c>
      <c r="D438" t="s">
        <v>54</v>
      </c>
      <c r="E438" t="s">
        <v>21</v>
      </c>
      <c r="F438" t="s">
        <v>221</v>
      </c>
      <c r="G438" s="53">
        <v>43987.496550925927</v>
      </c>
      <c r="H438">
        <v>33</v>
      </c>
      <c r="I438">
        <v>14013</v>
      </c>
      <c r="J438" t="s">
        <v>50</v>
      </c>
      <c r="K438" t="s">
        <v>50</v>
      </c>
      <c r="L438" t="s">
        <v>159</v>
      </c>
      <c r="M438" t="s">
        <v>51</v>
      </c>
      <c r="N438" t="s">
        <v>92</v>
      </c>
      <c r="O438" s="1">
        <v>41335</v>
      </c>
      <c r="P438" t="s">
        <v>84</v>
      </c>
      <c r="Q438">
        <v>4</v>
      </c>
      <c r="R438" t="s">
        <v>27</v>
      </c>
      <c r="S438">
        <v>0</v>
      </c>
      <c r="T438">
        <v>5963.14</v>
      </c>
      <c r="U438">
        <v>0</v>
      </c>
    </row>
    <row r="439" spans="1:21" x14ac:dyDescent="0.25">
      <c r="A439" s="1">
        <v>43952</v>
      </c>
      <c r="B439" s="1">
        <v>43952</v>
      </c>
      <c r="C439" t="s">
        <v>157</v>
      </c>
      <c r="D439" t="s">
        <v>55</v>
      </c>
      <c r="E439" t="s">
        <v>56</v>
      </c>
      <c r="F439" t="s">
        <v>222</v>
      </c>
      <c r="G439" s="53">
        <v>43987.496550925927</v>
      </c>
      <c r="H439">
        <v>33</v>
      </c>
      <c r="I439">
        <v>14013</v>
      </c>
      <c r="J439" t="s">
        <v>50</v>
      </c>
      <c r="K439" t="s">
        <v>50</v>
      </c>
      <c r="L439" t="s">
        <v>159</v>
      </c>
      <c r="M439" t="s">
        <v>51</v>
      </c>
      <c r="N439" t="s">
        <v>92</v>
      </c>
      <c r="O439" s="1">
        <v>41335</v>
      </c>
      <c r="P439" t="s">
        <v>84</v>
      </c>
      <c r="Q439">
        <v>5</v>
      </c>
      <c r="R439" t="s">
        <v>28</v>
      </c>
      <c r="S439">
        <v>15.361321</v>
      </c>
      <c r="T439">
        <v>1.0669999999999999</v>
      </c>
      <c r="U439">
        <v>16</v>
      </c>
    </row>
    <row r="440" spans="1:21" x14ac:dyDescent="0.25">
      <c r="A440" s="1">
        <v>43952</v>
      </c>
      <c r="B440" s="1">
        <v>43952</v>
      </c>
      <c r="C440" t="s">
        <v>157</v>
      </c>
      <c r="D440" t="s">
        <v>54</v>
      </c>
      <c r="E440" t="s">
        <v>21</v>
      </c>
      <c r="F440" t="s">
        <v>221</v>
      </c>
      <c r="G440" s="53">
        <v>43987.496550925927</v>
      </c>
      <c r="H440">
        <v>33</v>
      </c>
      <c r="I440">
        <v>14013</v>
      </c>
      <c r="J440" t="s">
        <v>50</v>
      </c>
      <c r="K440" t="s">
        <v>50</v>
      </c>
      <c r="L440" t="s">
        <v>159</v>
      </c>
      <c r="M440" t="s">
        <v>51</v>
      </c>
      <c r="N440" t="s">
        <v>92</v>
      </c>
      <c r="O440" s="1">
        <v>41335</v>
      </c>
      <c r="P440" t="s">
        <v>84</v>
      </c>
      <c r="Q440">
        <v>5</v>
      </c>
      <c r="R440" t="s">
        <v>28</v>
      </c>
      <c r="S440">
        <v>0</v>
      </c>
      <c r="T440">
        <v>5783.56</v>
      </c>
      <c r="U440">
        <v>0</v>
      </c>
    </row>
    <row r="441" spans="1:21" x14ac:dyDescent="0.25">
      <c r="A441" s="1">
        <v>43952</v>
      </c>
      <c r="B441" s="1">
        <v>43952</v>
      </c>
      <c r="C441" t="s">
        <v>157</v>
      </c>
      <c r="D441" t="s">
        <v>52</v>
      </c>
      <c r="E441" t="s">
        <v>53</v>
      </c>
      <c r="F441" t="s">
        <v>219</v>
      </c>
      <c r="G441" s="53">
        <v>43987.496550925927</v>
      </c>
      <c r="H441">
        <v>33</v>
      </c>
      <c r="I441">
        <v>14013</v>
      </c>
      <c r="J441" t="s">
        <v>50</v>
      </c>
      <c r="K441" t="s">
        <v>50</v>
      </c>
      <c r="L441" t="s">
        <v>159</v>
      </c>
      <c r="M441" t="s">
        <v>51</v>
      </c>
      <c r="N441" t="s">
        <v>92</v>
      </c>
      <c r="O441" s="1">
        <v>41335</v>
      </c>
      <c r="P441" t="s">
        <v>84</v>
      </c>
      <c r="Q441">
        <v>5</v>
      </c>
      <c r="R441" t="s">
        <v>28</v>
      </c>
      <c r="S441">
        <v>0</v>
      </c>
      <c r="T441">
        <v>0</v>
      </c>
      <c r="U441">
        <v>0</v>
      </c>
    </row>
    <row r="442" spans="1:21" x14ac:dyDescent="0.25">
      <c r="A442" s="1">
        <v>43952</v>
      </c>
      <c r="B442" s="1">
        <v>43952</v>
      </c>
      <c r="C442" t="s">
        <v>157</v>
      </c>
      <c r="D442" t="s">
        <v>93</v>
      </c>
      <c r="E442" t="s">
        <v>49</v>
      </c>
      <c r="F442" t="s">
        <v>217</v>
      </c>
      <c r="G442" s="53">
        <v>44027.009201388886</v>
      </c>
      <c r="H442">
        <v>33</v>
      </c>
      <c r="I442">
        <v>14695</v>
      </c>
      <c r="J442" t="s">
        <v>50</v>
      </c>
      <c r="K442" t="s">
        <v>50</v>
      </c>
      <c r="L442" t="s">
        <v>159</v>
      </c>
      <c r="M442" t="s">
        <v>51</v>
      </c>
      <c r="N442" t="s">
        <v>92</v>
      </c>
      <c r="O442" s="1">
        <v>41335</v>
      </c>
      <c r="P442" t="s">
        <v>84</v>
      </c>
      <c r="Q442">
        <v>5</v>
      </c>
      <c r="R442" t="s">
        <v>28</v>
      </c>
      <c r="S442">
        <v>1</v>
      </c>
      <c r="T442">
        <v>1</v>
      </c>
      <c r="U442">
        <v>1</v>
      </c>
    </row>
    <row r="443" spans="1:21" x14ac:dyDescent="0.25">
      <c r="A443" s="1">
        <v>43952</v>
      </c>
      <c r="B443" s="1">
        <v>43952</v>
      </c>
      <c r="C443" t="s">
        <v>157</v>
      </c>
      <c r="D443" t="s">
        <v>48</v>
      </c>
      <c r="E443" t="s">
        <v>49</v>
      </c>
      <c r="F443" t="s">
        <v>220</v>
      </c>
      <c r="G443" s="53">
        <v>43987.496550925927</v>
      </c>
      <c r="H443">
        <v>33</v>
      </c>
      <c r="I443">
        <v>14013</v>
      </c>
      <c r="J443" t="s">
        <v>50</v>
      </c>
      <c r="K443" t="s">
        <v>50</v>
      </c>
      <c r="L443" t="s">
        <v>159</v>
      </c>
      <c r="M443" t="s">
        <v>51</v>
      </c>
      <c r="N443" t="s">
        <v>92</v>
      </c>
      <c r="O443" s="1">
        <v>41335</v>
      </c>
      <c r="P443" t="s">
        <v>84</v>
      </c>
      <c r="Q443">
        <v>5</v>
      </c>
      <c r="R443" t="s">
        <v>28</v>
      </c>
      <c r="S443">
        <v>15.361321</v>
      </c>
      <c r="T443">
        <v>71.932000000000002</v>
      </c>
      <c r="U443">
        <v>1105</v>
      </c>
    </row>
    <row r="444" spans="1:21" x14ac:dyDescent="0.25">
      <c r="A444" s="1">
        <v>43983</v>
      </c>
      <c r="B444" s="1">
        <v>43983</v>
      </c>
      <c r="C444" t="s">
        <v>157</v>
      </c>
      <c r="D444" t="s">
        <v>54</v>
      </c>
      <c r="E444" t="s">
        <v>21</v>
      </c>
      <c r="F444" t="s">
        <v>224</v>
      </c>
      <c r="G444" s="53">
        <v>44020.479664351849</v>
      </c>
      <c r="H444">
        <v>33</v>
      </c>
      <c r="I444">
        <v>14392</v>
      </c>
      <c r="J444" t="s">
        <v>50</v>
      </c>
      <c r="K444" t="s">
        <v>50</v>
      </c>
      <c r="L444" t="s">
        <v>159</v>
      </c>
      <c r="M444" t="s">
        <v>51</v>
      </c>
      <c r="N444" t="s">
        <v>92</v>
      </c>
      <c r="O444" s="1">
        <v>41335</v>
      </c>
      <c r="P444" t="s">
        <v>84</v>
      </c>
      <c r="Q444">
        <v>1</v>
      </c>
      <c r="R444" t="s">
        <v>83</v>
      </c>
      <c r="S444">
        <v>0</v>
      </c>
      <c r="T444">
        <v>6077.2</v>
      </c>
      <c r="U444">
        <v>0</v>
      </c>
    </row>
    <row r="445" spans="1:21" x14ac:dyDescent="0.25">
      <c r="A445" s="1">
        <v>43983</v>
      </c>
      <c r="B445" s="1">
        <v>43983</v>
      </c>
      <c r="C445" t="s">
        <v>157</v>
      </c>
      <c r="D445" t="s">
        <v>52</v>
      </c>
      <c r="E445" t="s">
        <v>53</v>
      </c>
      <c r="F445" t="s">
        <v>225</v>
      </c>
      <c r="G445" s="53">
        <v>44020.479664351849</v>
      </c>
      <c r="H445">
        <v>33</v>
      </c>
      <c r="I445">
        <v>14392</v>
      </c>
      <c r="J445" t="s">
        <v>50</v>
      </c>
      <c r="K445" t="s">
        <v>50</v>
      </c>
      <c r="L445" t="s">
        <v>159</v>
      </c>
      <c r="M445" t="s">
        <v>51</v>
      </c>
      <c r="N445" t="s">
        <v>92</v>
      </c>
      <c r="O445" s="1">
        <v>41335</v>
      </c>
      <c r="P445" t="s">
        <v>84</v>
      </c>
      <c r="Q445">
        <v>1</v>
      </c>
      <c r="R445" t="s">
        <v>83</v>
      </c>
      <c r="S445">
        <v>0</v>
      </c>
      <c r="T445">
        <v>0</v>
      </c>
      <c r="U445">
        <v>0</v>
      </c>
    </row>
    <row r="446" spans="1:21" x14ac:dyDescent="0.25">
      <c r="A446" s="1">
        <v>43983</v>
      </c>
      <c r="B446" s="1">
        <v>43983</v>
      </c>
      <c r="C446" t="s">
        <v>157</v>
      </c>
      <c r="D446" t="s">
        <v>55</v>
      </c>
      <c r="E446" t="s">
        <v>56</v>
      </c>
      <c r="F446" t="s">
        <v>226</v>
      </c>
      <c r="G446" s="53">
        <v>44020.479664351849</v>
      </c>
      <c r="H446">
        <v>33</v>
      </c>
      <c r="I446">
        <v>14392</v>
      </c>
      <c r="J446" t="s">
        <v>50</v>
      </c>
      <c r="K446" t="s">
        <v>50</v>
      </c>
      <c r="L446" t="s">
        <v>159</v>
      </c>
      <c r="M446" t="s">
        <v>51</v>
      </c>
      <c r="N446" t="s">
        <v>92</v>
      </c>
      <c r="O446" s="1">
        <v>41335</v>
      </c>
      <c r="P446" t="s">
        <v>84</v>
      </c>
      <c r="Q446">
        <v>1</v>
      </c>
      <c r="R446" t="s">
        <v>83</v>
      </c>
      <c r="S446">
        <v>2496.0713719999999</v>
      </c>
      <c r="T446">
        <v>1.0669999999999999</v>
      </c>
      <c r="U446">
        <v>2663</v>
      </c>
    </row>
    <row r="447" spans="1:21" x14ac:dyDescent="0.25">
      <c r="A447" s="1">
        <v>43983</v>
      </c>
      <c r="B447" s="1">
        <v>43983</v>
      </c>
      <c r="C447" t="s">
        <v>157</v>
      </c>
      <c r="D447" t="s">
        <v>95</v>
      </c>
      <c r="E447" t="s">
        <v>56</v>
      </c>
      <c r="F447" t="s">
        <v>227</v>
      </c>
      <c r="G447" s="53">
        <v>44057.743877314817</v>
      </c>
      <c r="H447">
        <v>61</v>
      </c>
      <c r="I447" t="s">
        <v>349</v>
      </c>
      <c r="J447" t="s">
        <v>50</v>
      </c>
      <c r="K447" t="s">
        <v>50</v>
      </c>
      <c r="L447" t="s">
        <v>159</v>
      </c>
      <c r="M447" t="s">
        <v>51</v>
      </c>
      <c r="N447" t="s">
        <v>92</v>
      </c>
      <c r="O447" s="1">
        <v>41335</v>
      </c>
      <c r="P447" t="s">
        <v>84</v>
      </c>
      <c r="Q447">
        <v>1</v>
      </c>
      <c r="R447" t="s">
        <v>83</v>
      </c>
      <c r="S447">
        <v>1</v>
      </c>
      <c r="T447">
        <v>-21</v>
      </c>
      <c r="U447">
        <v>-21</v>
      </c>
    </row>
    <row r="448" spans="1:21" x14ac:dyDescent="0.25">
      <c r="A448" s="1">
        <v>43983</v>
      </c>
      <c r="B448" s="1">
        <v>43983</v>
      </c>
      <c r="C448" t="s">
        <v>157</v>
      </c>
      <c r="D448" t="s">
        <v>48</v>
      </c>
      <c r="E448" t="s">
        <v>49</v>
      </c>
      <c r="F448" t="s">
        <v>228</v>
      </c>
      <c r="G448" s="53">
        <v>44020.479664351849</v>
      </c>
      <c r="H448">
        <v>33</v>
      </c>
      <c r="I448">
        <v>14392</v>
      </c>
      <c r="J448" t="s">
        <v>50</v>
      </c>
      <c r="K448" t="s">
        <v>50</v>
      </c>
      <c r="L448" t="s">
        <v>159</v>
      </c>
      <c r="M448" t="s">
        <v>51</v>
      </c>
      <c r="N448" t="s">
        <v>92</v>
      </c>
      <c r="O448" s="1">
        <v>41335</v>
      </c>
      <c r="P448" t="s">
        <v>84</v>
      </c>
      <c r="Q448">
        <v>1</v>
      </c>
      <c r="R448" t="s">
        <v>83</v>
      </c>
      <c r="S448">
        <v>2496.08</v>
      </c>
      <c r="T448">
        <v>71.221999999999994</v>
      </c>
      <c r="U448">
        <v>177776</v>
      </c>
    </row>
    <row r="449" spans="1:21" x14ac:dyDescent="0.25">
      <c r="A449" s="1">
        <v>43983</v>
      </c>
      <c r="B449" s="1">
        <v>43983</v>
      </c>
      <c r="C449" t="s">
        <v>157</v>
      </c>
      <c r="D449" t="s">
        <v>93</v>
      </c>
      <c r="E449" t="s">
        <v>49</v>
      </c>
      <c r="F449" t="s">
        <v>229</v>
      </c>
      <c r="G449" s="53">
        <v>44057.743877314817</v>
      </c>
      <c r="H449">
        <v>61</v>
      </c>
      <c r="I449" t="s">
        <v>349</v>
      </c>
      <c r="J449" t="s">
        <v>50</v>
      </c>
      <c r="K449" t="s">
        <v>50</v>
      </c>
      <c r="L449" t="s">
        <v>159</v>
      </c>
      <c r="M449" t="s">
        <v>51</v>
      </c>
      <c r="N449" t="s">
        <v>92</v>
      </c>
      <c r="O449" s="1">
        <v>41335</v>
      </c>
      <c r="P449" t="s">
        <v>84</v>
      </c>
      <c r="Q449">
        <v>1</v>
      </c>
      <c r="R449" t="s">
        <v>83</v>
      </c>
      <c r="S449">
        <v>1</v>
      </c>
      <c r="T449">
        <v>-1449</v>
      </c>
      <c r="U449">
        <v>-1449</v>
      </c>
    </row>
    <row r="450" spans="1:21" x14ac:dyDescent="0.25">
      <c r="A450" s="1">
        <v>43983</v>
      </c>
      <c r="B450" s="1">
        <v>43983</v>
      </c>
      <c r="C450" t="s">
        <v>157</v>
      </c>
      <c r="D450" t="s">
        <v>48</v>
      </c>
      <c r="E450" t="s">
        <v>49</v>
      </c>
      <c r="F450" t="s">
        <v>228</v>
      </c>
      <c r="G450" s="53">
        <v>44020.479664351849</v>
      </c>
      <c r="H450">
        <v>33</v>
      </c>
      <c r="I450">
        <v>14392</v>
      </c>
      <c r="J450" t="s">
        <v>50</v>
      </c>
      <c r="K450" t="s">
        <v>50</v>
      </c>
      <c r="L450" t="s">
        <v>159</v>
      </c>
      <c r="M450" t="s">
        <v>51</v>
      </c>
      <c r="N450" t="s">
        <v>92</v>
      </c>
      <c r="O450" s="1">
        <v>41335</v>
      </c>
      <c r="P450" t="s">
        <v>84</v>
      </c>
      <c r="Q450">
        <v>2</v>
      </c>
      <c r="R450" t="s">
        <v>94</v>
      </c>
      <c r="S450">
        <v>5.0652330000000001</v>
      </c>
      <c r="T450">
        <v>73.772999999999996</v>
      </c>
      <c r="U450">
        <v>374</v>
      </c>
    </row>
    <row r="451" spans="1:21" x14ac:dyDescent="0.25">
      <c r="A451" s="1">
        <v>43983</v>
      </c>
      <c r="B451" s="1">
        <v>43983</v>
      </c>
      <c r="C451" t="s">
        <v>157</v>
      </c>
      <c r="D451" t="s">
        <v>93</v>
      </c>
      <c r="E451" t="s">
        <v>49</v>
      </c>
      <c r="F451" t="s">
        <v>229</v>
      </c>
      <c r="G451" s="53">
        <v>44057.743877314817</v>
      </c>
      <c r="H451">
        <v>61</v>
      </c>
      <c r="I451" t="s">
        <v>349</v>
      </c>
      <c r="J451" t="s">
        <v>50</v>
      </c>
      <c r="K451" t="s">
        <v>50</v>
      </c>
      <c r="L451" t="s">
        <v>159</v>
      </c>
      <c r="M451" t="s">
        <v>51</v>
      </c>
      <c r="N451" t="s">
        <v>92</v>
      </c>
      <c r="O451" s="1">
        <v>41335</v>
      </c>
      <c r="P451" t="s">
        <v>84</v>
      </c>
      <c r="Q451">
        <v>2</v>
      </c>
      <c r="R451" t="s">
        <v>94</v>
      </c>
      <c r="S451">
        <v>1</v>
      </c>
      <c r="T451">
        <v>-3</v>
      </c>
      <c r="U451">
        <v>-3</v>
      </c>
    </row>
    <row r="452" spans="1:21" x14ac:dyDescent="0.25">
      <c r="A452" s="1">
        <v>43983</v>
      </c>
      <c r="B452" s="1">
        <v>43983</v>
      </c>
      <c r="C452" t="s">
        <v>157</v>
      </c>
      <c r="D452" t="s">
        <v>54</v>
      </c>
      <c r="E452" t="s">
        <v>21</v>
      </c>
      <c r="F452" t="s">
        <v>224</v>
      </c>
      <c r="G452" s="53">
        <v>44020.479664351849</v>
      </c>
      <c r="H452">
        <v>33</v>
      </c>
      <c r="I452">
        <v>14392</v>
      </c>
      <c r="J452" t="s">
        <v>50</v>
      </c>
      <c r="K452" t="s">
        <v>50</v>
      </c>
      <c r="L452" t="s">
        <v>159</v>
      </c>
      <c r="M452" t="s">
        <v>51</v>
      </c>
      <c r="N452" t="s">
        <v>92</v>
      </c>
      <c r="O452" s="1">
        <v>41335</v>
      </c>
      <c r="P452" t="s">
        <v>84</v>
      </c>
      <c r="Q452">
        <v>2</v>
      </c>
      <c r="R452" t="s">
        <v>94</v>
      </c>
      <c r="S452">
        <v>0</v>
      </c>
      <c r="T452">
        <v>6151.21</v>
      </c>
      <c r="U452">
        <v>0</v>
      </c>
    </row>
    <row r="453" spans="1:21" x14ac:dyDescent="0.25">
      <c r="A453" s="1">
        <v>43983</v>
      </c>
      <c r="B453" s="1">
        <v>43983</v>
      </c>
      <c r="C453" t="s">
        <v>157</v>
      </c>
      <c r="D453" t="s">
        <v>55</v>
      </c>
      <c r="E453" t="s">
        <v>56</v>
      </c>
      <c r="F453" t="s">
        <v>226</v>
      </c>
      <c r="G453" s="53">
        <v>44020.479664351849</v>
      </c>
      <c r="H453">
        <v>33</v>
      </c>
      <c r="I453">
        <v>14392</v>
      </c>
      <c r="J453" t="s">
        <v>50</v>
      </c>
      <c r="K453" t="s">
        <v>50</v>
      </c>
      <c r="L453" t="s">
        <v>159</v>
      </c>
      <c r="M453" t="s">
        <v>51</v>
      </c>
      <c r="N453" t="s">
        <v>92</v>
      </c>
      <c r="O453" s="1">
        <v>41335</v>
      </c>
      <c r="P453" t="s">
        <v>84</v>
      </c>
      <c r="Q453">
        <v>2</v>
      </c>
      <c r="R453" t="s">
        <v>94</v>
      </c>
      <c r="S453">
        <v>5.0652330000000001</v>
      </c>
      <c r="T453">
        <v>1.0669999999999999</v>
      </c>
      <c r="U453">
        <v>5</v>
      </c>
    </row>
    <row r="454" spans="1:21" x14ac:dyDescent="0.25">
      <c r="A454" s="1">
        <v>43983</v>
      </c>
      <c r="B454" s="1">
        <v>43983</v>
      </c>
      <c r="C454" t="s">
        <v>157</v>
      </c>
      <c r="D454" t="s">
        <v>52</v>
      </c>
      <c r="E454" t="s">
        <v>53</v>
      </c>
      <c r="F454" t="s">
        <v>225</v>
      </c>
      <c r="G454" s="53">
        <v>44020.479664351849</v>
      </c>
      <c r="H454">
        <v>33</v>
      </c>
      <c r="I454">
        <v>14392</v>
      </c>
      <c r="J454" t="s">
        <v>50</v>
      </c>
      <c r="K454" t="s">
        <v>50</v>
      </c>
      <c r="L454" t="s">
        <v>159</v>
      </c>
      <c r="M454" t="s">
        <v>51</v>
      </c>
      <c r="N454" t="s">
        <v>92</v>
      </c>
      <c r="O454" s="1">
        <v>41335</v>
      </c>
      <c r="P454" t="s">
        <v>84</v>
      </c>
      <c r="Q454">
        <v>2</v>
      </c>
      <c r="R454" t="s">
        <v>94</v>
      </c>
      <c r="S454">
        <v>0</v>
      </c>
      <c r="T454">
        <v>0</v>
      </c>
      <c r="U454">
        <v>0</v>
      </c>
    </row>
    <row r="455" spans="1:21" x14ac:dyDescent="0.25">
      <c r="A455" s="1">
        <v>43983</v>
      </c>
      <c r="B455" s="1">
        <v>43983</v>
      </c>
      <c r="C455" t="s">
        <v>157</v>
      </c>
      <c r="D455" t="s">
        <v>52</v>
      </c>
      <c r="E455" t="s">
        <v>53</v>
      </c>
      <c r="F455" t="s">
        <v>225</v>
      </c>
      <c r="G455" s="53">
        <v>44020.479664351849</v>
      </c>
      <c r="H455">
        <v>33</v>
      </c>
      <c r="I455">
        <v>14392</v>
      </c>
      <c r="J455" t="s">
        <v>50</v>
      </c>
      <c r="K455" t="s">
        <v>50</v>
      </c>
      <c r="L455" t="s">
        <v>159</v>
      </c>
      <c r="M455" t="s">
        <v>51</v>
      </c>
      <c r="N455" t="s">
        <v>92</v>
      </c>
      <c r="O455" s="1">
        <v>41335</v>
      </c>
      <c r="P455" t="s">
        <v>84</v>
      </c>
      <c r="Q455">
        <v>3</v>
      </c>
      <c r="R455" t="s">
        <v>81</v>
      </c>
      <c r="S455">
        <v>0</v>
      </c>
      <c r="T455">
        <v>0</v>
      </c>
      <c r="U455">
        <v>0</v>
      </c>
    </row>
    <row r="456" spans="1:21" x14ac:dyDescent="0.25">
      <c r="A456" s="1">
        <v>43983</v>
      </c>
      <c r="B456" s="1">
        <v>43983</v>
      </c>
      <c r="C456" t="s">
        <v>157</v>
      </c>
      <c r="D456" t="s">
        <v>54</v>
      </c>
      <c r="E456" t="s">
        <v>21</v>
      </c>
      <c r="F456" t="s">
        <v>224</v>
      </c>
      <c r="G456" s="53">
        <v>44020.479664351849</v>
      </c>
      <c r="H456">
        <v>33</v>
      </c>
      <c r="I456">
        <v>14392</v>
      </c>
      <c r="J456" t="s">
        <v>50</v>
      </c>
      <c r="K456" t="s">
        <v>50</v>
      </c>
      <c r="L456" t="s">
        <v>159</v>
      </c>
      <c r="M456" t="s">
        <v>51</v>
      </c>
      <c r="N456" t="s">
        <v>92</v>
      </c>
      <c r="O456" s="1">
        <v>41335</v>
      </c>
      <c r="P456" t="s">
        <v>84</v>
      </c>
      <c r="Q456">
        <v>3</v>
      </c>
      <c r="R456" t="s">
        <v>81</v>
      </c>
      <c r="S456">
        <v>0</v>
      </c>
      <c r="T456">
        <v>5767.18</v>
      </c>
      <c r="U456">
        <v>0</v>
      </c>
    </row>
    <row r="457" spans="1:21" x14ac:dyDescent="0.25">
      <c r="A457" s="1">
        <v>43983</v>
      </c>
      <c r="B457" s="1">
        <v>43983</v>
      </c>
      <c r="C457" t="s">
        <v>157</v>
      </c>
      <c r="D457" t="s">
        <v>93</v>
      </c>
      <c r="E457" t="s">
        <v>49</v>
      </c>
      <c r="F457" t="s">
        <v>229</v>
      </c>
      <c r="G457" s="53">
        <v>44057.743877314817</v>
      </c>
      <c r="H457">
        <v>61</v>
      </c>
      <c r="I457" t="s">
        <v>349</v>
      </c>
      <c r="J457" t="s">
        <v>50</v>
      </c>
      <c r="K457" t="s">
        <v>50</v>
      </c>
      <c r="L457" t="s">
        <v>159</v>
      </c>
      <c r="M457" t="s">
        <v>51</v>
      </c>
      <c r="N457" t="s">
        <v>92</v>
      </c>
      <c r="O457" s="1">
        <v>41335</v>
      </c>
      <c r="P457" t="s">
        <v>84</v>
      </c>
      <c r="Q457">
        <v>3</v>
      </c>
      <c r="R457" t="s">
        <v>81</v>
      </c>
      <c r="S457">
        <v>1</v>
      </c>
      <c r="T457">
        <v>-200</v>
      </c>
      <c r="U457">
        <v>-200</v>
      </c>
    </row>
    <row r="458" spans="1:21" x14ac:dyDescent="0.25">
      <c r="A458" s="1">
        <v>43983</v>
      </c>
      <c r="B458" s="1">
        <v>43983</v>
      </c>
      <c r="C458" t="s">
        <v>157</v>
      </c>
      <c r="D458" t="s">
        <v>95</v>
      </c>
      <c r="E458" t="s">
        <v>56</v>
      </c>
      <c r="F458" t="s">
        <v>227</v>
      </c>
      <c r="G458" s="53">
        <v>44057.743877314817</v>
      </c>
      <c r="H458">
        <v>61</v>
      </c>
      <c r="I458" t="s">
        <v>349</v>
      </c>
      <c r="J458" t="s">
        <v>50</v>
      </c>
      <c r="K458" t="s">
        <v>50</v>
      </c>
      <c r="L458" t="s">
        <v>159</v>
      </c>
      <c r="M458" t="s">
        <v>51</v>
      </c>
      <c r="N458" t="s">
        <v>92</v>
      </c>
      <c r="O458" s="1">
        <v>41335</v>
      </c>
      <c r="P458" t="s">
        <v>84</v>
      </c>
      <c r="Q458">
        <v>3</v>
      </c>
      <c r="R458" t="s">
        <v>81</v>
      </c>
      <c r="S458">
        <v>1</v>
      </c>
      <c r="T458">
        <v>-3</v>
      </c>
      <c r="U458">
        <v>-3</v>
      </c>
    </row>
    <row r="459" spans="1:21" x14ac:dyDescent="0.25">
      <c r="A459" s="1">
        <v>43983</v>
      </c>
      <c r="B459" s="1">
        <v>43983</v>
      </c>
      <c r="C459" t="s">
        <v>157</v>
      </c>
      <c r="D459" t="s">
        <v>55</v>
      </c>
      <c r="E459" t="s">
        <v>56</v>
      </c>
      <c r="F459" t="s">
        <v>226</v>
      </c>
      <c r="G459" s="53">
        <v>44020.479664351849</v>
      </c>
      <c r="H459">
        <v>33</v>
      </c>
      <c r="I459">
        <v>14392</v>
      </c>
      <c r="J459" t="s">
        <v>50</v>
      </c>
      <c r="K459" t="s">
        <v>50</v>
      </c>
      <c r="L459" t="s">
        <v>159</v>
      </c>
      <c r="M459" t="s">
        <v>51</v>
      </c>
      <c r="N459" t="s">
        <v>92</v>
      </c>
      <c r="O459" s="1">
        <v>41335</v>
      </c>
      <c r="P459" t="s">
        <v>84</v>
      </c>
      <c r="Q459">
        <v>3</v>
      </c>
      <c r="R459" t="s">
        <v>81</v>
      </c>
      <c r="S459">
        <v>361.77921099999998</v>
      </c>
      <c r="T459">
        <v>1.0669999999999999</v>
      </c>
      <c r="U459">
        <v>386</v>
      </c>
    </row>
    <row r="460" spans="1:21" x14ac:dyDescent="0.25">
      <c r="A460" s="1">
        <v>43983</v>
      </c>
      <c r="B460" s="1">
        <v>43983</v>
      </c>
      <c r="C460" t="s">
        <v>157</v>
      </c>
      <c r="D460" t="s">
        <v>48</v>
      </c>
      <c r="E460" t="s">
        <v>49</v>
      </c>
      <c r="F460" t="s">
        <v>228</v>
      </c>
      <c r="G460" s="53">
        <v>44020.479664351849</v>
      </c>
      <c r="H460">
        <v>33</v>
      </c>
      <c r="I460">
        <v>14392</v>
      </c>
      <c r="J460" t="s">
        <v>50</v>
      </c>
      <c r="K460" t="s">
        <v>50</v>
      </c>
      <c r="L460" t="s">
        <v>159</v>
      </c>
      <c r="M460" t="s">
        <v>51</v>
      </c>
      <c r="N460" t="s">
        <v>92</v>
      </c>
      <c r="O460" s="1">
        <v>41335</v>
      </c>
      <c r="P460" t="s">
        <v>84</v>
      </c>
      <c r="Q460">
        <v>3</v>
      </c>
      <c r="R460" t="s">
        <v>81</v>
      </c>
      <c r="S460">
        <v>361.77921099999998</v>
      </c>
      <c r="T460">
        <v>67.765000000000001</v>
      </c>
      <c r="U460">
        <v>24516</v>
      </c>
    </row>
    <row r="461" spans="1:21" x14ac:dyDescent="0.25">
      <c r="A461" s="1">
        <v>43983</v>
      </c>
      <c r="B461" s="1">
        <v>43983</v>
      </c>
      <c r="C461" t="s">
        <v>157</v>
      </c>
      <c r="D461" t="s">
        <v>52</v>
      </c>
      <c r="E461" t="s">
        <v>53</v>
      </c>
      <c r="F461" t="s">
        <v>225</v>
      </c>
      <c r="G461" s="53">
        <v>44020.479664351849</v>
      </c>
      <c r="H461">
        <v>33</v>
      </c>
      <c r="I461">
        <v>14392</v>
      </c>
      <c r="J461" t="s">
        <v>50</v>
      </c>
      <c r="K461" t="s">
        <v>50</v>
      </c>
      <c r="L461" t="s">
        <v>159</v>
      </c>
      <c r="M461" t="s">
        <v>51</v>
      </c>
      <c r="N461" t="s">
        <v>92</v>
      </c>
      <c r="O461" s="1">
        <v>41335</v>
      </c>
      <c r="P461" t="s">
        <v>84</v>
      </c>
      <c r="Q461">
        <v>4</v>
      </c>
      <c r="R461" t="s">
        <v>27</v>
      </c>
      <c r="S461">
        <v>0</v>
      </c>
      <c r="T461">
        <v>0</v>
      </c>
      <c r="U461">
        <v>0</v>
      </c>
    </row>
    <row r="462" spans="1:21" x14ac:dyDescent="0.25">
      <c r="A462" s="1">
        <v>43983</v>
      </c>
      <c r="B462" s="1">
        <v>43983</v>
      </c>
      <c r="C462" t="s">
        <v>157</v>
      </c>
      <c r="D462" t="s">
        <v>55</v>
      </c>
      <c r="E462" t="s">
        <v>56</v>
      </c>
      <c r="F462" t="s">
        <v>226</v>
      </c>
      <c r="G462" s="53">
        <v>44020.479664351849</v>
      </c>
      <c r="H462">
        <v>33</v>
      </c>
      <c r="I462">
        <v>14392</v>
      </c>
      <c r="J462" t="s">
        <v>50</v>
      </c>
      <c r="K462" t="s">
        <v>50</v>
      </c>
      <c r="L462" t="s">
        <v>159</v>
      </c>
      <c r="M462" t="s">
        <v>51</v>
      </c>
      <c r="N462" t="s">
        <v>92</v>
      </c>
      <c r="O462" s="1">
        <v>41335</v>
      </c>
      <c r="P462" t="s">
        <v>84</v>
      </c>
      <c r="Q462">
        <v>4</v>
      </c>
      <c r="R462" t="s">
        <v>27</v>
      </c>
      <c r="S462">
        <v>2272.4959020000001</v>
      </c>
      <c r="T462">
        <v>1.0669999999999999</v>
      </c>
      <c r="U462">
        <v>2425</v>
      </c>
    </row>
    <row r="463" spans="1:21" x14ac:dyDescent="0.25">
      <c r="A463" s="1">
        <v>43983</v>
      </c>
      <c r="B463" s="1">
        <v>43983</v>
      </c>
      <c r="C463" t="s">
        <v>157</v>
      </c>
      <c r="D463" t="s">
        <v>93</v>
      </c>
      <c r="E463" t="s">
        <v>49</v>
      </c>
      <c r="F463" t="s">
        <v>229</v>
      </c>
      <c r="G463" s="53">
        <v>44057.743877314817</v>
      </c>
      <c r="H463">
        <v>61</v>
      </c>
      <c r="I463" t="s">
        <v>349</v>
      </c>
      <c r="J463" t="s">
        <v>50</v>
      </c>
      <c r="K463" t="s">
        <v>50</v>
      </c>
      <c r="L463" t="s">
        <v>159</v>
      </c>
      <c r="M463" t="s">
        <v>51</v>
      </c>
      <c r="N463" t="s">
        <v>92</v>
      </c>
      <c r="O463" s="1">
        <v>41335</v>
      </c>
      <c r="P463" t="s">
        <v>84</v>
      </c>
      <c r="Q463">
        <v>4</v>
      </c>
      <c r="R463" t="s">
        <v>27</v>
      </c>
      <c r="S463">
        <v>1</v>
      </c>
      <c r="T463">
        <v>-1279</v>
      </c>
      <c r="U463">
        <v>-1279</v>
      </c>
    </row>
    <row r="464" spans="1:21" x14ac:dyDescent="0.25">
      <c r="A464" s="1">
        <v>43983</v>
      </c>
      <c r="B464" s="1">
        <v>43983</v>
      </c>
      <c r="C464" t="s">
        <v>157</v>
      </c>
      <c r="D464" t="s">
        <v>54</v>
      </c>
      <c r="E464" t="s">
        <v>21</v>
      </c>
      <c r="F464" t="s">
        <v>224</v>
      </c>
      <c r="G464" s="53">
        <v>44020.479664351849</v>
      </c>
      <c r="H464">
        <v>33</v>
      </c>
      <c r="I464">
        <v>14392</v>
      </c>
      <c r="J464" t="s">
        <v>50</v>
      </c>
      <c r="K464" t="s">
        <v>50</v>
      </c>
      <c r="L464" t="s">
        <v>159</v>
      </c>
      <c r="M464" t="s">
        <v>51</v>
      </c>
      <c r="N464" t="s">
        <v>92</v>
      </c>
      <c r="O464" s="1">
        <v>41335</v>
      </c>
      <c r="P464" t="s">
        <v>84</v>
      </c>
      <c r="Q464">
        <v>4</v>
      </c>
      <c r="R464" t="s">
        <v>27</v>
      </c>
      <c r="S464">
        <v>0</v>
      </c>
      <c r="T464">
        <v>5963.14</v>
      </c>
      <c r="U464">
        <v>0</v>
      </c>
    </row>
    <row r="465" spans="1:21" x14ac:dyDescent="0.25">
      <c r="A465" s="1">
        <v>43983</v>
      </c>
      <c r="B465" s="1">
        <v>43983</v>
      </c>
      <c r="C465" t="s">
        <v>157</v>
      </c>
      <c r="D465" t="s">
        <v>95</v>
      </c>
      <c r="E465" t="s">
        <v>56</v>
      </c>
      <c r="F465" t="s">
        <v>227</v>
      </c>
      <c r="G465" s="53">
        <v>44057.743877314817</v>
      </c>
      <c r="H465">
        <v>61</v>
      </c>
      <c r="I465" t="s">
        <v>349</v>
      </c>
      <c r="J465" t="s">
        <v>50</v>
      </c>
      <c r="K465" t="s">
        <v>50</v>
      </c>
      <c r="L465" t="s">
        <v>159</v>
      </c>
      <c r="M465" t="s">
        <v>51</v>
      </c>
      <c r="N465" t="s">
        <v>92</v>
      </c>
      <c r="O465" s="1">
        <v>41335</v>
      </c>
      <c r="P465" t="s">
        <v>84</v>
      </c>
      <c r="Q465">
        <v>4</v>
      </c>
      <c r="R465" t="s">
        <v>27</v>
      </c>
      <c r="S465">
        <v>1</v>
      </c>
      <c r="T465">
        <v>-20</v>
      </c>
      <c r="U465">
        <v>-20</v>
      </c>
    </row>
    <row r="466" spans="1:21" x14ac:dyDescent="0.25">
      <c r="A466" s="1">
        <v>43983</v>
      </c>
      <c r="B466" s="1">
        <v>43983</v>
      </c>
      <c r="C466" t="s">
        <v>157</v>
      </c>
      <c r="D466" t="s">
        <v>48</v>
      </c>
      <c r="E466" t="s">
        <v>49</v>
      </c>
      <c r="F466" t="s">
        <v>228</v>
      </c>
      <c r="G466" s="53">
        <v>44020.479664351849</v>
      </c>
      <c r="H466">
        <v>33</v>
      </c>
      <c r="I466">
        <v>14392</v>
      </c>
      <c r="J466" t="s">
        <v>50</v>
      </c>
      <c r="K466" t="s">
        <v>50</v>
      </c>
      <c r="L466" t="s">
        <v>159</v>
      </c>
      <c r="M466" t="s">
        <v>51</v>
      </c>
      <c r="N466" t="s">
        <v>92</v>
      </c>
      <c r="O466" s="1">
        <v>41335</v>
      </c>
      <c r="P466" t="s">
        <v>84</v>
      </c>
      <c r="Q466">
        <v>4</v>
      </c>
      <c r="R466" t="s">
        <v>27</v>
      </c>
      <c r="S466">
        <v>2272.4959020000001</v>
      </c>
      <c r="T466">
        <v>69.12</v>
      </c>
      <c r="U466">
        <v>157075</v>
      </c>
    </row>
    <row r="467" spans="1:21" x14ac:dyDescent="0.25">
      <c r="A467" s="1">
        <v>43983</v>
      </c>
      <c r="B467" s="1">
        <v>43983</v>
      </c>
      <c r="C467" t="s">
        <v>157</v>
      </c>
      <c r="D467" t="s">
        <v>48</v>
      </c>
      <c r="E467" t="s">
        <v>49</v>
      </c>
      <c r="F467" t="s">
        <v>228</v>
      </c>
      <c r="G467" s="53">
        <v>44020.479664351849</v>
      </c>
      <c r="H467">
        <v>33</v>
      </c>
      <c r="I467">
        <v>14392</v>
      </c>
      <c r="J467" t="s">
        <v>50</v>
      </c>
      <c r="K467" t="s">
        <v>50</v>
      </c>
      <c r="L467" t="s">
        <v>159</v>
      </c>
      <c r="M467" t="s">
        <v>51</v>
      </c>
      <c r="N467" t="s">
        <v>92</v>
      </c>
      <c r="O467" s="1">
        <v>41335</v>
      </c>
      <c r="P467" t="s">
        <v>84</v>
      </c>
      <c r="Q467">
        <v>5</v>
      </c>
      <c r="R467" t="s">
        <v>28</v>
      </c>
      <c r="S467">
        <v>13.447563000000001</v>
      </c>
      <c r="T467">
        <v>71.932000000000002</v>
      </c>
      <c r="U467">
        <v>967</v>
      </c>
    </row>
    <row r="468" spans="1:21" x14ac:dyDescent="0.25">
      <c r="A468" s="1">
        <v>43983</v>
      </c>
      <c r="B468" s="1">
        <v>43983</v>
      </c>
      <c r="C468" t="s">
        <v>157</v>
      </c>
      <c r="D468" t="s">
        <v>55</v>
      </c>
      <c r="E468" t="s">
        <v>56</v>
      </c>
      <c r="F468" t="s">
        <v>226</v>
      </c>
      <c r="G468" s="53">
        <v>44020.479664351849</v>
      </c>
      <c r="H468">
        <v>33</v>
      </c>
      <c r="I468">
        <v>14392</v>
      </c>
      <c r="J468" t="s">
        <v>50</v>
      </c>
      <c r="K468" t="s">
        <v>50</v>
      </c>
      <c r="L468" t="s">
        <v>159</v>
      </c>
      <c r="M468" t="s">
        <v>51</v>
      </c>
      <c r="N468" t="s">
        <v>92</v>
      </c>
      <c r="O468" s="1">
        <v>41335</v>
      </c>
      <c r="P468" t="s">
        <v>84</v>
      </c>
      <c r="Q468">
        <v>5</v>
      </c>
      <c r="R468" t="s">
        <v>28</v>
      </c>
      <c r="S468">
        <v>13.447563000000001</v>
      </c>
      <c r="T468">
        <v>1.0669999999999999</v>
      </c>
      <c r="U468">
        <v>14</v>
      </c>
    </row>
    <row r="469" spans="1:21" x14ac:dyDescent="0.25">
      <c r="A469" s="1">
        <v>43983</v>
      </c>
      <c r="B469" s="1">
        <v>43983</v>
      </c>
      <c r="C469" t="s">
        <v>157</v>
      </c>
      <c r="D469" t="s">
        <v>93</v>
      </c>
      <c r="E469" t="s">
        <v>49</v>
      </c>
      <c r="F469" t="s">
        <v>229</v>
      </c>
      <c r="G469" s="53">
        <v>44057.743877314817</v>
      </c>
      <c r="H469">
        <v>61</v>
      </c>
      <c r="I469" t="s">
        <v>349</v>
      </c>
      <c r="J469" t="s">
        <v>50</v>
      </c>
      <c r="K469" t="s">
        <v>50</v>
      </c>
      <c r="L469" t="s">
        <v>159</v>
      </c>
      <c r="M469" t="s">
        <v>51</v>
      </c>
      <c r="N469" t="s">
        <v>92</v>
      </c>
      <c r="O469" s="1">
        <v>41335</v>
      </c>
      <c r="P469" t="s">
        <v>84</v>
      </c>
      <c r="Q469">
        <v>5</v>
      </c>
      <c r="R469" t="s">
        <v>28</v>
      </c>
      <c r="S469">
        <v>1</v>
      </c>
      <c r="T469">
        <v>-8</v>
      </c>
      <c r="U469">
        <v>-8</v>
      </c>
    </row>
    <row r="470" spans="1:21" x14ac:dyDescent="0.25">
      <c r="A470" s="1">
        <v>43983</v>
      </c>
      <c r="B470" s="1">
        <v>43983</v>
      </c>
      <c r="C470" t="s">
        <v>157</v>
      </c>
      <c r="D470" t="s">
        <v>54</v>
      </c>
      <c r="E470" t="s">
        <v>21</v>
      </c>
      <c r="F470" t="s">
        <v>224</v>
      </c>
      <c r="G470" s="53">
        <v>44020.479664351849</v>
      </c>
      <c r="H470">
        <v>33</v>
      </c>
      <c r="I470">
        <v>14392</v>
      </c>
      <c r="J470" t="s">
        <v>50</v>
      </c>
      <c r="K470" t="s">
        <v>50</v>
      </c>
      <c r="L470" t="s">
        <v>159</v>
      </c>
      <c r="M470" t="s">
        <v>51</v>
      </c>
      <c r="N470" t="s">
        <v>92</v>
      </c>
      <c r="O470" s="1">
        <v>41335</v>
      </c>
      <c r="P470" t="s">
        <v>84</v>
      </c>
      <c r="Q470">
        <v>5</v>
      </c>
      <c r="R470" t="s">
        <v>28</v>
      </c>
      <c r="S470">
        <v>0</v>
      </c>
      <c r="T470">
        <v>5783.56</v>
      </c>
      <c r="U470">
        <v>0</v>
      </c>
    </row>
    <row r="471" spans="1:21" x14ac:dyDescent="0.25">
      <c r="A471" s="1">
        <v>43983</v>
      </c>
      <c r="B471" s="1">
        <v>43983</v>
      </c>
      <c r="C471" t="s">
        <v>157</v>
      </c>
      <c r="D471" t="s">
        <v>52</v>
      </c>
      <c r="E471" t="s">
        <v>53</v>
      </c>
      <c r="F471" t="s">
        <v>225</v>
      </c>
      <c r="G471" s="53">
        <v>44020.479664351849</v>
      </c>
      <c r="H471">
        <v>33</v>
      </c>
      <c r="I471">
        <v>14392</v>
      </c>
      <c r="J471" t="s">
        <v>50</v>
      </c>
      <c r="K471" t="s">
        <v>50</v>
      </c>
      <c r="L471" t="s">
        <v>159</v>
      </c>
      <c r="M471" t="s">
        <v>51</v>
      </c>
      <c r="N471" t="s">
        <v>92</v>
      </c>
      <c r="O471" s="1">
        <v>41335</v>
      </c>
      <c r="P471" t="s">
        <v>84</v>
      </c>
      <c r="Q471">
        <v>5</v>
      </c>
      <c r="R471" t="s">
        <v>28</v>
      </c>
      <c r="S471">
        <v>0</v>
      </c>
      <c r="T471">
        <v>0</v>
      </c>
      <c r="U471">
        <v>0</v>
      </c>
    </row>
    <row r="472" spans="1:21" x14ac:dyDescent="0.25">
      <c r="A472" s="1">
        <v>44013</v>
      </c>
      <c r="B472" s="1">
        <v>44013</v>
      </c>
      <c r="C472" t="s">
        <v>157</v>
      </c>
      <c r="D472" t="s">
        <v>54</v>
      </c>
      <c r="E472" t="s">
        <v>21</v>
      </c>
      <c r="F472" t="s">
        <v>231</v>
      </c>
      <c r="G472" s="53">
        <v>44053.449259259258</v>
      </c>
      <c r="H472">
        <v>33</v>
      </c>
      <c r="I472">
        <v>14796</v>
      </c>
      <c r="J472" t="s">
        <v>50</v>
      </c>
      <c r="K472" t="s">
        <v>50</v>
      </c>
      <c r="L472" t="s">
        <v>159</v>
      </c>
      <c r="M472" t="s">
        <v>51</v>
      </c>
      <c r="N472" t="s">
        <v>92</v>
      </c>
      <c r="O472" s="1">
        <v>41335</v>
      </c>
      <c r="P472" t="s">
        <v>84</v>
      </c>
      <c r="Q472">
        <v>1</v>
      </c>
      <c r="R472" t="s">
        <v>83</v>
      </c>
      <c r="S472">
        <v>0</v>
      </c>
      <c r="T472">
        <v>6059.26</v>
      </c>
      <c r="U472">
        <v>0</v>
      </c>
    </row>
    <row r="473" spans="1:21" x14ac:dyDescent="0.25">
      <c r="A473" s="1">
        <v>44013</v>
      </c>
      <c r="B473" s="1">
        <v>44013</v>
      </c>
      <c r="C473" t="s">
        <v>157</v>
      </c>
      <c r="D473" t="s">
        <v>95</v>
      </c>
      <c r="E473" t="s">
        <v>56</v>
      </c>
      <c r="F473" t="s">
        <v>232</v>
      </c>
      <c r="G473" s="53">
        <v>44082.485532407409</v>
      </c>
      <c r="H473">
        <v>33</v>
      </c>
      <c r="I473" t="s">
        <v>349</v>
      </c>
      <c r="J473" t="s">
        <v>50</v>
      </c>
      <c r="K473" t="s">
        <v>50</v>
      </c>
      <c r="L473" t="s">
        <v>159</v>
      </c>
      <c r="M473" t="s">
        <v>51</v>
      </c>
      <c r="N473" t="s">
        <v>92</v>
      </c>
      <c r="O473" s="1">
        <v>41335</v>
      </c>
      <c r="P473" t="s">
        <v>84</v>
      </c>
      <c r="Q473">
        <v>1</v>
      </c>
      <c r="R473" t="s">
        <v>83</v>
      </c>
      <c r="S473">
        <v>1</v>
      </c>
      <c r="T473">
        <v>-4</v>
      </c>
      <c r="U473">
        <v>-4</v>
      </c>
    </row>
    <row r="474" spans="1:21" x14ac:dyDescent="0.25">
      <c r="A474" s="1">
        <v>44013</v>
      </c>
      <c r="B474" s="1">
        <v>44013</v>
      </c>
      <c r="C474" t="s">
        <v>157</v>
      </c>
      <c r="D474" t="s">
        <v>52</v>
      </c>
      <c r="E474" t="s">
        <v>53</v>
      </c>
      <c r="F474" t="s">
        <v>233</v>
      </c>
      <c r="G474" s="53">
        <v>44053.449259259258</v>
      </c>
      <c r="H474">
        <v>33</v>
      </c>
      <c r="I474">
        <v>14796</v>
      </c>
      <c r="J474" t="s">
        <v>50</v>
      </c>
      <c r="K474" t="s">
        <v>50</v>
      </c>
      <c r="L474" t="s">
        <v>159</v>
      </c>
      <c r="M474" t="s">
        <v>51</v>
      </c>
      <c r="N474" t="s">
        <v>92</v>
      </c>
      <c r="O474" s="1">
        <v>41335</v>
      </c>
      <c r="P474" t="s">
        <v>84</v>
      </c>
      <c r="Q474">
        <v>1</v>
      </c>
      <c r="R474" t="s">
        <v>83</v>
      </c>
      <c r="S474">
        <v>0</v>
      </c>
      <c r="T474">
        <v>0</v>
      </c>
      <c r="U474">
        <v>0</v>
      </c>
    </row>
    <row r="475" spans="1:21" x14ac:dyDescent="0.25">
      <c r="A475" s="1">
        <v>44013</v>
      </c>
      <c r="B475" s="1">
        <v>44013</v>
      </c>
      <c r="C475" t="s">
        <v>157</v>
      </c>
      <c r="D475" t="s">
        <v>55</v>
      </c>
      <c r="E475" t="s">
        <v>56</v>
      </c>
      <c r="F475" t="s">
        <v>234</v>
      </c>
      <c r="G475" s="53">
        <v>44053.449259259258</v>
      </c>
      <c r="H475">
        <v>33</v>
      </c>
      <c r="I475">
        <v>14796</v>
      </c>
      <c r="J475" t="s">
        <v>50</v>
      </c>
      <c r="K475" t="s">
        <v>50</v>
      </c>
      <c r="L475" t="s">
        <v>159</v>
      </c>
      <c r="M475" t="s">
        <v>51</v>
      </c>
      <c r="N475" t="s">
        <v>92</v>
      </c>
      <c r="O475" s="1">
        <v>41335</v>
      </c>
      <c r="P475" t="s">
        <v>84</v>
      </c>
      <c r="Q475">
        <v>1</v>
      </c>
      <c r="R475" t="s">
        <v>83</v>
      </c>
      <c r="S475">
        <v>2138.513688</v>
      </c>
      <c r="T475">
        <v>1.0669999999999999</v>
      </c>
      <c r="U475">
        <v>2282</v>
      </c>
    </row>
    <row r="476" spans="1:21" x14ac:dyDescent="0.25">
      <c r="A476" s="1">
        <v>44013</v>
      </c>
      <c r="B476" s="1">
        <v>44013</v>
      </c>
      <c r="C476" t="s">
        <v>157</v>
      </c>
      <c r="D476" t="s">
        <v>48</v>
      </c>
      <c r="E476" t="s">
        <v>49</v>
      </c>
      <c r="F476" t="s">
        <v>235</v>
      </c>
      <c r="G476" s="53">
        <v>44053.449259259258</v>
      </c>
      <c r="H476">
        <v>33</v>
      </c>
      <c r="I476">
        <v>14796</v>
      </c>
      <c r="J476" t="s">
        <v>50</v>
      </c>
      <c r="K476" t="s">
        <v>50</v>
      </c>
      <c r="L476" t="s">
        <v>159</v>
      </c>
      <c r="M476" t="s">
        <v>51</v>
      </c>
      <c r="N476" t="s">
        <v>92</v>
      </c>
      <c r="O476" s="1">
        <v>41335</v>
      </c>
      <c r="P476" t="s">
        <v>84</v>
      </c>
      <c r="Q476">
        <v>1</v>
      </c>
      <c r="R476" t="s">
        <v>83</v>
      </c>
      <c r="S476">
        <v>2138.52</v>
      </c>
      <c r="T476">
        <v>76.587000000000003</v>
      </c>
      <c r="U476">
        <v>163783</v>
      </c>
    </row>
    <row r="477" spans="1:21" x14ac:dyDescent="0.25">
      <c r="A477" s="1">
        <v>44013</v>
      </c>
      <c r="B477" s="1">
        <v>44013</v>
      </c>
      <c r="C477" t="s">
        <v>157</v>
      </c>
      <c r="D477" t="s">
        <v>93</v>
      </c>
      <c r="E477" t="s">
        <v>49</v>
      </c>
      <c r="F477" t="s">
        <v>236</v>
      </c>
      <c r="G477" s="53">
        <v>44082.485532407409</v>
      </c>
      <c r="H477">
        <v>33</v>
      </c>
      <c r="I477" t="s">
        <v>349</v>
      </c>
      <c r="J477" t="s">
        <v>50</v>
      </c>
      <c r="K477" t="s">
        <v>50</v>
      </c>
      <c r="L477" t="s">
        <v>159</v>
      </c>
      <c r="M477" t="s">
        <v>51</v>
      </c>
      <c r="N477" t="s">
        <v>92</v>
      </c>
      <c r="O477" s="1">
        <v>41335</v>
      </c>
      <c r="P477" t="s">
        <v>84</v>
      </c>
      <c r="Q477">
        <v>1</v>
      </c>
      <c r="R477" t="s">
        <v>83</v>
      </c>
      <c r="S477">
        <v>1</v>
      </c>
      <c r="T477">
        <v>7664</v>
      </c>
      <c r="U477">
        <v>7664</v>
      </c>
    </row>
    <row r="478" spans="1:21" x14ac:dyDescent="0.25">
      <c r="A478" s="1">
        <v>44013</v>
      </c>
      <c r="B478" s="1">
        <v>44013</v>
      </c>
      <c r="C478" t="s">
        <v>157</v>
      </c>
      <c r="D478" t="s">
        <v>54</v>
      </c>
      <c r="E478" t="s">
        <v>21</v>
      </c>
      <c r="F478" t="s">
        <v>231</v>
      </c>
      <c r="G478" s="53">
        <v>44053.449259259258</v>
      </c>
      <c r="H478">
        <v>33</v>
      </c>
      <c r="I478">
        <v>14796</v>
      </c>
      <c r="J478" t="s">
        <v>50</v>
      </c>
      <c r="K478" t="s">
        <v>50</v>
      </c>
      <c r="L478" t="s">
        <v>159</v>
      </c>
      <c r="M478" t="s">
        <v>51</v>
      </c>
      <c r="N478" t="s">
        <v>92</v>
      </c>
      <c r="O478" s="1">
        <v>41335</v>
      </c>
      <c r="P478" t="s">
        <v>84</v>
      </c>
      <c r="Q478">
        <v>2</v>
      </c>
      <c r="R478" t="s">
        <v>94</v>
      </c>
      <c r="S478">
        <v>0</v>
      </c>
      <c r="T478">
        <v>6135.34</v>
      </c>
      <c r="U478">
        <v>0</v>
      </c>
    </row>
    <row r="479" spans="1:21" x14ac:dyDescent="0.25">
      <c r="A479" s="1">
        <v>44013</v>
      </c>
      <c r="B479" s="1">
        <v>44013</v>
      </c>
      <c r="C479" t="s">
        <v>157</v>
      </c>
      <c r="D479" t="s">
        <v>48</v>
      </c>
      <c r="E479" t="s">
        <v>49</v>
      </c>
      <c r="F479" t="s">
        <v>235</v>
      </c>
      <c r="G479" s="53">
        <v>44053.449259259258</v>
      </c>
      <c r="H479">
        <v>33</v>
      </c>
      <c r="I479">
        <v>14796</v>
      </c>
      <c r="J479" t="s">
        <v>50</v>
      </c>
      <c r="K479" t="s">
        <v>50</v>
      </c>
      <c r="L479" t="s">
        <v>159</v>
      </c>
      <c r="M479" t="s">
        <v>51</v>
      </c>
      <c r="N479" t="s">
        <v>92</v>
      </c>
      <c r="O479" s="1">
        <v>41335</v>
      </c>
      <c r="P479" t="s">
        <v>84</v>
      </c>
      <c r="Q479">
        <v>2</v>
      </c>
      <c r="R479" t="s">
        <v>94</v>
      </c>
      <c r="S479">
        <v>9.5288520000000005</v>
      </c>
      <c r="T479">
        <v>77.677999999999997</v>
      </c>
      <c r="U479">
        <v>740</v>
      </c>
    </row>
    <row r="480" spans="1:21" x14ac:dyDescent="0.25">
      <c r="A480" s="1">
        <v>44013</v>
      </c>
      <c r="B480" s="1">
        <v>44013</v>
      </c>
      <c r="C480" t="s">
        <v>157</v>
      </c>
      <c r="D480" t="s">
        <v>52</v>
      </c>
      <c r="E480" t="s">
        <v>53</v>
      </c>
      <c r="F480" t="s">
        <v>233</v>
      </c>
      <c r="G480" s="53">
        <v>44053.449259259258</v>
      </c>
      <c r="H480">
        <v>33</v>
      </c>
      <c r="I480">
        <v>14796</v>
      </c>
      <c r="J480" t="s">
        <v>50</v>
      </c>
      <c r="K480" t="s">
        <v>50</v>
      </c>
      <c r="L480" t="s">
        <v>159</v>
      </c>
      <c r="M480" t="s">
        <v>51</v>
      </c>
      <c r="N480" t="s">
        <v>92</v>
      </c>
      <c r="O480" s="1">
        <v>41335</v>
      </c>
      <c r="P480" t="s">
        <v>84</v>
      </c>
      <c r="Q480">
        <v>2</v>
      </c>
      <c r="R480" t="s">
        <v>94</v>
      </c>
      <c r="S480">
        <v>0</v>
      </c>
      <c r="T480">
        <v>0</v>
      </c>
      <c r="U480">
        <v>0</v>
      </c>
    </row>
    <row r="481" spans="1:21" x14ac:dyDescent="0.25">
      <c r="A481" s="1">
        <v>44013</v>
      </c>
      <c r="B481" s="1">
        <v>44013</v>
      </c>
      <c r="C481" t="s">
        <v>157</v>
      </c>
      <c r="D481" t="s">
        <v>55</v>
      </c>
      <c r="E481" t="s">
        <v>56</v>
      </c>
      <c r="F481" t="s">
        <v>234</v>
      </c>
      <c r="G481" s="53">
        <v>44053.449259259258</v>
      </c>
      <c r="H481">
        <v>33</v>
      </c>
      <c r="I481">
        <v>14796</v>
      </c>
      <c r="J481" t="s">
        <v>50</v>
      </c>
      <c r="K481" t="s">
        <v>50</v>
      </c>
      <c r="L481" t="s">
        <v>159</v>
      </c>
      <c r="M481" t="s">
        <v>51</v>
      </c>
      <c r="N481" t="s">
        <v>92</v>
      </c>
      <c r="O481" s="1">
        <v>41335</v>
      </c>
      <c r="P481" t="s">
        <v>84</v>
      </c>
      <c r="Q481">
        <v>2</v>
      </c>
      <c r="R481" t="s">
        <v>94</v>
      </c>
      <c r="S481">
        <v>9.5288520000000005</v>
      </c>
      <c r="T481">
        <v>1.0669999999999999</v>
      </c>
      <c r="U481">
        <v>10</v>
      </c>
    </row>
    <row r="482" spans="1:21" x14ac:dyDescent="0.25">
      <c r="A482" s="1">
        <v>44013</v>
      </c>
      <c r="B482" s="1">
        <v>44013</v>
      </c>
      <c r="C482" t="s">
        <v>157</v>
      </c>
      <c r="D482" t="s">
        <v>93</v>
      </c>
      <c r="E482" t="s">
        <v>49</v>
      </c>
      <c r="F482" t="s">
        <v>236</v>
      </c>
      <c r="G482" s="53">
        <v>44082.485532407409</v>
      </c>
      <c r="H482">
        <v>33</v>
      </c>
      <c r="I482" t="s">
        <v>349</v>
      </c>
      <c r="J482" t="s">
        <v>50</v>
      </c>
      <c r="K482" t="s">
        <v>50</v>
      </c>
      <c r="L482" t="s">
        <v>159</v>
      </c>
      <c r="M482" t="s">
        <v>51</v>
      </c>
      <c r="N482" t="s">
        <v>92</v>
      </c>
      <c r="O482" s="1">
        <v>41335</v>
      </c>
      <c r="P482" t="s">
        <v>84</v>
      </c>
      <c r="Q482">
        <v>2</v>
      </c>
      <c r="R482" t="s">
        <v>94</v>
      </c>
      <c r="S482">
        <v>1</v>
      </c>
      <c r="T482">
        <v>35</v>
      </c>
      <c r="U482">
        <v>35</v>
      </c>
    </row>
    <row r="483" spans="1:21" x14ac:dyDescent="0.25">
      <c r="A483" s="1">
        <v>44013</v>
      </c>
      <c r="B483" s="1">
        <v>44013</v>
      </c>
      <c r="C483" t="s">
        <v>157</v>
      </c>
      <c r="D483" t="s">
        <v>48</v>
      </c>
      <c r="E483" t="s">
        <v>49</v>
      </c>
      <c r="F483" t="s">
        <v>235</v>
      </c>
      <c r="G483" s="53">
        <v>44053.449259259258</v>
      </c>
      <c r="H483">
        <v>33</v>
      </c>
      <c r="I483">
        <v>14796</v>
      </c>
      <c r="J483" t="s">
        <v>50</v>
      </c>
      <c r="K483" t="s">
        <v>50</v>
      </c>
      <c r="L483" t="s">
        <v>159</v>
      </c>
      <c r="M483" t="s">
        <v>51</v>
      </c>
      <c r="N483" t="s">
        <v>92</v>
      </c>
      <c r="O483" s="1">
        <v>41335</v>
      </c>
      <c r="P483" t="s">
        <v>84</v>
      </c>
      <c r="Q483">
        <v>3</v>
      </c>
      <c r="R483" t="s">
        <v>81</v>
      </c>
      <c r="S483">
        <v>314.28954700000003</v>
      </c>
      <c r="T483">
        <v>73.070999999999998</v>
      </c>
      <c r="U483">
        <v>22965</v>
      </c>
    </row>
    <row r="484" spans="1:21" x14ac:dyDescent="0.25">
      <c r="A484" s="1">
        <v>44013</v>
      </c>
      <c r="B484" s="1">
        <v>44013</v>
      </c>
      <c r="C484" t="s">
        <v>157</v>
      </c>
      <c r="D484" t="s">
        <v>55</v>
      </c>
      <c r="E484" t="s">
        <v>56</v>
      </c>
      <c r="F484" t="s">
        <v>234</v>
      </c>
      <c r="G484" s="53">
        <v>44053.449259259258</v>
      </c>
      <c r="H484">
        <v>33</v>
      </c>
      <c r="I484">
        <v>14796</v>
      </c>
      <c r="J484" t="s">
        <v>50</v>
      </c>
      <c r="K484" t="s">
        <v>50</v>
      </c>
      <c r="L484" t="s">
        <v>159</v>
      </c>
      <c r="M484" t="s">
        <v>51</v>
      </c>
      <c r="N484" t="s">
        <v>92</v>
      </c>
      <c r="O484" s="1">
        <v>41335</v>
      </c>
      <c r="P484" t="s">
        <v>84</v>
      </c>
      <c r="Q484">
        <v>3</v>
      </c>
      <c r="R484" t="s">
        <v>81</v>
      </c>
      <c r="S484">
        <v>314.28954700000003</v>
      </c>
      <c r="T484">
        <v>1.0669999999999999</v>
      </c>
      <c r="U484">
        <v>335</v>
      </c>
    </row>
    <row r="485" spans="1:21" x14ac:dyDescent="0.25">
      <c r="A485" s="1">
        <v>44013</v>
      </c>
      <c r="B485" s="1">
        <v>44013</v>
      </c>
      <c r="C485" t="s">
        <v>157</v>
      </c>
      <c r="D485" t="s">
        <v>52</v>
      </c>
      <c r="E485" t="s">
        <v>53</v>
      </c>
      <c r="F485" t="s">
        <v>233</v>
      </c>
      <c r="G485" s="53">
        <v>44053.449259259258</v>
      </c>
      <c r="H485">
        <v>33</v>
      </c>
      <c r="I485">
        <v>14796</v>
      </c>
      <c r="J485" t="s">
        <v>50</v>
      </c>
      <c r="K485" t="s">
        <v>50</v>
      </c>
      <c r="L485" t="s">
        <v>159</v>
      </c>
      <c r="M485" t="s">
        <v>51</v>
      </c>
      <c r="N485" t="s">
        <v>92</v>
      </c>
      <c r="O485" s="1">
        <v>41335</v>
      </c>
      <c r="P485" t="s">
        <v>84</v>
      </c>
      <c r="Q485">
        <v>3</v>
      </c>
      <c r="R485" t="s">
        <v>81</v>
      </c>
      <c r="S485">
        <v>0</v>
      </c>
      <c r="T485">
        <v>0</v>
      </c>
      <c r="U485">
        <v>0</v>
      </c>
    </row>
    <row r="486" spans="1:21" x14ac:dyDescent="0.25">
      <c r="A486" s="1">
        <v>44013</v>
      </c>
      <c r="B486" s="1">
        <v>44013</v>
      </c>
      <c r="C486" t="s">
        <v>157</v>
      </c>
      <c r="D486" t="s">
        <v>93</v>
      </c>
      <c r="E486" t="s">
        <v>49</v>
      </c>
      <c r="F486" t="s">
        <v>236</v>
      </c>
      <c r="G486" s="53">
        <v>44082.485532407409</v>
      </c>
      <c r="H486">
        <v>33</v>
      </c>
      <c r="I486" t="s">
        <v>349</v>
      </c>
      <c r="J486" t="s">
        <v>50</v>
      </c>
      <c r="K486" t="s">
        <v>50</v>
      </c>
      <c r="L486" t="s">
        <v>159</v>
      </c>
      <c r="M486" t="s">
        <v>51</v>
      </c>
      <c r="N486" t="s">
        <v>92</v>
      </c>
      <c r="O486" s="1">
        <v>41335</v>
      </c>
      <c r="P486" t="s">
        <v>84</v>
      </c>
      <c r="Q486">
        <v>3</v>
      </c>
      <c r="R486" t="s">
        <v>81</v>
      </c>
      <c r="S486">
        <v>1</v>
      </c>
      <c r="T486">
        <v>1075</v>
      </c>
      <c r="U486">
        <v>1075</v>
      </c>
    </row>
    <row r="487" spans="1:21" x14ac:dyDescent="0.25">
      <c r="A487" s="1">
        <v>44013</v>
      </c>
      <c r="B487" s="1">
        <v>44013</v>
      </c>
      <c r="C487" t="s">
        <v>157</v>
      </c>
      <c r="D487" t="s">
        <v>54</v>
      </c>
      <c r="E487" t="s">
        <v>21</v>
      </c>
      <c r="F487" t="s">
        <v>231</v>
      </c>
      <c r="G487" s="53">
        <v>44053.449259259258</v>
      </c>
      <c r="H487">
        <v>33</v>
      </c>
      <c r="I487">
        <v>14796</v>
      </c>
      <c r="J487" t="s">
        <v>50</v>
      </c>
      <c r="K487" t="s">
        <v>50</v>
      </c>
      <c r="L487" t="s">
        <v>159</v>
      </c>
      <c r="M487" t="s">
        <v>51</v>
      </c>
      <c r="N487" t="s">
        <v>92</v>
      </c>
      <c r="O487" s="1">
        <v>41335</v>
      </c>
      <c r="P487" t="s">
        <v>84</v>
      </c>
      <c r="Q487">
        <v>3</v>
      </c>
      <c r="R487" t="s">
        <v>81</v>
      </c>
      <c r="S487">
        <v>0</v>
      </c>
      <c r="T487">
        <v>5857.61</v>
      </c>
      <c r="U487">
        <v>0</v>
      </c>
    </row>
    <row r="488" spans="1:21" x14ac:dyDescent="0.25">
      <c r="A488" s="1">
        <v>44013</v>
      </c>
      <c r="B488" s="1">
        <v>44013</v>
      </c>
      <c r="C488" t="s">
        <v>157</v>
      </c>
      <c r="D488" t="s">
        <v>48</v>
      </c>
      <c r="E488" t="s">
        <v>49</v>
      </c>
      <c r="F488" t="s">
        <v>235</v>
      </c>
      <c r="G488" s="53">
        <v>44053.449259259258</v>
      </c>
      <c r="H488">
        <v>33</v>
      </c>
      <c r="I488">
        <v>14796</v>
      </c>
      <c r="J488" t="s">
        <v>50</v>
      </c>
      <c r="K488" t="s">
        <v>50</v>
      </c>
      <c r="L488" t="s">
        <v>159</v>
      </c>
      <c r="M488" t="s">
        <v>51</v>
      </c>
      <c r="N488" t="s">
        <v>92</v>
      </c>
      <c r="O488" s="1">
        <v>41335</v>
      </c>
      <c r="P488" t="s">
        <v>84</v>
      </c>
      <c r="Q488">
        <v>4</v>
      </c>
      <c r="R488" t="s">
        <v>27</v>
      </c>
      <c r="S488">
        <v>2713.5583329999999</v>
      </c>
      <c r="T488">
        <v>73.188999999999993</v>
      </c>
      <c r="U488">
        <v>198603</v>
      </c>
    </row>
    <row r="489" spans="1:21" x14ac:dyDescent="0.25">
      <c r="A489" s="1">
        <v>44013</v>
      </c>
      <c r="B489" s="1">
        <v>44013</v>
      </c>
      <c r="C489" t="s">
        <v>157</v>
      </c>
      <c r="D489" t="s">
        <v>52</v>
      </c>
      <c r="E489" t="s">
        <v>53</v>
      </c>
      <c r="F489" t="s">
        <v>233</v>
      </c>
      <c r="G489" s="53">
        <v>44053.449259259258</v>
      </c>
      <c r="H489">
        <v>33</v>
      </c>
      <c r="I489">
        <v>14796</v>
      </c>
      <c r="J489" t="s">
        <v>50</v>
      </c>
      <c r="K489" t="s">
        <v>50</v>
      </c>
      <c r="L489" t="s">
        <v>159</v>
      </c>
      <c r="M489" t="s">
        <v>51</v>
      </c>
      <c r="N489" t="s">
        <v>92</v>
      </c>
      <c r="O489" s="1">
        <v>41335</v>
      </c>
      <c r="P489" t="s">
        <v>84</v>
      </c>
      <c r="Q489">
        <v>4</v>
      </c>
      <c r="R489" t="s">
        <v>27</v>
      </c>
      <c r="S489">
        <v>0</v>
      </c>
      <c r="T489">
        <v>0</v>
      </c>
      <c r="U489">
        <v>0</v>
      </c>
    </row>
    <row r="490" spans="1:21" x14ac:dyDescent="0.25">
      <c r="A490" s="1">
        <v>44013</v>
      </c>
      <c r="B490" s="1">
        <v>44013</v>
      </c>
      <c r="C490" t="s">
        <v>157</v>
      </c>
      <c r="D490" t="s">
        <v>54</v>
      </c>
      <c r="E490" t="s">
        <v>21</v>
      </c>
      <c r="F490" t="s">
        <v>231</v>
      </c>
      <c r="G490" s="53">
        <v>44053.449259259258</v>
      </c>
      <c r="H490">
        <v>33</v>
      </c>
      <c r="I490">
        <v>14796</v>
      </c>
      <c r="J490" t="s">
        <v>50</v>
      </c>
      <c r="K490" t="s">
        <v>50</v>
      </c>
      <c r="L490" t="s">
        <v>159</v>
      </c>
      <c r="M490" t="s">
        <v>51</v>
      </c>
      <c r="N490" t="s">
        <v>92</v>
      </c>
      <c r="O490" s="1">
        <v>41335</v>
      </c>
      <c r="P490" t="s">
        <v>84</v>
      </c>
      <c r="Q490">
        <v>4</v>
      </c>
      <c r="R490" t="s">
        <v>27</v>
      </c>
      <c r="S490">
        <v>0</v>
      </c>
      <c r="T490">
        <v>5984.4</v>
      </c>
      <c r="U490">
        <v>0</v>
      </c>
    </row>
    <row r="491" spans="1:21" x14ac:dyDescent="0.25">
      <c r="A491" s="1">
        <v>44013</v>
      </c>
      <c r="B491" s="1">
        <v>44013</v>
      </c>
      <c r="C491" t="s">
        <v>157</v>
      </c>
      <c r="D491" t="s">
        <v>55</v>
      </c>
      <c r="E491" t="s">
        <v>56</v>
      </c>
      <c r="F491" t="s">
        <v>234</v>
      </c>
      <c r="G491" s="53">
        <v>44053.449259259258</v>
      </c>
      <c r="H491">
        <v>33</v>
      </c>
      <c r="I491">
        <v>14796</v>
      </c>
      <c r="J491" t="s">
        <v>50</v>
      </c>
      <c r="K491" t="s">
        <v>50</v>
      </c>
      <c r="L491" t="s">
        <v>159</v>
      </c>
      <c r="M491" t="s">
        <v>51</v>
      </c>
      <c r="N491" t="s">
        <v>92</v>
      </c>
      <c r="O491" s="1">
        <v>41335</v>
      </c>
      <c r="P491" t="s">
        <v>84</v>
      </c>
      <c r="Q491">
        <v>4</v>
      </c>
      <c r="R491" t="s">
        <v>27</v>
      </c>
      <c r="S491">
        <v>2713.5583329999999</v>
      </c>
      <c r="T491">
        <v>1.0669999999999999</v>
      </c>
      <c r="U491">
        <v>2895</v>
      </c>
    </row>
    <row r="492" spans="1:21" x14ac:dyDescent="0.25">
      <c r="A492" s="1">
        <v>44013</v>
      </c>
      <c r="B492" s="1">
        <v>44013</v>
      </c>
      <c r="C492" t="s">
        <v>157</v>
      </c>
      <c r="D492" t="s">
        <v>95</v>
      </c>
      <c r="E492" t="s">
        <v>56</v>
      </c>
      <c r="F492" t="s">
        <v>232</v>
      </c>
      <c r="G492" s="53">
        <v>44082.485532407409</v>
      </c>
      <c r="H492">
        <v>33</v>
      </c>
      <c r="I492" t="s">
        <v>349</v>
      </c>
      <c r="J492" t="s">
        <v>50</v>
      </c>
      <c r="K492" t="s">
        <v>50</v>
      </c>
      <c r="L492" t="s">
        <v>159</v>
      </c>
      <c r="M492" t="s">
        <v>51</v>
      </c>
      <c r="N492" t="s">
        <v>92</v>
      </c>
      <c r="O492" s="1">
        <v>41335</v>
      </c>
      <c r="P492" t="s">
        <v>84</v>
      </c>
      <c r="Q492">
        <v>4</v>
      </c>
      <c r="R492" t="s">
        <v>27</v>
      </c>
      <c r="S492">
        <v>1</v>
      </c>
      <c r="T492">
        <v>-4</v>
      </c>
      <c r="U492">
        <v>-4</v>
      </c>
    </row>
    <row r="493" spans="1:21" x14ac:dyDescent="0.25">
      <c r="A493" s="1">
        <v>44013</v>
      </c>
      <c r="B493" s="1">
        <v>44013</v>
      </c>
      <c r="C493" t="s">
        <v>157</v>
      </c>
      <c r="D493" t="s">
        <v>93</v>
      </c>
      <c r="E493" t="s">
        <v>49</v>
      </c>
      <c r="F493" t="s">
        <v>236</v>
      </c>
      <c r="G493" s="53">
        <v>44082.485532407409</v>
      </c>
      <c r="H493">
        <v>33</v>
      </c>
      <c r="I493" t="s">
        <v>349</v>
      </c>
      <c r="J493" t="s">
        <v>50</v>
      </c>
      <c r="K493" t="s">
        <v>50</v>
      </c>
      <c r="L493" t="s">
        <v>159</v>
      </c>
      <c r="M493" t="s">
        <v>51</v>
      </c>
      <c r="N493" t="s">
        <v>92</v>
      </c>
      <c r="O493" s="1">
        <v>41335</v>
      </c>
      <c r="P493" t="s">
        <v>84</v>
      </c>
      <c r="Q493">
        <v>4</v>
      </c>
      <c r="R493" t="s">
        <v>27</v>
      </c>
      <c r="S493">
        <v>1</v>
      </c>
      <c r="T493">
        <v>9294</v>
      </c>
      <c r="U493">
        <v>9294</v>
      </c>
    </row>
    <row r="494" spans="1:21" x14ac:dyDescent="0.25">
      <c r="A494" s="1">
        <v>44013</v>
      </c>
      <c r="B494" s="1">
        <v>44013</v>
      </c>
      <c r="C494" t="s">
        <v>157</v>
      </c>
      <c r="D494" t="s">
        <v>54</v>
      </c>
      <c r="E494" t="s">
        <v>21</v>
      </c>
      <c r="F494" t="s">
        <v>231</v>
      </c>
      <c r="G494" s="53">
        <v>44053.449259259258</v>
      </c>
      <c r="H494">
        <v>33</v>
      </c>
      <c r="I494">
        <v>14796</v>
      </c>
      <c r="J494" t="s">
        <v>50</v>
      </c>
      <c r="K494" t="s">
        <v>50</v>
      </c>
      <c r="L494" t="s">
        <v>159</v>
      </c>
      <c r="M494" t="s">
        <v>51</v>
      </c>
      <c r="N494" t="s">
        <v>92</v>
      </c>
      <c r="O494" s="1">
        <v>41335</v>
      </c>
      <c r="P494" t="s">
        <v>84</v>
      </c>
      <c r="Q494">
        <v>5</v>
      </c>
      <c r="R494" t="s">
        <v>28</v>
      </c>
      <c r="S494">
        <v>0</v>
      </c>
      <c r="T494">
        <v>5746.52</v>
      </c>
      <c r="U494">
        <v>0</v>
      </c>
    </row>
    <row r="495" spans="1:21" x14ac:dyDescent="0.25">
      <c r="A495" s="1">
        <v>44013</v>
      </c>
      <c r="B495" s="1">
        <v>44013</v>
      </c>
      <c r="C495" t="s">
        <v>157</v>
      </c>
      <c r="D495" t="s">
        <v>93</v>
      </c>
      <c r="E495" t="s">
        <v>49</v>
      </c>
      <c r="F495" t="s">
        <v>236</v>
      </c>
      <c r="G495" s="53">
        <v>44082.485532407409</v>
      </c>
      <c r="H495">
        <v>33</v>
      </c>
      <c r="I495" t="s">
        <v>349</v>
      </c>
      <c r="J495" t="s">
        <v>50</v>
      </c>
      <c r="K495" t="s">
        <v>50</v>
      </c>
      <c r="L495" t="s">
        <v>159</v>
      </c>
      <c r="M495" t="s">
        <v>51</v>
      </c>
      <c r="N495" t="s">
        <v>92</v>
      </c>
      <c r="O495" s="1">
        <v>41335</v>
      </c>
      <c r="P495" t="s">
        <v>84</v>
      </c>
      <c r="Q495">
        <v>5</v>
      </c>
      <c r="R495" t="s">
        <v>28</v>
      </c>
      <c r="S495">
        <v>1</v>
      </c>
      <c r="T495">
        <v>40</v>
      </c>
      <c r="U495">
        <v>40</v>
      </c>
    </row>
    <row r="496" spans="1:21" x14ac:dyDescent="0.25">
      <c r="A496" s="1">
        <v>44013</v>
      </c>
      <c r="B496" s="1">
        <v>44013</v>
      </c>
      <c r="C496" t="s">
        <v>157</v>
      </c>
      <c r="D496" t="s">
        <v>52</v>
      </c>
      <c r="E496" t="s">
        <v>53</v>
      </c>
      <c r="F496" t="s">
        <v>233</v>
      </c>
      <c r="G496" s="53">
        <v>44053.449259259258</v>
      </c>
      <c r="H496">
        <v>33</v>
      </c>
      <c r="I496">
        <v>14796</v>
      </c>
      <c r="J496" t="s">
        <v>50</v>
      </c>
      <c r="K496" t="s">
        <v>50</v>
      </c>
      <c r="L496" t="s">
        <v>159</v>
      </c>
      <c r="M496" t="s">
        <v>51</v>
      </c>
      <c r="N496" t="s">
        <v>92</v>
      </c>
      <c r="O496" s="1">
        <v>41335</v>
      </c>
      <c r="P496" t="s">
        <v>84</v>
      </c>
      <c r="Q496">
        <v>5</v>
      </c>
      <c r="R496" t="s">
        <v>28</v>
      </c>
      <c r="S496">
        <v>0</v>
      </c>
      <c r="T496">
        <v>0</v>
      </c>
      <c r="U496">
        <v>0</v>
      </c>
    </row>
    <row r="497" spans="1:21" x14ac:dyDescent="0.25">
      <c r="A497" s="1">
        <v>44013</v>
      </c>
      <c r="B497" s="1">
        <v>44013</v>
      </c>
      <c r="C497" t="s">
        <v>157</v>
      </c>
      <c r="D497" t="s">
        <v>55</v>
      </c>
      <c r="E497" t="s">
        <v>56</v>
      </c>
      <c r="F497" t="s">
        <v>234</v>
      </c>
      <c r="G497" s="53">
        <v>44053.449259259258</v>
      </c>
      <c r="H497">
        <v>33</v>
      </c>
      <c r="I497">
        <v>14796</v>
      </c>
      <c r="J497" t="s">
        <v>50</v>
      </c>
      <c r="K497" t="s">
        <v>50</v>
      </c>
      <c r="L497" t="s">
        <v>159</v>
      </c>
      <c r="M497" t="s">
        <v>51</v>
      </c>
      <c r="N497" t="s">
        <v>92</v>
      </c>
      <c r="O497" s="1">
        <v>41335</v>
      </c>
      <c r="P497" t="s">
        <v>84</v>
      </c>
      <c r="Q497">
        <v>5</v>
      </c>
      <c r="R497" t="s">
        <v>28</v>
      </c>
      <c r="S497">
        <v>11.248535</v>
      </c>
      <c r="T497">
        <v>1.0669999999999999</v>
      </c>
      <c r="U497">
        <v>12</v>
      </c>
    </row>
    <row r="498" spans="1:21" x14ac:dyDescent="0.25">
      <c r="A498" s="1">
        <v>44013</v>
      </c>
      <c r="B498" s="1">
        <v>44013</v>
      </c>
      <c r="C498" t="s">
        <v>157</v>
      </c>
      <c r="D498" t="s">
        <v>48</v>
      </c>
      <c r="E498" t="s">
        <v>49</v>
      </c>
      <c r="F498" t="s">
        <v>235</v>
      </c>
      <c r="G498" s="53">
        <v>44053.449259259258</v>
      </c>
      <c r="H498">
        <v>33</v>
      </c>
      <c r="I498">
        <v>14796</v>
      </c>
      <c r="J498" t="s">
        <v>50</v>
      </c>
      <c r="K498" t="s">
        <v>50</v>
      </c>
      <c r="L498" t="s">
        <v>159</v>
      </c>
      <c r="M498" t="s">
        <v>51</v>
      </c>
      <c r="N498" t="s">
        <v>92</v>
      </c>
      <c r="O498" s="1">
        <v>41335</v>
      </c>
      <c r="P498" t="s">
        <v>84</v>
      </c>
      <c r="Q498">
        <v>5</v>
      </c>
      <c r="R498" t="s">
        <v>28</v>
      </c>
      <c r="S498">
        <v>11.248535</v>
      </c>
      <c r="T498">
        <v>75.629000000000005</v>
      </c>
      <c r="U498">
        <v>851</v>
      </c>
    </row>
    <row r="499" spans="1:21" x14ac:dyDescent="0.25">
      <c r="A499" s="1">
        <v>44044</v>
      </c>
      <c r="B499" s="1">
        <v>44044</v>
      </c>
      <c r="C499" t="s">
        <v>157</v>
      </c>
      <c r="D499" t="s">
        <v>54</v>
      </c>
      <c r="E499" t="s">
        <v>21</v>
      </c>
      <c r="F499" t="s">
        <v>238</v>
      </c>
      <c r="G499" s="53">
        <v>44081.950659722221</v>
      </c>
      <c r="H499">
        <v>33</v>
      </c>
      <c r="I499">
        <v>15128</v>
      </c>
      <c r="J499" t="s">
        <v>50</v>
      </c>
      <c r="K499" t="s">
        <v>50</v>
      </c>
      <c r="L499" t="s">
        <v>159</v>
      </c>
      <c r="M499" t="s">
        <v>51</v>
      </c>
      <c r="N499" t="s">
        <v>92</v>
      </c>
      <c r="O499" s="1">
        <v>41335</v>
      </c>
      <c r="P499" t="s">
        <v>84</v>
      </c>
      <c r="Q499">
        <v>1</v>
      </c>
      <c r="R499" t="s">
        <v>83</v>
      </c>
      <c r="S499">
        <v>0</v>
      </c>
      <c r="T499">
        <v>6060.78</v>
      </c>
      <c r="U499">
        <v>0</v>
      </c>
    </row>
    <row r="500" spans="1:21" x14ac:dyDescent="0.25">
      <c r="A500" s="1">
        <v>44044</v>
      </c>
      <c r="B500" s="1">
        <v>44044</v>
      </c>
      <c r="C500" t="s">
        <v>157</v>
      </c>
      <c r="D500" t="s">
        <v>48</v>
      </c>
      <c r="E500" t="s">
        <v>49</v>
      </c>
      <c r="F500" t="s">
        <v>239</v>
      </c>
      <c r="G500" s="53">
        <v>44081.950659722221</v>
      </c>
      <c r="H500">
        <v>33</v>
      </c>
      <c r="I500">
        <v>15128</v>
      </c>
      <c r="J500" t="s">
        <v>50</v>
      </c>
      <c r="K500" t="s">
        <v>50</v>
      </c>
      <c r="L500" t="s">
        <v>159</v>
      </c>
      <c r="M500" t="s">
        <v>51</v>
      </c>
      <c r="N500" t="s">
        <v>92</v>
      </c>
      <c r="O500" s="1">
        <v>41335</v>
      </c>
      <c r="P500" t="s">
        <v>84</v>
      </c>
      <c r="Q500">
        <v>1</v>
      </c>
      <c r="R500" t="s">
        <v>83</v>
      </c>
      <c r="S500">
        <v>2023.204197</v>
      </c>
      <c r="T500">
        <v>80.305999999999997</v>
      </c>
      <c r="U500">
        <v>162475</v>
      </c>
    </row>
    <row r="501" spans="1:21" x14ac:dyDescent="0.25">
      <c r="A501" s="1">
        <v>44044</v>
      </c>
      <c r="B501" s="1">
        <v>44044</v>
      </c>
      <c r="C501" t="s">
        <v>157</v>
      </c>
      <c r="D501" t="s">
        <v>95</v>
      </c>
      <c r="E501" t="s">
        <v>56</v>
      </c>
      <c r="F501" t="s">
        <v>240</v>
      </c>
      <c r="G501" s="53">
        <v>44119.739837962959</v>
      </c>
      <c r="H501">
        <v>33</v>
      </c>
      <c r="I501" t="s">
        <v>349</v>
      </c>
      <c r="J501" t="s">
        <v>50</v>
      </c>
      <c r="K501" t="s">
        <v>50</v>
      </c>
      <c r="L501" t="s">
        <v>159</v>
      </c>
      <c r="M501" t="s">
        <v>51</v>
      </c>
      <c r="N501" t="s">
        <v>92</v>
      </c>
      <c r="O501" s="1">
        <v>41335</v>
      </c>
      <c r="P501" t="s">
        <v>84</v>
      </c>
      <c r="Q501">
        <v>1</v>
      </c>
      <c r="R501" t="s">
        <v>83</v>
      </c>
      <c r="S501">
        <v>1</v>
      </c>
      <c r="T501">
        <v>8</v>
      </c>
      <c r="U501">
        <v>8</v>
      </c>
    </row>
    <row r="502" spans="1:21" x14ac:dyDescent="0.25">
      <c r="A502" s="1">
        <v>44044</v>
      </c>
      <c r="B502" s="1">
        <v>44044</v>
      </c>
      <c r="C502" t="s">
        <v>157</v>
      </c>
      <c r="D502" t="s">
        <v>55</v>
      </c>
      <c r="E502" t="s">
        <v>56</v>
      </c>
      <c r="F502" t="s">
        <v>241</v>
      </c>
      <c r="G502" s="53">
        <v>44081.950659722221</v>
      </c>
      <c r="H502">
        <v>33</v>
      </c>
      <c r="I502">
        <v>15128</v>
      </c>
      <c r="J502" t="s">
        <v>50</v>
      </c>
      <c r="K502" t="s">
        <v>50</v>
      </c>
      <c r="L502" t="s">
        <v>159</v>
      </c>
      <c r="M502" t="s">
        <v>51</v>
      </c>
      <c r="N502" t="s">
        <v>92</v>
      </c>
      <c r="O502" s="1">
        <v>41335</v>
      </c>
      <c r="P502" t="s">
        <v>84</v>
      </c>
      <c r="Q502">
        <v>1</v>
      </c>
      <c r="R502" t="s">
        <v>83</v>
      </c>
      <c r="S502">
        <v>2023.204197</v>
      </c>
      <c r="T502">
        <v>1.0669999999999999</v>
      </c>
      <c r="U502">
        <v>2159</v>
      </c>
    </row>
    <row r="503" spans="1:21" x14ac:dyDescent="0.25">
      <c r="A503" s="1">
        <v>44044</v>
      </c>
      <c r="B503" s="1">
        <v>44044</v>
      </c>
      <c r="C503" t="s">
        <v>157</v>
      </c>
      <c r="D503" t="s">
        <v>52</v>
      </c>
      <c r="E503" t="s">
        <v>53</v>
      </c>
      <c r="F503" t="s">
        <v>242</v>
      </c>
      <c r="G503" s="53">
        <v>44081.950659722221</v>
      </c>
      <c r="H503">
        <v>33</v>
      </c>
      <c r="I503">
        <v>15128</v>
      </c>
      <c r="J503" t="s">
        <v>50</v>
      </c>
      <c r="K503" t="s">
        <v>50</v>
      </c>
      <c r="L503" t="s">
        <v>159</v>
      </c>
      <c r="M503" t="s">
        <v>51</v>
      </c>
      <c r="N503" t="s">
        <v>92</v>
      </c>
      <c r="O503" s="1">
        <v>41335</v>
      </c>
      <c r="P503" t="s">
        <v>84</v>
      </c>
      <c r="Q503">
        <v>1</v>
      </c>
      <c r="R503" t="s">
        <v>83</v>
      </c>
      <c r="S503">
        <v>0</v>
      </c>
      <c r="T503">
        <v>0</v>
      </c>
      <c r="U503">
        <v>0</v>
      </c>
    </row>
    <row r="504" spans="1:21" x14ac:dyDescent="0.25">
      <c r="A504" s="1">
        <v>44044</v>
      </c>
      <c r="B504" s="1">
        <v>44044</v>
      </c>
      <c r="C504" t="s">
        <v>157</v>
      </c>
      <c r="D504" t="s">
        <v>93</v>
      </c>
      <c r="E504" t="s">
        <v>49</v>
      </c>
      <c r="F504" t="s">
        <v>243</v>
      </c>
      <c r="G504" s="53">
        <v>44119.739837962959</v>
      </c>
      <c r="H504">
        <v>33</v>
      </c>
      <c r="I504" t="s">
        <v>349</v>
      </c>
      <c r="J504" t="s">
        <v>50</v>
      </c>
      <c r="K504" t="s">
        <v>50</v>
      </c>
      <c r="L504" t="s">
        <v>159</v>
      </c>
      <c r="M504" t="s">
        <v>51</v>
      </c>
      <c r="N504" t="s">
        <v>92</v>
      </c>
      <c r="O504" s="1">
        <v>41335</v>
      </c>
      <c r="P504" t="s">
        <v>84</v>
      </c>
      <c r="Q504">
        <v>1</v>
      </c>
      <c r="R504" t="s">
        <v>83</v>
      </c>
      <c r="S504">
        <v>1</v>
      </c>
      <c r="T504">
        <v>689</v>
      </c>
      <c r="U504">
        <v>689</v>
      </c>
    </row>
    <row r="505" spans="1:21" x14ac:dyDescent="0.25">
      <c r="A505" s="1">
        <v>44044</v>
      </c>
      <c r="B505" s="1">
        <v>44044</v>
      </c>
      <c r="C505" t="s">
        <v>157</v>
      </c>
      <c r="D505" t="s">
        <v>93</v>
      </c>
      <c r="E505" t="s">
        <v>49</v>
      </c>
      <c r="F505" t="s">
        <v>243</v>
      </c>
      <c r="G505" s="53">
        <v>44119.739837962959</v>
      </c>
      <c r="H505">
        <v>33</v>
      </c>
      <c r="I505" t="s">
        <v>349</v>
      </c>
      <c r="J505" t="s">
        <v>50</v>
      </c>
      <c r="K505" t="s">
        <v>50</v>
      </c>
      <c r="L505" t="s">
        <v>159</v>
      </c>
      <c r="M505" t="s">
        <v>51</v>
      </c>
      <c r="N505" t="s">
        <v>92</v>
      </c>
      <c r="O505" s="1">
        <v>41335</v>
      </c>
      <c r="P505" t="s">
        <v>84</v>
      </c>
      <c r="Q505">
        <v>2</v>
      </c>
      <c r="R505" t="s">
        <v>94</v>
      </c>
      <c r="S505">
        <v>1</v>
      </c>
      <c r="T505">
        <v>2</v>
      </c>
      <c r="U505">
        <v>2</v>
      </c>
    </row>
    <row r="506" spans="1:21" x14ac:dyDescent="0.25">
      <c r="A506" s="1">
        <v>44044</v>
      </c>
      <c r="B506" s="1">
        <v>44044</v>
      </c>
      <c r="C506" t="s">
        <v>157</v>
      </c>
      <c r="D506" t="s">
        <v>52</v>
      </c>
      <c r="E506" t="s">
        <v>53</v>
      </c>
      <c r="F506" t="s">
        <v>242</v>
      </c>
      <c r="G506" s="53">
        <v>44081.950659722221</v>
      </c>
      <c r="H506">
        <v>33</v>
      </c>
      <c r="I506">
        <v>15128</v>
      </c>
      <c r="J506" t="s">
        <v>50</v>
      </c>
      <c r="K506" t="s">
        <v>50</v>
      </c>
      <c r="L506" t="s">
        <v>159</v>
      </c>
      <c r="M506" t="s">
        <v>51</v>
      </c>
      <c r="N506" t="s">
        <v>92</v>
      </c>
      <c r="O506" s="1">
        <v>41335</v>
      </c>
      <c r="P506" t="s">
        <v>84</v>
      </c>
      <c r="Q506">
        <v>2</v>
      </c>
      <c r="R506" t="s">
        <v>94</v>
      </c>
      <c r="S506">
        <v>0</v>
      </c>
      <c r="T506">
        <v>0</v>
      </c>
      <c r="U506">
        <v>0</v>
      </c>
    </row>
    <row r="507" spans="1:21" x14ac:dyDescent="0.25">
      <c r="A507" s="1">
        <v>44044</v>
      </c>
      <c r="B507" s="1">
        <v>44044</v>
      </c>
      <c r="C507" t="s">
        <v>157</v>
      </c>
      <c r="D507" t="s">
        <v>55</v>
      </c>
      <c r="E507" t="s">
        <v>56</v>
      </c>
      <c r="F507" t="s">
        <v>241</v>
      </c>
      <c r="G507" s="53">
        <v>44081.950659722221</v>
      </c>
      <c r="H507">
        <v>33</v>
      </c>
      <c r="I507">
        <v>15128</v>
      </c>
      <c r="J507" t="s">
        <v>50</v>
      </c>
      <c r="K507" t="s">
        <v>50</v>
      </c>
      <c r="L507" t="s">
        <v>159</v>
      </c>
      <c r="M507" t="s">
        <v>51</v>
      </c>
      <c r="N507" t="s">
        <v>92</v>
      </c>
      <c r="O507" s="1">
        <v>41335</v>
      </c>
      <c r="P507" t="s">
        <v>84</v>
      </c>
      <c r="Q507">
        <v>2</v>
      </c>
      <c r="R507" t="s">
        <v>94</v>
      </c>
      <c r="S507">
        <v>8.7653189999999999</v>
      </c>
      <c r="T507">
        <v>1.0669999999999999</v>
      </c>
      <c r="U507">
        <v>9</v>
      </c>
    </row>
    <row r="508" spans="1:21" x14ac:dyDescent="0.25">
      <c r="A508" s="1">
        <v>44044</v>
      </c>
      <c r="B508" s="1">
        <v>44044</v>
      </c>
      <c r="C508" t="s">
        <v>157</v>
      </c>
      <c r="D508" t="s">
        <v>54</v>
      </c>
      <c r="E508" t="s">
        <v>21</v>
      </c>
      <c r="F508" t="s">
        <v>238</v>
      </c>
      <c r="G508" s="53">
        <v>44081.950659722221</v>
      </c>
      <c r="H508">
        <v>33</v>
      </c>
      <c r="I508">
        <v>15128</v>
      </c>
      <c r="J508" t="s">
        <v>50</v>
      </c>
      <c r="K508" t="s">
        <v>50</v>
      </c>
      <c r="L508" t="s">
        <v>159</v>
      </c>
      <c r="M508" t="s">
        <v>51</v>
      </c>
      <c r="N508" t="s">
        <v>92</v>
      </c>
      <c r="O508" s="1">
        <v>41335</v>
      </c>
      <c r="P508" t="s">
        <v>84</v>
      </c>
      <c r="Q508">
        <v>2</v>
      </c>
      <c r="R508" t="s">
        <v>94</v>
      </c>
      <c r="S508">
        <v>0</v>
      </c>
      <c r="T508">
        <v>6136.88</v>
      </c>
      <c r="U508">
        <v>0</v>
      </c>
    </row>
    <row r="509" spans="1:21" x14ac:dyDescent="0.25">
      <c r="A509" s="1">
        <v>44044</v>
      </c>
      <c r="B509" s="1">
        <v>44044</v>
      </c>
      <c r="C509" t="s">
        <v>157</v>
      </c>
      <c r="D509" t="s">
        <v>48</v>
      </c>
      <c r="E509" t="s">
        <v>49</v>
      </c>
      <c r="F509" t="s">
        <v>239</v>
      </c>
      <c r="G509" s="53">
        <v>44081.950659722221</v>
      </c>
      <c r="H509">
        <v>33</v>
      </c>
      <c r="I509">
        <v>15128</v>
      </c>
      <c r="J509" t="s">
        <v>50</v>
      </c>
      <c r="K509" t="s">
        <v>50</v>
      </c>
      <c r="L509" t="s">
        <v>159</v>
      </c>
      <c r="M509" t="s">
        <v>51</v>
      </c>
      <c r="N509" t="s">
        <v>92</v>
      </c>
      <c r="O509" s="1">
        <v>41335</v>
      </c>
      <c r="P509" t="s">
        <v>84</v>
      </c>
      <c r="Q509">
        <v>2</v>
      </c>
      <c r="R509" t="s">
        <v>94</v>
      </c>
      <c r="S509">
        <v>8.7799999999999994</v>
      </c>
      <c r="T509">
        <v>81.448999999999998</v>
      </c>
      <c r="U509">
        <v>715</v>
      </c>
    </row>
    <row r="510" spans="1:21" x14ac:dyDescent="0.25">
      <c r="A510" s="1">
        <v>44044</v>
      </c>
      <c r="B510" s="1">
        <v>44044</v>
      </c>
      <c r="C510" t="s">
        <v>157</v>
      </c>
      <c r="D510" t="s">
        <v>52</v>
      </c>
      <c r="E510" t="s">
        <v>53</v>
      </c>
      <c r="F510" t="s">
        <v>242</v>
      </c>
      <c r="G510" s="53">
        <v>44081.950659722221</v>
      </c>
      <c r="H510">
        <v>33</v>
      </c>
      <c r="I510">
        <v>15128</v>
      </c>
      <c r="J510" t="s">
        <v>50</v>
      </c>
      <c r="K510" t="s">
        <v>50</v>
      </c>
      <c r="L510" t="s">
        <v>159</v>
      </c>
      <c r="M510" t="s">
        <v>51</v>
      </c>
      <c r="N510" t="s">
        <v>92</v>
      </c>
      <c r="O510" s="1">
        <v>41335</v>
      </c>
      <c r="P510" t="s">
        <v>84</v>
      </c>
      <c r="Q510">
        <v>3</v>
      </c>
      <c r="R510" t="s">
        <v>81</v>
      </c>
      <c r="S510">
        <v>0</v>
      </c>
      <c r="T510">
        <v>0</v>
      </c>
      <c r="U510">
        <v>0</v>
      </c>
    </row>
    <row r="511" spans="1:21" x14ac:dyDescent="0.25">
      <c r="A511" s="1">
        <v>44044</v>
      </c>
      <c r="B511" s="1">
        <v>44044</v>
      </c>
      <c r="C511" t="s">
        <v>157</v>
      </c>
      <c r="D511" t="s">
        <v>55</v>
      </c>
      <c r="E511" t="s">
        <v>56</v>
      </c>
      <c r="F511" t="s">
        <v>241</v>
      </c>
      <c r="G511" s="53">
        <v>44081.950659722221</v>
      </c>
      <c r="H511">
        <v>33</v>
      </c>
      <c r="I511">
        <v>15128</v>
      </c>
      <c r="J511" t="s">
        <v>50</v>
      </c>
      <c r="K511" t="s">
        <v>50</v>
      </c>
      <c r="L511" t="s">
        <v>159</v>
      </c>
      <c r="M511" t="s">
        <v>51</v>
      </c>
      <c r="N511" t="s">
        <v>92</v>
      </c>
      <c r="O511" s="1">
        <v>41335</v>
      </c>
      <c r="P511" t="s">
        <v>84</v>
      </c>
      <c r="Q511">
        <v>3</v>
      </c>
      <c r="R511" t="s">
        <v>81</v>
      </c>
      <c r="S511">
        <v>304.37409600000001</v>
      </c>
      <c r="T511">
        <v>1.0669999999999999</v>
      </c>
      <c r="U511">
        <v>325</v>
      </c>
    </row>
    <row r="512" spans="1:21" x14ac:dyDescent="0.25">
      <c r="A512" s="1">
        <v>44044</v>
      </c>
      <c r="B512" s="1">
        <v>44044</v>
      </c>
      <c r="C512" t="s">
        <v>157</v>
      </c>
      <c r="D512" t="s">
        <v>48</v>
      </c>
      <c r="E512" t="s">
        <v>49</v>
      </c>
      <c r="F512" t="s">
        <v>239</v>
      </c>
      <c r="G512" s="53">
        <v>44081.950659722221</v>
      </c>
      <c r="H512">
        <v>33</v>
      </c>
      <c r="I512">
        <v>15128</v>
      </c>
      <c r="J512" t="s">
        <v>50</v>
      </c>
      <c r="K512" t="s">
        <v>50</v>
      </c>
      <c r="L512" t="s">
        <v>159</v>
      </c>
      <c r="M512" t="s">
        <v>51</v>
      </c>
      <c r="N512" t="s">
        <v>92</v>
      </c>
      <c r="O512" s="1">
        <v>41335</v>
      </c>
      <c r="P512" t="s">
        <v>84</v>
      </c>
      <c r="Q512">
        <v>3</v>
      </c>
      <c r="R512" t="s">
        <v>81</v>
      </c>
      <c r="S512">
        <v>304.37409600000001</v>
      </c>
      <c r="T512">
        <v>76.619</v>
      </c>
      <c r="U512">
        <v>23321</v>
      </c>
    </row>
    <row r="513" spans="1:21" x14ac:dyDescent="0.25">
      <c r="A513" s="1">
        <v>44044</v>
      </c>
      <c r="B513" s="1">
        <v>44044</v>
      </c>
      <c r="C513" t="s">
        <v>157</v>
      </c>
      <c r="D513" t="s">
        <v>95</v>
      </c>
      <c r="E513" t="s">
        <v>56</v>
      </c>
      <c r="F513" t="s">
        <v>240</v>
      </c>
      <c r="G513" s="53">
        <v>44119.739837962959</v>
      </c>
      <c r="H513">
        <v>33</v>
      </c>
      <c r="I513" t="s">
        <v>349</v>
      </c>
      <c r="J513" t="s">
        <v>50</v>
      </c>
      <c r="K513" t="s">
        <v>50</v>
      </c>
      <c r="L513" t="s">
        <v>159</v>
      </c>
      <c r="M513" t="s">
        <v>51</v>
      </c>
      <c r="N513" t="s">
        <v>92</v>
      </c>
      <c r="O513" s="1">
        <v>41335</v>
      </c>
      <c r="P513" t="s">
        <v>84</v>
      </c>
      <c r="Q513">
        <v>3</v>
      </c>
      <c r="R513" t="s">
        <v>81</v>
      </c>
      <c r="S513">
        <v>1</v>
      </c>
      <c r="T513">
        <v>2</v>
      </c>
      <c r="U513">
        <v>2</v>
      </c>
    </row>
    <row r="514" spans="1:21" x14ac:dyDescent="0.25">
      <c r="A514" s="1">
        <v>44044</v>
      </c>
      <c r="B514" s="1">
        <v>44044</v>
      </c>
      <c r="C514" t="s">
        <v>157</v>
      </c>
      <c r="D514" t="s">
        <v>93</v>
      </c>
      <c r="E514" t="s">
        <v>49</v>
      </c>
      <c r="F514" t="s">
        <v>243</v>
      </c>
      <c r="G514" s="53">
        <v>44119.739837962959</v>
      </c>
      <c r="H514">
        <v>33</v>
      </c>
      <c r="I514" t="s">
        <v>349</v>
      </c>
      <c r="J514" t="s">
        <v>50</v>
      </c>
      <c r="K514" t="s">
        <v>50</v>
      </c>
      <c r="L514" t="s">
        <v>159</v>
      </c>
      <c r="M514" t="s">
        <v>51</v>
      </c>
      <c r="N514" t="s">
        <v>92</v>
      </c>
      <c r="O514" s="1">
        <v>41335</v>
      </c>
      <c r="P514" t="s">
        <v>84</v>
      </c>
      <c r="Q514">
        <v>3</v>
      </c>
      <c r="R514" t="s">
        <v>81</v>
      </c>
      <c r="S514">
        <v>1</v>
      </c>
      <c r="T514">
        <v>99</v>
      </c>
      <c r="U514">
        <v>99</v>
      </c>
    </row>
    <row r="515" spans="1:21" x14ac:dyDescent="0.25">
      <c r="A515" s="1">
        <v>44044</v>
      </c>
      <c r="B515" s="1">
        <v>44044</v>
      </c>
      <c r="C515" t="s">
        <v>157</v>
      </c>
      <c r="D515" t="s">
        <v>54</v>
      </c>
      <c r="E515" t="s">
        <v>21</v>
      </c>
      <c r="F515" t="s">
        <v>238</v>
      </c>
      <c r="G515" s="53">
        <v>44081.950659722221</v>
      </c>
      <c r="H515">
        <v>33</v>
      </c>
      <c r="I515">
        <v>15128</v>
      </c>
      <c r="J515" t="s">
        <v>50</v>
      </c>
      <c r="K515" t="s">
        <v>50</v>
      </c>
      <c r="L515" t="s">
        <v>159</v>
      </c>
      <c r="M515" t="s">
        <v>51</v>
      </c>
      <c r="N515" t="s">
        <v>92</v>
      </c>
      <c r="O515" s="1">
        <v>41335</v>
      </c>
      <c r="P515" t="s">
        <v>84</v>
      </c>
      <c r="Q515">
        <v>3</v>
      </c>
      <c r="R515" t="s">
        <v>81</v>
      </c>
      <c r="S515">
        <v>0</v>
      </c>
      <c r="T515">
        <v>5859.08</v>
      </c>
      <c r="U515">
        <v>0</v>
      </c>
    </row>
    <row r="516" spans="1:21" x14ac:dyDescent="0.25">
      <c r="A516" s="1">
        <v>44044</v>
      </c>
      <c r="B516" s="1">
        <v>44044</v>
      </c>
      <c r="C516" t="s">
        <v>157</v>
      </c>
      <c r="D516" t="s">
        <v>55</v>
      </c>
      <c r="E516" t="s">
        <v>56</v>
      </c>
      <c r="F516" t="s">
        <v>241</v>
      </c>
      <c r="G516" s="53">
        <v>44081.950659722221</v>
      </c>
      <c r="H516">
        <v>33</v>
      </c>
      <c r="I516">
        <v>15128</v>
      </c>
      <c r="J516" t="s">
        <v>50</v>
      </c>
      <c r="K516" t="s">
        <v>50</v>
      </c>
      <c r="L516" t="s">
        <v>159</v>
      </c>
      <c r="M516" t="s">
        <v>51</v>
      </c>
      <c r="N516" t="s">
        <v>92</v>
      </c>
      <c r="O516" s="1">
        <v>41335</v>
      </c>
      <c r="P516" t="s">
        <v>84</v>
      </c>
      <c r="Q516">
        <v>4</v>
      </c>
      <c r="R516" t="s">
        <v>27</v>
      </c>
      <c r="S516">
        <v>2559.6909580000001</v>
      </c>
      <c r="T516">
        <v>1.0669999999999999</v>
      </c>
      <c r="U516">
        <v>2731</v>
      </c>
    </row>
    <row r="517" spans="1:21" x14ac:dyDescent="0.25">
      <c r="A517" s="1">
        <v>44044</v>
      </c>
      <c r="B517" s="1">
        <v>44044</v>
      </c>
      <c r="C517" t="s">
        <v>157</v>
      </c>
      <c r="D517" t="s">
        <v>48</v>
      </c>
      <c r="E517" t="s">
        <v>49</v>
      </c>
      <c r="F517" t="s">
        <v>239</v>
      </c>
      <c r="G517" s="53">
        <v>44081.950659722221</v>
      </c>
      <c r="H517">
        <v>33</v>
      </c>
      <c r="I517">
        <v>15128</v>
      </c>
      <c r="J517" t="s">
        <v>50</v>
      </c>
      <c r="K517" t="s">
        <v>50</v>
      </c>
      <c r="L517" t="s">
        <v>159</v>
      </c>
      <c r="M517" t="s">
        <v>51</v>
      </c>
      <c r="N517" t="s">
        <v>92</v>
      </c>
      <c r="O517" s="1">
        <v>41335</v>
      </c>
      <c r="P517" t="s">
        <v>84</v>
      </c>
      <c r="Q517">
        <v>4</v>
      </c>
      <c r="R517" t="s">
        <v>27</v>
      </c>
      <c r="S517">
        <v>2559.6909580000001</v>
      </c>
      <c r="T517">
        <v>76.742999999999995</v>
      </c>
      <c r="U517">
        <v>196438</v>
      </c>
    </row>
    <row r="518" spans="1:21" x14ac:dyDescent="0.25">
      <c r="A518" s="1">
        <v>44044</v>
      </c>
      <c r="B518" s="1">
        <v>44044</v>
      </c>
      <c r="C518" t="s">
        <v>157</v>
      </c>
      <c r="D518" t="s">
        <v>95</v>
      </c>
      <c r="E518" t="s">
        <v>56</v>
      </c>
      <c r="F518" t="s">
        <v>240</v>
      </c>
      <c r="G518" s="53">
        <v>44119.739837962959</v>
      </c>
      <c r="H518">
        <v>33</v>
      </c>
      <c r="I518" t="s">
        <v>349</v>
      </c>
      <c r="J518" t="s">
        <v>50</v>
      </c>
      <c r="K518" t="s">
        <v>50</v>
      </c>
      <c r="L518" t="s">
        <v>159</v>
      </c>
      <c r="M518" t="s">
        <v>51</v>
      </c>
      <c r="N518" t="s">
        <v>92</v>
      </c>
      <c r="O518" s="1">
        <v>41335</v>
      </c>
      <c r="P518" t="s">
        <v>84</v>
      </c>
      <c r="Q518">
        <v>4</v>
      </c>
      <c r="R518" t="s">
        <v>27</v>
      </c>
      <c r="S518">
        <v>1</v>
      </c>
      <c r="T518">
        <v>10</v>
      </c>
      <c r="U518">
        <v>10</v>
      </c>
    </row>
    <row r="519" spans="1:21" x14ac:dyDescent="0.25">
      <c r="A519" s="1">
        <v>44044</v>
      </c>
      <c r="B519" s="1">
        <v>44044</v>
      </c>
      <c r="C519" t="s">
        <v>157</v>
      </c>
      <c r="D519" t="s">
        <v>52</v>
      </c>
      <c r="E519" t="s">
        <v>53</v>
      </c>
      <c r="F519" t="s">
        <v>242</v>
      </c>
      <c r="G519" s="53">
        <v>44081.950659722221</v>
      </c>
      <c r="H519">
        <v>33</v>
      </c>
      <c r="I519">
        <v>15128</v>
      </c>
      <c r="J519" t="s">
        <v>50</v>
      </c>
      <c r="K519" t="s">
        <v>50</v>
      </c>
      <c r="L519" t="s">
        <v>159</v>
      </c>
      <c r="M519" t="s">
        <v>51</v>
      </c>
      <c r="N519" t="s">
        <v>92</v>
      </c>
      <c r="O519" s="1">
        <v>41335</v>
      </c>
      <c r="P519" t="s">
        <v>84</v>
      </c>
      <c r="Q519">
        <v>4</v>
      </c>
      <c r="R519" t="s">
        <v>27</v>
      </c>
      <c r="S519">
        <v>0</v>
      </c>
      <c r="T519">
        <v>0</v>
      </c>
      <c r="U519">
        <v>0</v>
      </c>
    </row>
    <row r="520" spans="1:21" x14ac:dyDescent="0.25">
      <c r="A520" s="1">
        <v>44044</v>
      </c>
      <c r="B520" s="1">
        <v>44044</v>
      </c>
      <c r="C520" t="s">
        <v>157</v>
      </c>
      <c r="D520" t="s">
        <v>93</v>
      </c>
      <c r="E520" t="s">
        <v>49</v>
      </c>
      <c r="F520" t="s">
        <v>243</v>
      </c>
      <c r="G520" s="53">
        <v>44119.739837962959</v>
      </c>
      <c r="H520">
        <v>33</v>
      </c>
      <c r="I520" t="s">
        <v>349</v>
      </c>
      <c r="J520" t="s">
        <v>50</v>
      </c>
      <c r="K520" t="s">
        <v>50</v>
      </c>
      <c r="L520" t="s">
        <v>159</v>
      </c>
      <c r="M520" t="s">
        <v>51</v>
      </c>
      <c r="N520" t="s">
        <v>92</v>
      </c>
      <c r="O520" s="1">
        <v>41335</v>
      </c>
      <c r="P520" t="s">
        <v>84</v>
      </c>
      <c r="Q520">
        <v>4</v>
      </c>
      <c r="R520" t="s">
        <v>27</v>
      </c>
      <c r="S520">
        <v>1</v>
      </c>
      <c r="T520">
        <v>835</v>
      </c>
      <c r="U520">
        <v>835</v>
      </c>
    </row>
    <row r="521" spans="1:21" x14ac:dyDescent="0.25">
      <c r="A521" s="1">
        <v>44044</v>
      </c>
      <c r="B521" s="1">
        <v>44044</v>
      </c>
      <c r="C521" t="s">
        <v>157</v>
      </c>
      <c r="D521" t="s">
        <v>54</v>
      </c>
      <c r="E521" t="s">
        <v>21</v>
      </c>
      <c r="F521" t="s">
        <v>238</v>
      </c>
      <c r="G521" s="53">
        <v>44081.950659722221</v>
      </c>
      <c r="H521">
        <v>33</v>
      </c>
      <c r="I521">
        <v>15128</v>
      </c>
      <c r="J521" t="s">
        <v>50</v>
      </c>
      <c r="K521" t="s">
        <v>50</v>
      </c>
      <c r="L521" t="s">
        <v>159</v>
      </c>
      <c r="M521" t="s">
        <v>51</v>
      </c>
      <c r="N521" t="s">
        <v>92</v>
      </c>
      <c r="O521" s="1">
        <v>41335</v>
      </c>
      <c r="P521" t="s">
        <v>84</v>
      </c>
      <c r="Q521">
        <v>4</v>
      </c>
      <c r="R521" t="s">
        <v>27</v>
      </c>
      <c r="S521">
        <v>0</v>
      </c>
      <c r="T521">
        <v>5985.9</v>
      </c>
      <c r="U521">
        <v>0</v>
      </c>
    </row>
    <row r="522" spans="1:21" x14ac:dyDescent="0.25">
      <c r="A522" s="1">
        <v>44044</v>
      </c>
      <c r="B522" s="1">
        <v>44044</v>
      </c>
      <c r="C522" t="s">
        <v>157</v>
      </c>
      <c r="D522" t="s">
        <v>52</v>
      </c>
      <c r="E522" t="s">
        <v>53</v>
      </c>
      <c r="F522" t="s">
        <v>242</v>
      </c>
      <c r="G522" s="53">
        <v>44081.950659722221</v>
      </c>
      <c r="H522">
        <v>33</v>
      </c>
      <c r="I522">
        <v>15128</v>
      </c>
      <c r="J522" t="s">
        <v>50</v>
      </c>
      <c r="K522" t="s">
        <v>50</v>
      </c>
      <c r="L522" t="s">
        <v>159</v>
      </c>
      <c r="M522" t="s">
        <v>51</v>
      </c>
      <c r="N522" t="s">
        <v>92</v>
      </c>
      <c r="O522" s="1">
        <v>41335</v>
      </c>
      <c r="P522" t="s">
        <v>84</v>
      </c>
      <c r="Q522">
        <v>5</v>
      </c>
      <c r="R522" t="s">
        <v>28</v>
      </c>
      <c r="S522">
        <v>0</v>
      </c>
      <c r="T522">
        <v>0</v>
      </c>
      <c r="U522">
        <v>0</v>
      </c>
    </row>
    <row r="523" spans="1:21" x14ac:dyDescent="0.25">
      <c r="A523" s="1">
        <v>44044</v>
      </c>
      <c r="B523" s="1">
        <v>44044</v>
      </c>
      <c r="C523" t="s">
        <v>157</v>
      </c>
      <c r="D523" t="s">
        <v>93</v>
      </c>
      <c r="E523" t="s">
        <v>49</v>
      </c>
      <c r="F523" t="s">
        <v>243</v>
      </c>
      <c r="G523" s="53">
        <v>44119.739837962959</v>
      </c>
      <c r="H523">
        <v>33</v>
      </c>
      <c r="I523" t="s">
        <v>349</v>
      </c>
      <c r="J523" t="s">
        <v>50</v>
      </c>
      <c r="K523" t="s">
        <v>50</v>
      </c>
      <c r="L523" t="s">
        <v>159</v>
      </c>
      <c r="M523" t="s">
        <v>51</v>
      </c>
      <c r="N523" t="s">
        <v>92</v>
      </c>
      <c r="O523" s="1">
        <v>41335</v>
      </c>
      <c r="P523" t="s">
        <v>84</v>
      </c>
      <c r="Q523">
        <v>5</v>
      </c>
      <c r="R523" t="s">
        <v>28</v>
      </c>
      <c r="S523">
        <v>1</v>
      </c>
      <c r="T523">
        <v>4</v>
      </c>
      <c r="U523">
        <v>4</v>
      </c>
    </row>
    <row r="524" spans="1:21" x14ac:dyDescent="0.25">
      <c r="A524" s="1">
        <v>44044</v>
      </c>
      <c r="B524" s="1">
        <v>44044</v>
      </c>
      <c r="C524" t="s">
        <v>157</v>
      </c>
      <c r="D524" t="s">
        <v>48</v>
      </c>
      <c r="E524" t="s">
        <v>49</v>
      </c>
      <c r="F524" t="s">
        <v>239</v>
      </c>
      <c r="G524" s="53">
        <v>44081.950659722221</v>
      </c>
      <c r="H524">
        <v>33</v>
      </c>
      <c r="I524">
        <v>15128</v>
      </c>
      <c r="J524" t="s">
        <v>50</v>
      </c>
      <c r="K524" t="s">
        <v>50</v>
      </c>
      <c r="L524" t="s">
        <v>159</v>
      </c>
      <c r="M524" t="s">
        <v>51</v>
      </c>
      <c r="N524" t="s">
        <v>92</v>
      </c>
      <c r="O524" s="1">
        <v>41335</v>
      </c>
      <c r="P524" t="s">
        <v>84</v>
      </c>
      <c r="Q524">
        <v>5</v>
      </c>
      <c r="R524" t="s">
        <v>28</v>
      </c>
      <c r="S524">
        <v>10.585311000000001</v>
      </c>
      <c r="T524">
        <v>79.302000000000007</v>
      </c>
      <c r="U524">
        <v>839</v>
      </c>
    </row>
    <row r="525" spans="1:21" x14ac:dyDescent="0.25">
      <c r="A525" s="1">
        <v>44044</v>
      </c>
      <c r="B525" s="1">
        <v>44044</v>
      </c>
      <c r="C525" t="s">
        <v>157</v>
      </c>
      <c r="D525" t="s">
        <v>54</v>
      </c>
      <c r="E525" t="s">
        <v>21</v>
      </c>
      <c r="F525" t="s">
        <v>238</v>
      </c>
      <c r="G525" s="53">
        <v>44081.950659722221</v>
      </c>
      <c r="H525">
        <v>33</v>
      </c>
      <c r="I525">
        <v>15128</v>
      </c>
      <c r="J525" t="s">
        <v>50</v>
      </c>
      <c r="K525" t="s">
        <v>50</v>
      </c>
      <c r="L525" t="s">
        <v>159</v>
      </c>
      <c r="M525" t="s">
        <v>51</v>
      </c>
      <c r="N525" t="s">
        <v>92</v>
      </c>
      <c r="O525" s="1">
        <v>41335</v>
      </c>
      <c r="P525" t="s">
        <v>84</v>
      </c>
      <c r="Q525">
        <v>5</v>
      </c>
      <c r="R525" t="s">
        <v>28</v>
      </c>
      <c r="S525">
        <v>0</v>
      </c>
      <c r="T525">
        <v>5747.96</v>
      </c>
      <c r="U525">
        <v>0</v>
      </c>
    </row>
    <row r="526" spans="1:21" x14ac:dyDescent="0.25">
      <c r="A526" s="1">
        <v>44044</v>
      </c>
      <c r="B526" s="1">
        <v>44044</v>
      </c>
      <c r="C526" t="s">
        <v>157</v>
      </c>
      <c r="D526" t="s">
        <v>55</v>
      </c>
      <c r="E526" t="s">
        <v>56</v>
      </c>
      <c r="F526" t="s">
        <v>241</v>
      </c>
      <c r="G526" s="53">
        <v>44081.950659722221</v>
      </c>
      <c r="H526">
        <v>33</v>
      </c>
      <c r="I526">
        <v>15128</v>
      </c>
      <c r="J526" t="s">
        <v>50</v>
      </c>
      <c r="K526" t="s">
        <v>50</v>
      </c>
      <c r="L526" t="s">
        <v>159</v>
      </c>
      <c r="M526" t="s">
        <v>51</v>
      </c>
      <c r="N526" t="s">
        <v>92</v>
      </c>
      <c r="O526" s="1">
        <v>41335</v>
      </c>
      <c r="P526" t="s">
        <v>84</v>
      </c>
      <c r="Q526">
        <v>5</v>
      </c>
      <c r="R526" t="s">
        <v>28</v>
      </c>
      <c r="S526">
        <v>10.585311000000001</v>
      </c>
      <c r="T526">
        <v>1.0669999999999999</v>
      </c>
      <c r="U526">
        <v>11</v>
      </c>
    </row>
    <row r="527" spans="1:21" x14ac:dyDescent="0.25">
      <c r="A527" s="1">
        <v>44075</v>
      </c>
      <c r="B527" s="1">
        <v>44075</v>
      </c>
      <c r="C527" t="s">
        <v>157</v>
      </c>
      <c r="D527" t="s">
        <v>93</v>
      </c>
      <c r="E527" t="s">
        <v>49</v>
      </c>
      <c r="F527" t="s">
        <v>245</v>
      </c>
      <c r="G527" s="53">
        <v>44153.723773148151</v>
      </c>
      <c r="H527">
        <v>61</v>
      </c>
      <c r="I527" t="s">
        <v>349</v>
      </c>
      <c r="J527" t="s">
        <v>50</v>
      </c>
      <c r="K527" t="s">
        <v>50</v>
      </c>
      <c r="L527" t="s">
        <v>159</v>
      </c>
      <c r="M527" t="s">
        <v>51</v>
      </c>
      <c r="N527" t="s">
        <v>92</v>
      </c>
      <c r="O527" s="1">
        <v>41335</v>
      </c>
      <c r="P527" t="s">
        <v>84</v>
      </c>
      <c r="Q527">
        <v>1</v>
      </c>
      <c r="R527" t="s">
        <v>83</v>
      </c>
      <c r="S527">
        <v>1</v>
      </c>
      <c r="T527">
        <v>-323</v>
      </c>
      <c r="U527">
        <v>-323</v>
      </c>
    </row>
    <row r="528" spans="1:21" x14ac:dyDescent="0.25">
      <c r="A528" s="1">
        <v>44075</v>
      </c>
      <c r="B528" s="1">
        <v>44075</v>
      </c>
      <c r="C528" t="s">
        <v>157</v>
      </c>
      <c r="D528" t="s">
        <v>52</v>
      </c>
      <c r="E528" t="s">
        <v>53</v>
      </c>
      <c r="F528" t="s">
        <v>246</v>
      </c>
      <c r="G528" s="53">
        <v>44111.714999999997</v>
      </c>
      <c r="H528">
        <v>33</v>
      </c>
      <c r="I528">
        <v>15552</v>
      </c>
      <c r="J528" t="s">
        <v>50</v>
      </c>
      <c r="K528" t="s">
        <v>50</v>
      </c>
      <c r="L528" t="s">
        <v>159</v>
      </c>
      <c r="M528" t="s">
        <v>51</v>
      </c>
      <c r="N528" t="s">
        <v>92</v>
      </c>
      <c r="O528" s="1">
        <v>41335</v>
      </c>
      <c r="P528" t="s">
        <v>84</v>
      </c>
      <c r="Q528">
        <v>1</v>
      </c>
      <c r="R528" t="s">
        <v>83</v>
      </c>
      <c r="S528">
        <v>0</v>
      </c>
      <c r="T528">
        <v>0</v>
      </c>
      <c r="U528">
        <v>0</v>
      </c>
    </row>
    <row r="529" spans="1:21" x14ac:dyDescent="0.25">
      <c r="A529" s="1">
        <v>44075</v>
      </c>
      <c r="B529" s="1">
        <v>44075</v>
      </c>
      <c r="C529" t="s">
        <v>157</v>
      </c>
      <c r="D529" t="s">
        <v>95</v>
      </c>
      <c r="E529" t="s">
        <v>56</v>
      </c>
      <c r="F529" t="s">
        <v>247</v>
      </c>
      <c r="G529" s="53">
        <v>44153.723773148151</v>
      </c>
      <c r="H529">
        <v>61</v>
      </c>
      <c r="I529" t="s">
        <v>349</v>
      </c>
      <c r="J529" t="s">
        <v>50</v>
      </c>
      <c r="K529" t="s">
        <v>50</v>
      </c>
      <c r="L529" t="s">
        <v>159</v>
      </c>
      <c r="M529" t="s">
        <v>51</v>
      </c>
      <c r="N529" t="s">
        <v>92</v>
      </c>
      <c r="O529" s="1">
        <v>41335</v>
      </c>
      <c r="P529" t="s">
        <v>84</v>
      </c>
      <c r="Q529">
        <v>1</v>
      </c>
      <c r="R529" t="s">
        <v>83</v>
      </c>
      <c r="S529">
        <v>1</v>
      </c>
      <c r="T529">
        <v>-5</v>
      </c>
      <c r="U529">
        <v>-5</v>
      </c>
    </row>
    <row r="530" spans="1:21" x14ac:dyDescent="0.25">
      <c r="A530" s="1">
        <v>44075</v>
      </c>
      <c r="B530" s="1">
        <v>44075</v>
      </c>
      <c r="C530" t="s">
        <v>157</v>
      </c>
      <c r="D530" t="s">
        <v>54</v>
      </c>
      <c r="E530" t="s">
        <v>21</v>
      </c>
      <c r="F530" t="s">
        <v>248</v>
      </c>
      <c r="G530" s="53">
        <v>44111.714999999997</v>
      </c>
      <c r="H530">
        <v>33</v>
      </c>
      <c r="I530">
        <v>15552</v>
      </c>
      <c r="J530" t="s">
        <v>50</v>
      </c>
      <c r="K530" t="s">
        <v>50</v>
      </c>
      <c r="L530" t="s">
        <v>159</v>
      </c>
      <c r="M530" t="s">
        <v>51</v>
      </c>
      <c r="N530" t="s">
        <v>92</v>
      </c>
      <c r="O530" s="1">
        <v>41335</v>
      </c>
      <c r="P530" t="s">
        <v>84</v>
      </c>
      <c r="Q530">
        <v>1</v>
      </c>
      <c r="R530" t="s">
        <v>83</v>
      </c>
      <c r="S530">
        <v>0</v>
      </c>
      <c r="T530">
        <v>6059.26</v>
      </c>
      <c r="U530">
        <v>0</v>
      </c>
    </row>
    <row r="531" spans="1:21" x14ac:dyDescent="0.25">
      <c r="A531" s="1">
        <v>44075</v>
      </c>
      <c r="B531" s="1">
        <v>44075</v>
      </c>
      <c r="C531" t="s">
        <v>157</v>
      </c>
      <c r="D531" t="s">
        <v>48</v>
      </c>
      <c r="E531" t="s">
        <v>49</v>
      </c>
      <c r="F531" t="s">
        <v>249</v>
      </c>
      <c r="G531" s="53">
        <v>44111.714999999997</v>
      </c>
      <c r="H531">
        <v>33</v>
      </c>
      <c r="I531">
        <v>15552</v>
      </c>
      <c r="J531" t="s">
        <v>50</v>
      </c>
      <c r="K531" t="s">
        <v>50</v>
      </c>
      <c r="L531" t="s">
        <v>159</v>
      </c>
      <c r="M531" t="s">
        <v>51</v>
      </c>
      <c r="N531" t="s">
        <v>92</v>
      </c>
      <c r="O531" s="1">
        <v>41335</v>
      </c>
      <c r="P531" t="s">
        <v>84</v>
      </c>
      <c r="Q531">
        <v>1</v>
      </c>
      <c r="R531" t="s">
        <v>83</v>
      </c>
      <c r="S531">
        <v>1931.180057</v>
      </c>
      <c r="T531">
        <v>80.344999999999999</v>
      </c>
      <c r="U531">
        <v>155161</v>
      </c>
    </row>
    <row r="532" spans="1:21" x14ac:dyDescent="0.25">
      <c r="A532" s="1">
        <v>44075</v>
      </c>
      <c r="B532" s="1">
        <v>44075</v>
      </c>
      <c r="C532" t="s">
        <v>157</v>
      </c>
      <c r="D532" t="s">
        <v>55</v>
      </c>
      <c r="E532" t="s">
        <v>56</v>
      </c>
      <c r="F532" t="s">
        <v>250</v>
      </c>
      <c r="G532" s="53">
        <v>44111.714999999997</v>
      </c>
      <c r="H532">
        <v>33</v>
      </c>
      <c r="I532">
        <v>15552</v>
      </c>
      <c r="J532" t="s">
        <v>50</v>
      </c>
      <c r="K532" t="s">
        <v>50</v>
      </c>
      <c r="L532" t="s">
        <v>159</v>
      </c>
      <c r="M532" t="s">
        <v>51</v>
      </c>
      <c r="N532" t="s">
        <v>92</v>
      </c>
      <c r="O532" s="1">
        <v>41335</v>
      </c>
      <c r="P532" t="s">
        <v>84</v>
      </c>
      <c r="Q532">
        <v>1</v>
      </c>
      <c r="R532" t="s">
        <v>83</v>
      </c>
      <c r="S532">
        <v>1931.180057</v>
      </c>
      <c r="T532">
        <v>1.0669999999999999</v>
      </c>
      <c r="U532">
        <v>2061</v>
      </c>
    </row>
    <row r="533" spans="1:21" x14ac:dyDescent="0.25">
      <c r="A533" s="1">
        <v>44075</v>
      </c>
      <c r="B533" s="1">
        <v>44075</v>
      </c>
      <c r="C533" t="s">
        <v>157</v>
      </c>
      <c r="D533" t="s">
        <v>54</v>
      </c>
      <c r="E533" t="s">
        <v>21</v>
      </c>
      <c r="F533" t="s">
        <v>248</v>
      </c>
      <c r="G533" s="53">
        <v>44111.714999999997</v>
      </c>
      <c r="H533">
        <v>33</v>
      </c>
      <c r="I533">
        <v>15552</v>
      </c>
      <c r="J533" t="s">
        <v>50</v>
      </c>
      <c r="K533" t="s">
        <v>50</v>
      </c>
      <c r="L533" t="s">
        <v>159</v>
      </c>
      <c r="M533" t="s">
        <v>51</v>
      </c>
      <c r="N533" t="s">
        <v>92</v>
      </c>
      <c r="O533" s="1">
        <v>41335</v>
      </c>
      <c r="P533" t="s">
        <v>84</v>
      </c>
      <c r="Q533">
        <v>2</v>
      </c>
      <c r="R533" t="s">
        <v>94</v>
      </c>
      <c r="S533">
        <v>0</v>
      </c>
      <c r="T533">
        <v>6135.33</v>
      </c>
      <c r="U533">
        <v>0</v>
      </c>
    </row>
    <row r="534" spans="1:21" x14ac:dyDescent="0.25">
      <c r="A534" s="1">
        <v>44075</v>
      </c>
      <c r="B534" s="1">
        <v>44075</v>
      </c>
      <c r="C534" t="s">
        <v>157</v>
      </c>
      <c r="D534" t="s">
        <v>93</v>
      </c>
      <c r="E534" t="s">
        <v>49</v>
      </c>
      <c r="F534" t="s">
        <v>245</v>
      </c>
      <c r="G534" s="53">
        <v>44153.723773148151</v>
      </c>
      <c r="H534">
        <v>61</v>
      </c>
      <c r="I534" t="s">
        <v>349</v>
      </c>
      <c r="J534" t="s">
        <v>50</v>
      </c>
      <c r="K534" t="s">
        <v>50</v>
      </c>
      <c r="L534" t="s">
        <v>159</v>
      </c>
      <c r="M534" t="s">
        <v>51</v>
      </c>
      <c r="N534" t="s">
        <v>92</v>
      </c>
      <c r="O534" s="1">
        <v>41335</v>
      </c>
      <c r="P534" t="s">
        <v>84</v>
      </c>
      <c r="Q534">
        <v>2</v>
      </c>
      <c r="R534" t="s">
        <v>94</v>
      </c>
      <c r="S534">
        <v>1</v>
      </c>
      <c r="T534">
        <v>-2</v>
      </c>
      <c r="U534">
        <v>-2</v>
      </c>
    </row>
    <row r="535" spans="1:21" x14ac:dyDescent="0.25">
      <c r="A535" s="1">
        <v>44075</v>
      </c>
      <c r="B535" s="1">
        <v>44075</v>
      </c>
      <c r="C535" t="s">
        <v>157</v>
      </c>
      <c r="D535" t="s">
        <v>52</v>
      </c>
      <c r="E535" t="s">
        <v>53</v>
      </c>
      <c r="F535" t="s">
        <v>246</v>
      </c>
      <c r="G535" s="53">
        <v>44111.714999999997</v>
      </c>
      <c r="H535">
        <v>33</v>
      </c>
      <c r="I535">
        <v>15552</v>
      </c>
      <c r="J535" t="s">
        <v>50</v>
      </c>
      <c r="K535" t="s">
        <v>50</v>
      </c>
      <c r="L535" t="s">
        <v>159</v>
      </c>
      <c r="M535" t="s">
        <v>51</v>
      </c>
      <c r="N535" t="s">
        <v>92</v>
      </c>
      <c r="O535" s="1">
        <v>41335</v>
      </c>
      <c r="P535" t="s">
        <v>84</v>
      </c>
      <c r="Q535">
        <v>2</v>
      </c>
      <c r="R535" t="s">
        <v>94</v>
      </c>
      <c r="S535">
        <v>0</v>
      </c>
      <c r="T535">
        <v>0</v>
      </c>
      <c r="U535">
        <v>0</v>
      </c>
    </row>
    <row r="536" spans="1:21" x14ac:dyDescent="0.25">
      <c r="A536" s="1">
        <v>44075</v>
      </c>
      <c r="B536" s="1">
        <v>44075</v>
      </c>
      <c r="C536" t="s">
        <v>157</v>
      </c>
      <c r="D536" t="s">
        <v>48</v>
      </c>
      <c r="E536" t="s">
        <v>49</v>
      </c>
      <c r="F536" t="s">
        <v>249</v>
      </c>
      <c r="G536" s="53">
        <v>44111.714999999997</v>
      </c>
      <c r="H536">
        <v>33</v>
      </c>
      <c r="I536">
        <v>15552</v>
      </c>
      <c r="J536" t="s">
        <v>50</v>
      </c>
      <c r="K536" t="s">
        <v>50</v>
      </c>
      <c r="L536" t="s">
        <v>159</v>
      </c>
      <c r="M536" t="s">
        <v>51</v>
      </c>
      <c r="N536" t="s">
        <v>92</v>
      </c>
      <c r="O536" s="1">
        <v>41335</v>
      </c>
      <c r="P536" t="s">
        <v>84</v>
      </c>
      <c r="Q536">
        <v>2</v>
      </c>
      <c r="R536" t="s">
        <v>94</v>
      </c>
      <c r="S536">
        <v>8.5106800000000007</v>
      </c>
      <c r="T536">
        <v>81.489000000000004</v>
      </c>
      <c r="U536">
        <v>694</v>
      </c>
    </row>
    <row r="537" spans="1:21" x14ac:dyDescent="0.25">
      <c r="A537" s="1">
        <v>44075</v>
      </c>
      <c r="B537" s="1">
        <v>44075</v>
      </c>
      <c r="C537" t="s">
        <v>157</v>
      </c>
      <c r="D537" t="s">
        <v>55</v>
      </c>
      <c r="E537" t="s">
        <v>56</v>
      </c>
      <c r="F537" t="s">
        <v>250</v>
      </c>
      <c r="G537" s="53">
        <v>44111.714999999997</v>
      </c>
      <c r="H537">
        <v>33</v>
      </c>
      <c r="I537">
        <v>15552</v>
      </c>
      <c r="J537" t="s">
        <v>50</v>
      </c>
      <c r="K537" t="s">
        <v>50</v>
      </c>
      <c r="L537" t="s">
        <v>159</v>
      </c>
      <c r="M537" t="s">
        <v>51</v>
      </c>
      <c r="N537" t="s">
        <v>92</v>
      </c>
      <c r="O537" s="1">
        <v>41335</v>
      </c>
      <c r="P537" t="s">
        <v>84</v>
      </c>
      <c r="Q537">
        <v>2</v>
      </c>
      <c r="R537" t="s">
        <v>94</v>
      </c>
      <c r="S537">
        <v>8.5106800000000007</v>
      </c>
      <c r="T537">
        <v>1.0669999999999999</v>
      </c>
      <c r="U537">
        <v>9</v>
      </c>
    </row>
    <row r="538" spans="1:21" x14ac:dyDescent="0.25">
      <c r="A538" s="1">
        <v>44075</v>
      </c>
      <c r="B538" s="1">
        <v>44075</v>
      </c>
      <c r="C538" t="s">
        <v>157</v>
      </c>
      <c r="D538" t="s">
        <v>55</v>
      </c>
      <c r="E538" t="s">
        <v>56</v>
      </c>
      <c r="F538" t="s">
        <v>250</v>
      </c>
      <c r="G538" s="53">
        <v>44111.714999999997</v>
      </c>
      <c r="H538">
        <v>33</v>
      </c>
      <c r="I538">
        <v>15552</v>
      </c>
      <c r="J538" t="s">
        <v>50</v>
      </c>
      <c r="K538" t="s">
        <v>50</v>
      </c>
      <c r="L538" t="s">
        <v>159</v>
      </c>
      <c r="M538" t="s">
        <v>51</v>
      </c>
      <c r="N538" t="s">
        <v>92</v>
      </c>
      <c r="O538" s="1">
        <v>41335</v>
      </c>
      <c r="P538" t="s">
        <v>84</v>
      </c>
      <c r="Q538">
        <v>3</v>
      </c>
      <c r="R538" t="s">
        <v>81</v>
      </c>
      <c r="S538">
        <v>286.88444600000003</v>
      </c>
      <c r="T538">
        <v>1.0669999999999999</v>
      </c>
      <c r="U538">
        <v>306</v>
      </c>
    </row>
    <row r="539" spans="1:21" x14ac:dyDescent="0.25">
      <c r="A539" s="1">
        <v>44075</v>
      </c>
      <c r="B539" s="1">
        <v>44075</v>
      </c>
      <c r="C539" t="s">
        <v>157</v>
      </c>
      <c r="D539" t="s">
        <v>52</v>
      </c>
      <c r="E539" t="s">
        <v>53</v>
      </c>
      <c r="F539" t="s">
        <v>246</v>
      </c>
      <c r="G539" s="53">
        <v>44111.714999999997</v>
      </c>
      <c r="H539">
        <v>33</v>
      </c>
      <c r="I539">
        <v>15552</v>
      </c>
      <c r="J539" t="s">
        <v>50</v>
      </c>
      <c r="K539" t="s">
        <v>50</v>
      </c>
      <c r="L539" t="s">
        <v>159</v>
      </c>
      <c r="M539" t="s">
        <v>51</v>
      </c>
      <c r="N539" t="s">
        <v>92</v>
      </c>
      <c r="O539" s="1">
        <v>41335</v>
      </c>
      <c r="P539" t="s">
        <v>84</v>
      </c>
      <c r="Q539">
        <v>3</v>
      </c>
      <c r="R539" t="s">
        <v>81</v>
      </c>
      <c r="S539">
        <v>0</v>
      </c>
      <c r="T539">
        <v>0</v>
      </c>
      <c r="U539">
        <v>0</v>
      </c>
    </row>
    <row r="540" spans="1:21" x14ac:dyDescent="0.25">
      <c r="A540" s="1">
        <v>44075</v>
      </c>
      <c r="B540" s="1">
        <v>44075</v>
      </c>
      <c r="C540" t="s">
        <v>157</v>
      </c>
      <c r="D540" t="s">
        <v>93</v>
      </c>
      <c r="E540" t="s">
        <v>49</v>
      </c>
      <c r="F540" t="s">
        <v>245</v>
      </c>
      <c r="G540" s="53">
        <v>44153.723773148151</v>
      </c>
      <c r="H540">
        <v>61</v>
      </c>
      <c r="I540" t="s">
        <v>349</v>
      </c>
      <c r="J540" t="s">
        <v>50</v>
      </c>
      <c r="K540" t="s">
        <v>50</v>
      </c>
      <c r="L540" t="s">
        <v>159</v>
      </c>
      <c r="M540" t="s">
        <v>51</v>
      </c>
      <c r="N540" t="s">
        <v>92</v>
      </c>
      <c r="O540" s="1">
        <v>41335</v>
      </c>
      <c r="P540" t="s">
        <v>84</v>
      </c>
      <c r="Q540">
        <v>3</v>
      </c>
      <c r="R540" t="s">
        <v>81</v>
      </c>
      <c r="S540">
        <v>1</v>
      </c>
      <c r="T540">
        <v>-44</v>
      </c>
      <c r="U540">
        <v>-44</v>
      </c>
    </row>
    <row r="541" spans="1:21" x14ac:dyDescent="0.25">
      <c r="A541" s="1">
        <v>44075</v>
      </c>
      <c r="B541" s="1">
        <v>44075</v>
      </c>
      <c r="C541" t="s">
        <v>157</v>
      </c>
      <c r="D541" t="s">
        <v>48</v>
      </c>
      <c r="E541" t="s">
        <v>49</v>
      </c>
      <c r="F541" t="s">
        <v>249</v>
      </c>
      <c r="G541" s="53">
        <v>44111.714999999997</v>
      </c>
      <c r="H541">
        <v>33</v>
      </c>
      <c r="I541">
        <v>15552</v>
      </c>
      <c r="J541" t="s">
        <v>50</v>
      </c>
      <c r="K541" t="s">
        <v>50</v>
      </c>
      <c r="L541" t="s">
        <v>159</v>
      </c>
      <c r="M541" t="s">
        <v>51</v>
      </c>
      <c r="N541" t="s">
        <v>92</v>
      </c>
      <c r="O541" s="1">
        <v>41335</v>
      </c>
      <c r="P541" t="s">
        <v>84</v>
      </c>
      <c r="Q541">
        <v>3</v>
      </c>
      <c r="R541" t="s">
        <v>81</v>
      </c>
      <c r="S541">
        <v>286.86</v>
      </c>
      <c r="T541">
        <v>76.656999999999996</v>
      </c>
      <c r="U541">
        <v>21990</v>
      </c>
    </row>
    <row r="542" spans="1:21" x14ac:dyDescent="0.25">
      <c r="A542" s="1">
        <v>44075</v>
      </c>
      <c r="B542" s="1">
        <v>44075</v>
      </c>
      <c r="C542" t="s">
        <v>157</v>
      </c>
      <c r="D542" t="s">
        <v>54</v>
      </c>
      <c r="E542" t="s">
        <v>21</v>
      </c>
      <c r="F542" t="s">
        <v>248</v>
      </c>
      <c r="G542" s="53">
        <v>44111.714999999997</v>
      </c>
      <c r="H542">
        <v>33</v>
      </c>
      <c r="I542">
        <v>15552</v>
      </c>
      <c r="J542" t="s">
        <v>50</v>
      </c>
      <c r="K542" t="s">
        <v>50</v>
      </c>
      <c r="L542" t="s">
        <v>159</v>
      </c>
      <c r="M542" t="s">
        <v>51</v>
      </c>
      <c r="N542" t="s">
        <v>92</v>
      </c>
      <c r="O542" s="1">
        <v>41335</v>
      </c>
      <c r="P542" t="s">
        <v>84</v>
      </c>
      <c r="Q542">
        <v>3</v>
      </c>
      <c r="R542" t="s">
        <v>81</v>
      </c>
      <c r="S542">
        <v>0</v>
      </c>
      <c r="T542">
        <v>5857.6</v>
      </c>
      <c r="U542">
        <v>0</v>
      </c>
    </row>
    <row r="543" spans="1:21" x14ac:dyDescent="0.25">
      <c r="A543" s="1">
        <v>44075</v>
      </c>
      <c r="B543" s="1">
        <v>44075</v>
      </c>
      <c r="C543" t="s">
        <v>157</v>
      </c>
      <c r="D543" t="s">
        <v>95</v>
      </c>
      <c r="E543" t="s">
        <v>56</v>
      </c>
      <c r="F543" t="s">
        <v>247</v>
      </c>
      <c r="G543" s="53">
        <v>44153.723773148151</v>
      </c>
      <c r="H543">
        <v>61</v>
      </c>
      <c r="I543" t="s">
        <v>349</v>
      </c>
      <c r="J543" t="s">
        <v>50</v>
      </c>
      <c r="K543" t="s">
        <v>50</v>
      </c>
      <c r="L543" t="s">
        <v>159</v>
      </c>
      <c r="M543" t="s">
        <v>51</v>
      </c>
      <c r="N543" t="s">
        <v>92</v>
      </c>
      <c r="O543" s="1">
        <v>41335</v>
      </c>
      <c r="P543" t="s">
        <v>84</v>
      </c>
      <c r="Q543">
        <v>3</v>
      </c>
      <c r="R543" t="s">
        <v>81</v>
      </c>
      <c r="S543">
        <v>1</v>
      </c>
      <c r="T543">
        <v>-1</v>
      </c>
      <c r="U543">
        <v>-1</v>
      </c>
    </row>
    <row r="544" spans="1:21" x14ac:dyDescent="0.25">
      <c r="A544" s="1">
        <v>44075</v>
      </c>
      <c r="B544" s="1">
        <v>44075</v>
      </c>
      <c r="C544" t="s">
        <v>157</v>
      </c>
      <c r="D544" t="s">
        <v>52</v>
      </c>
      <c r="E544" t="s">
        <v>53</v>
      </c>
      <c r="F544" t="s">
        <v>246</v>
      </c>
      <c r="G544" s="53">
        <v>44111.714999999997</v>
      </c>
      <c r="H544">
        <v>33</v>
      </c>
      <c r="I544">
        <v>15552</v>
      </c>
      <c r="J544" t="s">
        <v>50</v>
      </c>
      <c r="K544" t="s">
        <v>50</v>
      </c>
      <c r="L544" t="s">
        <v>159</v>
      </c>
      <c r="M544" t="s">
        <v>51</v>
      </c>
      <c r="N544" t="s">
        <v>92</v>
      </c>
      <c r="O544" s="1">
        <v>41335</v>
      </c>
      <c r="P544" t="s">
        <v>84</v>
      </c>
      <c r="Q544">
        <v>4</v>
      </c>
      <c r="R544" t="s">
        <v>27</v>
      </c>
      <c r="S544">
        <v>0</v>
      </c>
      <c r="T544">
        <v>0</v>
      </c>
      <c r="U544">
        <v>0</v>
      </c>
    </row>
    <row r="545" spans="1:21" x14ac:dyDescent="0.25">
      <c r="A545" s="1">
        <v>44075</v>
      </c>
      <c r="B545" s="1">
        <v>44075</v>
      </c>
      <c r="C545" t="s">
        <v>157</v>
      </c>
      <c r="D545" t="s">
        <v>54</v>
      </c>
      <c r="E545" t="s">
        <v>21</v>
      </c>
      <c r="F545" t="s">
        <v>248</v>
      </c>
      <c r="G545" s="53">
        <v>44111.714999999997</v>
      </c>
      <c r="H545">
        <v>33</v>
      </c>
      <c r="I545">
        <v>15552</v>
      </c>
      <c r="J545" t="s">
        <v>50</v>
      </c>
      <c r="K545" t="s">
        <v>50</v>
      </c>
      <c r="L545" t="s">
        <v>159</v>
      </c>
      <c r="M545" t="s">
        <v>51</v>
      </c>
      <c r="N545" t="s">
        <v>92</v>
      </c>
      <c r="O545" s="1">
        <v>41335</v>
      </c>
      <c r="P545" t="s">
        <v>84</v>
      </c>
      <c r="Q545">
        <v>4</v>
      </c>
      <c r="R545" t="s">
        <v>27</v>
      </c>
      <c r="S545">
        <v>0</v>
      </c>
      <c r="T545">
        <v>5984.39</v>
      </c>
      <c r="U545">
        <v>0</v>
      </c>
    </row>
    <row r="546" spans="1:21" x14ac:dyDescent="0.25">
      <c r="A546" s="1">
        <v>44075</v>
      </c>
      <c r="B546" s="1">
        <v>44075</v>
      </c>
      <c r="C546" t="s">
        <v>157</v>
      </c>
      <c r="D546" t="s">
        <v>95</v>
      </c>
      <c r="E546" t="s">
        <v>56</v>
      </c>
      <c r="F546" t="s">
        <v>247</v>
      </c>
      <c r="G546" s="53">
        <v>44153.723773148151</v>
      </c>
      <c r="H546">
        <v>61</v>
      </c>
      <c r="I546" t="s">
        <v>349</v>
      </c>
      <c r="J546" t="s">
        <v>50</v>
      </c>
      <c r="K546" t="s">
        <v>50</v>
      </c>
      <c r="L546" t="s">
        <v>159</v>
      </c>
      <c r="M546" t="s">
        <v>51</v>
      </c>
      <c r="N546" t="s">
        <v>92</v>
      </c>
      <c r="O546" s="1">
        <v>41335</v>
      </c>
      <c r="P546" t="s">
        <v>84</v>
      </c>
      <c r="Q546">
        <v>4</v>
      </c>
      <c r="R546" t="s">
        <v>27</v>
      </c>
      <c r="S546">
        <v>1</v>
      </c>
      <c r="T546">
        <v>-5</v>
      </c>
      <c r="U546">
        <v>-5</v>
      </c>
    </row>
    <row r="547" spans="1:21" x14ac:dyDescent="0.25">
      <c r="A547" s="1">
        <v>44075</v>
      </c>
      <c r="B547" s="1">
        <v>44075</v>
      </c>
      <c r="C547" t="s">
        <v>157</v>
      </c>
      <c r="D547" t="s">
        <v>55</v>
      </c>
      <c r="E547" t="s">
        <v>56</v>
      </c>
      <c r="F547" t="s">
        <v>250</v>
      </c>
      <c r="G547" s="53">
        <v>44111.714999999997</v>
      </c>
      <c r="H547">
        <v>33</v>
      </c>
      <c r="I547">
        <v>15552</v>
      </c>
      <c r="J547" t="s">
        <v>50</v>
      </c>
      <c r="K547" t="s">
        <v>50</v>
      </c>
      <c r="L547" t="s">
        <v>159</v>
      </c>
      <c r="M547" t="s">
        <v>51</v>
      </c>
      <c r="N547" t="s">
        <v>92</v>
      </c>
      <c r="O547" s="1">
        <v>41335</v>
      </c>
      <c r="P547" t="s">
        <v>84</v>
      </c>
      <c r="Q547">
        <v>4</v>
      </c>
      <c r="R547" t="s">
        <v>27</v>
      </c>
      <c r="S547">
        <v>2447.9884910000001</v>
      </c>
      <c r="T547">
        <v>1.0669999999999999</v>
      </c>
      <c r="U547">
        <v>2612</v>
      </c>
    </row>
    <row r="548" spans="1:21" x14ac:dyDescent="0.25">
      <c r="A548" s="1">
        <v>44075</v>
      </c>
      <c r="B548" s="1">
        <v>44075</v>
      </c>
      <c r="C548" t="s">
        <v>157</v>
      </c>
      <c r="D548" t="s">
        <v>93</v>
      </c>
      <c r="E548" t="s">
        <v>49</v>
      </c>
      <c r="F548" t="s">
        <v>245</v>
      </c>
      <c r="G548" s="53">
        <v>44153.723773148151</v>
      </c>
      <c r="H548">
        <v>61</v>
      </c>
      <c r="I548" t="s">
        <v>349</v>
      </c>
      <c r="J548" t="s">
        <v>50</v>
      </c>
      <c r="K548" t="s">
        <v>50</v>
      </c>
      <c r="L548" t="s">
        <v>159</v>
      </c>
      <c r="M548" t="s">
        <v>51</v>
      </c>
      <c r="N548" t="s">
        <v>92</v>
      </c>
      <c r="O548" s="1">
        <v>41335</v>
      </c>
      <c r="P548" t="s">
        <v>84</v>
      </c>
      <c r="Q548">
        <v>4</v>
      </c>
      <c r="R548" t="s">
        <v>27</v>
      </c>
      <c r="S548">
        <v>1</v>
      </c>
      <c r="T548">
        <v>-390</v>
      </c>
      <c r="U548">
        <v>-390</v>
      </c>
    </row>
    <row r="549" spans="1:21" x14ac:dyDescent="0.25">
      <c r="A549" s="1">
        <v>44075</v>
      </c>
      <c r="B549" s="1">
        <v>44075</v>
      </c>
      <c r="C549" t="s">
        <v>157</v>
      </c>
      <c r="D549" t="s">
        <v>48</v>
      </c>
      <c r="E549" t="s">
        <v>49</v>
      </c>
      <c r="F549" t="s">
        <v>249</v>
      </c>
      <c r="G549" s="53">
        <v>44111.714999999997</v>
      </c>
      <c r="H549">
        <v>33</v>
      </c>
      <c r="I549">
        <v>15552</v>
      </c>
      <c r="J549" t="s">
        <v>50</v>
      </c>
      <c r="K549" t="s">
        <v>50</v>
      </c>
      <c r="L549" t="s">
        <v>159</v>
      </c>
      <c r="M549" t="s">
        <v>51</v>
      </c>
      <c r="N549" t="s">
        <v>92</v>
      </c>
      <c r="O549" s="1">
        <v>41335</v>
      </c>
      <c r="P549" t="s">
        <v>84</v>
      </c>
      <c r="Q549">
        <v>4</v>
      </c>
      <c r="R549" t="s">
        <v>27</v>
      </c>
      <c r="S549">
        <v>2447.9884910000001</v>
      </c>
      <c r="T549">
        <v>76.781000000000006</v>
      </c>
      <c r="U549">
        <v>187959</v>
      </c>
    </row>
    <row r="550" spans="1:21" x14ac:dyDescent="0.25">
      <c r="A550" s="1">
        <v>44075</v>
      </c>
      <c r="B550" s="1">
        <v>44075</v>
      </c>
      <c r="C550" t="s">
        <v>157</v>
      </c>
      <c r="D550" t="s">
        <v>55</v>
      </c>
      <c r="E550" t="s">
        <v>56</v>
      </c>
      <c r="F550" t="s">
        <v>250</v>
      </c>
      <c r="G550" s="53">
        <v>44111.714999999997</v>
      </c>
      <c r="H550">
        <v>33</v>
      </c>
      <c r="I550">
        <v>15552</v>
      </c>
      <c r="J550" t="s">
        <v>50</v>
      </c>
      <c r="K550" t="s">
        <v>50</v>
      </c>
      <c r="L550" t="s">
        <v>159</v>
      </c>
      <c r="M550" t="s">
        <v>51</v>
      </c>
      <c r="N550" t="s">
        <v>92</v>
      </c>
      <c r="O550" s="1">
        <v>41335</v>
      </c>
      <c r="P550" t="s">
        <v>84</v>
      </c>
      <c r="Q550">
        <v>5</v>
      </c>
      <c r="R550" t="s">
        <v>28</v>
      </c>
      <c r="S550">
        <v>10.140453000000001</v>
      </c>
      <c r="T550">
        <v>1.0669999999999999</v>
      </c>
      <c r="U550">
        <v>11</v>
      </c>
    </row>
    <row r="551" spans="1:21" x14ac:dyDescent="0.25">
      <c r="A551" s="1">
        <v>44075</v>
      </c>
      <c r="B551" s="1">
        <v>44075</v>
      </c>
      <c r="C551" t="s">
        <v>157</v>
      </c>
      <c r="D551" t="s">
        <v>54</v>
      </c>
      <c r="E551" t="s">
        <v>21</v>
      </c>
      <c r="F551" t="s">
        <v>248</v>
      </c>
      <c r="G551" s="53">
        <v>44111.714999999997</v>
      </c>
      <c r="H551">
        <v>33</v>
      </c>
      <c r="I551">
        <v>15552</v>
      </c>
      <c r="J551" t="s">
        <v>50</v>
      </c>
      <c r="K551" t="s">
        <v>50</v>
      </c>
      <c r="L551" t="s">
        <v>159</v>
      </c>
      <c r="M551" t="s">
        <v>51</v>
      </c>
      <c r="N551" t="s">
        <v>92</v>
      </c>
      <c r="O551" s="1">
        <v>41335</v>
      </c>
      <c r="P551" t="s">
        <v>84</v>
      </c>
      <c r="Q551">
        <v>5</v>
      </c>
      <c r="R551" t="s">
        <v>28</v>
      </c>
      <c r="S551">
        <v>0</v>
      </c>
      <c r="T551">
        <v>5746.51</v>
      </c>
      <c r="U551">
        <v>0</v>
      </c>
    </row>
    <row r="552" spans="1:21" x14ac:dyDescent="0.25">
      <c r="A552" s="1">
        <v>44075</v>
      </c>
      <c r="B552" s="1">
        <v>44075</v>
      </c>
      <c r="C552" t="s">
        <v>157</v>
      </c>
      <c r="D552" t="s">
        <v>93</v>
      </c>
      <c r="E552" t="s">
        <v>49</v>
      </c>
      <c r="F552" t="s">
        <v>245</v>
      </c>
      <c r="G552" s="53">
        <v>44153.723773148151</v>
      </c>
      <c r="H552">
        <v>61</v>
      </c>
      <c r="I552" t="s">
        <v>349</v>
      </c>
      <c r="J552" t="s">
        <v>50</v>
      </c>
      <c r="K552" t="s">
        <v>50</v>
      </c>
      <c r="L552" t="s">
        <v>159</v>
      </c>
      <c r="M552" t="s">
        <v>51</v>
      </c>
      <c r="N552" t="s">
        <v>92</v>
      </c>
      <c r="O552" s="1">
        <v>41335</v>
      </c>
      <c r="P552" t="s">
        <v>84</v>
      </c>
      <c r="Q552">
        <v>5</v>
      </c>
      <c r="R552" t="s">
        <v>28</v>
      </c>
      <c r="S552">
        <v>1</v>
      </c>
      <c r="T552">
        <v>-2</v>
      </c>
      <c r="U552">
        <v>-2</v>
      </c>
    </row>
    <row r="553" spans="1:21" x14ac:dyDescent="0.25">
      <c r="A553" s="1">
        <v>44075</v>
      </c>
      <c r="B553" s="1">
        <v>44075</v>
      </c>
      <c r="C553" t="s">
        <v>157</v>
      </c>
      <c r="D553" t="s">
        <v>52</v>
      </c>
      <c r="E553" t="s">
        <v>53</v>
      </c>
      <c r="F553" t="s">
        <v>246</v>
      </c>
      <c r="G553" s="53">
        <v>44111.714999999997</v>
      </c>
      <c r="H553">
        <v>33</v>
      </c>
      <c r="I553">
        <v>15552</v>
      </c>
      <c r="J553" t="s">
        <v>50</v>
      </c>
      <c r="K553" t="s">
        <v>50</v>
      </c>
      <c r="L553" t="s">
        <v>159</v>
      </c>
      <c r="M553" t="s">
        <v>51</v>
      </c>
      <c r="N553" t="s">
        <v>92</v>
      </c>
      <c r="O553" s="1">
        <v>41335</v>
      </c>
      <c r="P553" t="s">
        <v>84</v>
      </c>
      <c r="Q553">
        <v>5</v>
      </c>
      <c r="R553" t="s">
        <v>28</v>
      </c>
      <c r="S553">
        <v>0</v>
      </c>
      <c r="T553">
        <v>0</v>
      </c>
      <c r="U553">
        <v>0</v>
      </c>
    </row>
    <row r="554" spans="1:21" x14ac:dyDescent="0.25">
      <c r="A554" s="1">
        <v>44075</v>
      </c>
      <c r="B554" s="1">
        <v>44075</v>
      </c>
      <c r="C554" t="s">
        <v>157</v>
      </c>
      <c r="D554" t="s">
        <v>48</v>
      </c>
      <c r="E554" t="s">
        <v>49</v>
      </c>
      <c r="F554" t="s">
        <v>249</v>
      </c>
      <c r="G554" s="53">
        <v>44111.714999999997</v>
      </c>
      <c r="H554">
        <v>33</v>
      </c>
      <c r="I554">
        <v>15552</v>
      </c>
      <c r="J554" t="s">
        <v>50</v>
      </c>
      <c r="K554" t="s">
        <v>50</v>
      </c>
      <c r="L554" t="s">
        <v>159</v>
      </c>
      <c r="M554" t="s">
        <v>51</v>
      </c>
      <c r="N554" t="s">
        <v>92</v>
      </c>
      <c r="O554" s="1">
        <v>41335</v>
      </c>
      <c r="P554" t="s">
        <v>84</v>
      </c>
      <c r="Q554">
        <v>5</v>
      </c>
      <c r="R554" t="s">
        <v>28</v>
      </c>
      <c r="S554">
        <v>10.140453000000001</v>
      </c>
      <c r="T554">
        <v>79.340999999999994</v>
      </c>
      <c r="U554">
        <v>805</v>
      </c>
    </row>
    <row r="555" spans="1:21" x14ac:dyDescent="0.25">
      <c r="A555" s="1">
        <v>44105</v>
      </c>
      <c r="B555" s="1">
        <v>44105</v>
      </c>
      <c r="C555" t="s">
        <v>157</v>
      </c>
      <c r="D555" t="s">
        <v>54</v>
      </c>
      <c r="E555" t="s">
        <v>21</v>
      </c>
      <c r="F555" t="s">
        <v>251</v>
      </c>
      <c r="G555" s="53">
        <v>44141.821956018517</v>
      </c>
      <c r="H555">
        <v>33</v>
      </c>
      <c r="I555">
        <v>15894</v>
      </c>
      <c r="J555" t="s">
        <v>50</v>
      </c>
      <c r="K555" t="s">
        <v>50</v>
      </c>
      <c r="L555" t="s">
        <v>159</v>
      </c>
      <c r="M555" t="s">
        <v>51</v>
      </c>
      <c r="N555" t="s">
        <v>92</v>
      </c>
      <c r="O555" s="1">
        <v>41335</v>
      </c>
      <c r="P555" t="s">
        <v>84</v>
      </c>
      <c r="Q555">
        <v>1</v>
      </c>
      <c r="R555" t="s">
        <v>83</v>
      </c>
      <c r="S555">
        <v>0</v>
      </c>
      <c r="T555">
        <v>6059.26</v>
      </c>
      <c r="U555">
        <v>0</v>
      </c>
    </row>
    <row r="556" spans="1:21" x14ac:dyDescent="0.25">
      <c r="A556" s="1">
        <v>44105</v>
      </c>
      <c r="B556" s="1">
        <v>44105</v>
      </c>
      <c r="C556" t="s">
        <v>157</v>
      </c>
      <c r="D556" t="s">
        <v>52</v>
      </c>
      <c r="E556" t="s">
        <v>53</v>
      </c>
      <c r="F556" t="s">
        <v>252</v>
      </c>
      <c r="G556" s="53">
        <v>44141.821956018517</v>
      </c>
      <c r="H556">
        <v>33</v>
      </c>
      <c r="I556">
        <v>15894</v>
      </c>
      <c r="J556" t="s">
        <v>50</v>
      </c>
      <c r="K556" t="s">
        <v>50</v>
      </c>
      <c r="L556" t="s">
        <v>159</v>
      </c>
      <c r="M556" t="s">
        <v>51</v>
      </c>
      <c r="N556" t="s">
        <v>92</v>
      </c>
      <c r="O556" s="1">
        <v>41335</v>
      </c>
      <c r="P556" t="s">
        <v>84</v>
      </c>
      <c r="Q556">
        <v>1</v>
      </c>
      <c r="R556" t="s">
        <v>83</v>
      </c>
      <c r="S556">
        <v>0</v>
      </c>
      <c r="T556">
        <v>2.32504</v>
      </c>
      <c r="U556">
        <v>2</v>
      </c>
    </row>
    <row r="557" spans="1:21" x14ac:dyDescent="0.25">
      <c r="A557" s="1">
        <v>44105</v>
      </c>
      <c r="B557" s="1">
        <v>44105</v>
      </c>
      <c r="C557" t="s">
        <v>157</v>
      </c>
      <c r="D557" t="s">
        <v>93</v>
      </c>
      <c r="E557" t="s">
        <v>49</v>
      </c>
      <c r="F557" t="s">
        <v>253</v>
      </c>
      <c r="G557" s="53">
        <v>44221.697384259256</v>
      </c>
      <c r="H557">
        <v>61</v>
      </c>
      <c r="I557" t="s">
        <v>349</v>
      </c>
      <c r="J557" t="s">
        <v>50</v>
      </c>
      <c r="K557" t="s">
        <v>50</v>
      </c>
      <c r="L557" t="s">
        <v>159</v>
      </c>
      <c r="M557" t="s">
        <v>51</v>
      </c>
      <c r="N557" t="s">
        <v>92</v>
      </c>
      <c r="O557" s="1">
        <v>41335</v>
      </c>
      <c r="P557" t="s">
        <v>84</v>
      </c>
      <c r="Q557">
        <v>1</v>
      </c>
      <c r="R557" t="s">
        <v>83</v>
      </c>
      <c r="S557">
        <v>1</v>
      </c>
      <c r="T557">
        <v>-570</v>
      </c>
      <c r="U557">
        <v>-570</v>
      </c>
    </row>
    <row r="558" spans="1:21" x14ac:dyDescent="0.25">
      <c r="A558" s="1">
        <v>44105</v>
      </c>
      <c r="B558" s="1">
        <v>44105</v>
      </c>
      <c r="C558" t="s">
        <v>157</v>
      </c>
      <c r="D558" t="s">
        <v>95</v>
      </c>
      <c r="E558" t="s">
        <v>56</v>
      </c>
      <c r="F558" t="s">
        <v>254</v>
      </c>
      <c r="G558" s="53">
        <v>44221.697384259256</v>
      </c>
      <c r="H558">
        <v>61</v>
      </c>
      <c r="I558" t="s">
        <v>349</v>
      </c>
      <c r="J558" t="s">
        <v>50</v>
      </c>
      <c r="K558" t="s">
        <v>50</v>
      </c>
      <c r="L558" t="s">
        <v>159</v>
      </c>
      <c r="M558" t="s">
        <v>51</v>
      </c>
      <c r="N558" t="s">
        <v>92</v>
      </c>
      <c r="O558" s="1">
        <v>41335</v>
      </c>
      <c r="P558" t="s">
        <v>84</v>
      </c>
      <c r="Q558">
        <v>1</v>
      </c>
      <c r="R558" t="s">
        <v>83</v>
      </c>
      <c r="S558">
        <v>1</v>
      </c>
      <c r="T558">
        <v>-2594</v>
      </c>
      <c r="U558">
        <v>-2594</v>
      </c>
    </row>
    <row r="559" spans="1:21" x14ac:dyDescent="0.25">
      <c r="A559" s="1">
        <v>44105</v>
      </c>
      <c r="B559" s="1">
        <v>44105</v>
      </c>
      <c r="C559" t="s">
        <v>157</v>
      </c>
      <c r="D559" t="s">
        <v>55</v>
      </c>
      <c r="E559" t="s">
        <v>56</v>
      </c>
      <c r="F559" t="s">
        <v>255</v>
      </c>
      <c r="G559" s="53">
        <v>44141.821956018517</v>
      </c>
      <c r="H559">
        <v>33</v>
      </c>
      <c r="I559">
        <v>15894</v>
      </c>
      <c r="J559" t="s">
        <v>50</v>
      </c>
      <c r="K559" t="s">
        <v>50</v>
      </c>
      <c r="L559" t="s">
        <v>159</v>
      </c>
      <c r="M559" t="s">
        <v>51</v>
      </c>
      <c r="N559" t="s">
        <v>92</v>
      </c>
      <c r="O559" s="1">
        <v>41335</v>
      </c>
      <c r="P559" t="s">
        <v>84</v>
      </c>
      <c r="Q559">
        <v>1</v>
      </c>
      <c r="R559" t="s">
        <v>83</v>
      </c>
      <c r="S559">
        <v>2430.743117</v>
      </c>
      <c r="T559">
        <v>1.0669999999999999</v>
      </c>
      <c r="U559">
        <v>2594</v>
      </c>
    </row>
    <row r="560" spans="1:21" x14ac:dyDescent="0.25">
      <c r="A560" s="1">
        <v>44105</v>
      </c>
      <c r="B560" s="1">
        <v>44105</v>
      </c>
      <c r="C560" t="s">
        <v>157</v>
      </c>
      <c r="D560" t="s">
        <v>48</v>
      </c>
      <c r="E560" t="s">
        <v>49</v>
      </c>
      <c r="F560" t="s">
        <v>256</v>
      </c>
      <c r="G560" s="53">
        <v>44141.821956018517</v>
      </c>
      <c r="H560">
        <v>33</v>
      </c>
      <c r="I560">
        <v>15894</v>
      </c>
      <c r="J560" t="s">
        <v>50</v>
      </c>
      <c r="K560" t="s">
        <v>50</v>
      </c>
      <c r="L560" t="s">
        <v>159</v>
      </c>
      <c r="M560" t="s">
        <v>51</v>
      </c>
      <c r="N560" t="s">
        <v>92</v>
      </c>
      <c r="O560" s="1">
        <v>41335</v>
      </c>
      <c r="P560" t="s">
        <v>84</v>
      </c>
      <c r="Q560">
        <v>1</v>
      </c>
      <c r="R560" t="s">
        <v>83</v>
      </c>
      <c r="S560">
        <v>2430.743117</v>
      </c>
      <c r="T560">
        <v>80.344999999999999</v>
      </c>
      <c r="U560">
        <v>195298</v>
      </c>
    </row>
    <row r="561" spans="1:21" x14ac:dyDescent="0.25">
      <c r="A561" s="1">
        <v>44105</v>
      </c>
      <c r="B561" s="1">
        <v>44105</v>
      </c>
      <c r="C561" t="s">
        <v>157</v>
      </c>
      <c r="D561" t="s">
        <v>95</v>
      </c>
      <c r="E561" t="s">
        <v>56</v>
      </c>
      <c r="F561" t="s">
        <v>254</v>
      </c>
      <c r="G561" s="53">
        <v>44221.697384259256</v>
      </c>
      <c r="H561">
        <v>61</v>
      </c>
      <c r="I561" t="s">
        <v>349</v>
      </c>
      <c r="J561" t="s">
        <v>50</v>
      </c>
      <c r="K561" t="s">
        <v>50</v>
      </c>
      <c r="L561" t="s">
        <v>159</v>
      </c>
      <c r="M561" t="s">
        <v>51</v>
      </c>
      <c r="N561" t="s">
        <v>92</v>
      </c>
      <c r="O561" s="1">
        <v>41335</v>
      </c>
      <c r="P561" t="s">
        <v>84</v>
      </c>
      <c r="Q561">
        <v>2</v>
      </c>
      <c r="R561" t="s">
        <v>94</v>
      </c>
      <c r="S561">
        <v>1</v>
      </c>
      <c r="T561">
        <v>-11</v>
      </c>
      <c r="U561">
        <v>-11</v>
      </c>
    </row>
    <row r="562" spans="1:21" x14ac:dyDescent="0.25">
      <c r="A562" s="1">
        <v>44105</v>
      </c>
      <c r="B562" s="1">
        <v>44105</v>
      </c>
      <c r="C562" t="s">
        <v>157</v>
      </c>
      <c r="D562" t="s">
        <v>54</v>
      </c>
      <c r="E562" t="s">
        <v>21</v>
      </c>
      <c r="F562" t="s">
        <v>251</v>
      </c>
      <c r="G562" s="53">
        <v>44141.821956018517</v>
      </c>
      <c r="H562">
        <v>33</v>
      </c>
      <c r="I562">
        <v>15894</v>
      </c>
      <c r="J562" t="s">
        <v>50</v>
      </c>
      <c r="K562" t="s">
        <v>50</v>
      </c>
      <c r="L562" t="s">
        <v>159</v>
      </c>
      <c r="M562" t="s">
        <v>51</v>
      </c>
      <c r="N562" t="s">
        <v>92</v>
      </c>
      <c r="O562" s="1">
        <v>41335</v>
      </c>
      <c r="P562" t="s">
        <v>84</v>
      </c>
      <c r="Q562">
        <v>2</v>
      </c>
      <c r="R562" t="s">
        <v>94</v>
      </c>
      <c r="S562">
        <v>0</v>
      </c>
      <c r="T562">
        <v>6135.33</v>
      </c>
      <c r="U562">
        <v>0</v>
      </c>
    </row>
    <row r="563" spans="1:21" x14ac:dyDescent="0.25">
      <c r="A563" s="1">
        <v>44105</v>
      </c>
      <c r="B563" s="1">
        <v>44105</v>
      </c>
      <c r="C563" t="s">
        <v>157</v>
      </c>
      <c r="D563" t="s">
        <v>93</v>
      </c>
      <c r="E563" t="s">
        <v>49</v>
      </c>
      <c r="F563" t="s">
        <v>253</v>
      </c>
      <c r="G563" s="53">
        <v>44221.697384259256</v>
      </c>
      <c r="H563">
        <v>61</v>
      </c>
      <c r="I563" t="s">
        <v>349</v>
      </c>
      <c r="J563" t="s">
        <v>50</v>
      </c>
      <c r="K563" t="s">
        <v>50</v>
      </c>
      <c r="L563" t="s">
        <v>159</v>
      </c>
      <c r="M563" t="s">
        <v>51</v>
      </c>
      <c r="N563" t="s">
        <v>92</v>
      </c>
      <c r="O563" s="1">
        <v>41335</v>
      </c>
      <c r="P563" t="s">
        <v>84</v>
      </c>
      <c r="Q563">
        <v>2</v>
      </c>
      <c r="R563" t="s">
        <v>94</v>
      </c>
      <c r="S563">
        <v>1</v>
      </c>
      <c r="T563">
        <v>-3</v>
      </c>
      <c r="U563">
        <v>-3</v>
      </c>
    </row>
    <row r="564" spans="1:21" x14ac:dyDescent="0.25">
      <c r="A564" s="1">
        <v>44105</v>
      </c>
      <c r="B564" s="1">
        <v>44105</v>
      </c>
      <c r="C564" t="s">
        <v>157</v>
      </c>
      <c r="D564" t="s">
        <v>52</v>
      </c>
      <c r="E564" t="s">
        <v>53</v>
      </c>
      <c r="F564" t="s">
        <v>252</v>
      </c>
      <c r="G564" s="53">
        <v>44141.821956018517</v>
      </c>
      <c r="H564">
        <v>33</v>
      </c>
      <c r="I564">
        <v>15894</v>
      </c>
      <c r="J564" t="s">
        <v>50</v>
      </c>
      <c r="K564" t="s">
        <v>50</v>
      </c>
      <c r="L564" t="s">
        <v>159</v>
      </c>
      <c r="M564" t="s">
        <v>51</v>
      </c>
      <c r="N564" t="s">
        <v>92</v>
      </c>
      <c r="O564" s="1">
        <v>41335</v>
      </c>
      <c r="P564" t="s">
        <v>84</v>
      </c>
      <c r="Q564">
        <v>2</v>
      </c>
      <c r="R564" t="s">
        <v>94</v>
      </c>
      <c r="S564">
        <v>0</v>
      </c>
      <c r="T564">
        <v>0</v>
      </c>
      <c r="U564">
        <v>0</v>
      </c>
    </row>
    <row r="565" spans="1:21" x14ac:dyDescent="0.25">
      <c r="A565" s="1">
        <v>44105</v>
      </c>
      <c r="B565" s="1">
        <v>44105</v>
      </c>
      <c r="C565" t="s">
        <v>157</v>
      </c>
      <c r="D565" t="s">
        <v>48</v>
      </c>
      <c r="E565" t="s">
        <v>49</v>
      </c>
      <c r="F565" t="s">
        <v>256</v>
      </c>
      <c r="G565" s="53">
        <v>44141.821956018517</v>
      </c>
      <c r="H565">
        <v>33</v>
      </c>
      <c r="I565">
        <v>15894</v>
      </c>
      <c r="J565" t="s">
        <v>50</v>
      </c>
      <c r="K565" t="s">
        <v>50</v>
      </c>
      <c r="L565" t="s">
        <v>159</v>
      </c>
      <c r="M565" t="s">
        <v>51</v>
      </c>
      <c r="N565" t="s">
        <v>92</v>
      </c>
      <c r="O565" s="1">
        <v>41335</v>
      </c>
      <c r="P565" t="s">
        <v>84</v>
      </c>
      <c r="Q565">
        <v>2</v>
      </c>
      <c r="R565" t="s">
        <v>94</v>
      </c>
      <c r="S565">
        <v>10.588209000000001</v>
      </c>
      <c r="T565">
        <v>81.489000000000004</v>
      </c>
      <c r="U565">
        <v>863</v>
      </c>
    </row>
    <row r="566" spans="1:21" x14ac:dyDescent="0.25">
      <c r="A566" s="1">
        <v>44105</v>
      </c>
      <c r="B566" s="1">
        <v>44105</v>
      </c>
      <c r="C566" t="s">
        <v>157</v>
      </c>
      <c r="D566" t="s">
        <v>55</v>
      </c>
      <c r="E566" t="s">
        <v>56</v>
      </c>
      <c r="F566" t="s">
        <v>255</v>
      </c>
      <c r="G566" s="53">
        <v>44141.821956018517</v>
      </c>
      <c r="H566">
        <v>33</v>
      </c>
      <c r="I566">
        <v>15894</v>
      </c>
      <c r="J566" t="s">
        <v>50</v>
      </c>
      <c r="K566" t="s">
        <v>50</v>
      </c>
      <c r="L566" t="s">
        <v>159</v>
      </c>
      <c r="M566" t="s">
        <v>51</v>
      </c>
      <c r="N566" t="s">
        <v>92</v>
      </c>
      <c r="O566" s="1">
        <v>41335</v>
      </c>
      <c r="P566" t="s">
        <v>84</v>
      </c>
      <c r="Q566">
        <v>2</v>
      </c>
      <c r="R566" t="s">
        <v>94</v>
      </c>
      <c r="S566">
        <v>10.588209000000001</v>
      </c>
      <c r="T566">
        <v>1.0669999999999999</v>
      </c>
      <c r="U566">
        <v>11</v>
      </c>
    </row>
    <row r="567" spans="1:21" x14ac:dyDescent="0.25">
      <c r="A567" s="1">
        <v>44105</v>
      </c>
      <c r="B567" s="1">
        <v>44105</v>
      </c>
      <c r="C567" t="s">
        <v>157</v>
      </c>
      <c r="D567" t="s">
        <v>52</v>
      </c>
      <c r="E567" t="s">
        <v>53</v>
      </c>
      <c r="F567" t="s">
        <v>252</v>
      </c>
      <c r="G567" s="53">
        <v>44141.821956018517</v>
      </c>
      <c r="H567">
        <v>33</v>
      </c>
      <c r="I567">
        <v>15894</v>
      </c>
      <c r="J567" t="s">
        <v>50</v>
      </c>
      <c r="K567" t="s">
        <v>50</v>
      </c>
      <c r="L567" t="s">
        <v>159</v>
      </c>
      <c r="M567" t="s">
        <v>51</v>
      </c>
      <c r="N567" t="s">
        <v>92</v>
      </c>
      <c r="O567" s="1">
        <v>41335</v>
      </c>
      <c r="P567" t="s">
        <v>84</v>
      </c>
      <c r="Q567">
        <v>3</v>
      </c>
      <c r="R567" t="s">
        <v>81</v>
      </c>
      <c r="S567">
        <v>0</v>
      </c>
      <c r="T567">
        <v>0</v>
      </c>
      <c r="U567">
        <v>0</v>
      </c>
    </row>
    <row r="568" spans="1:21" x14ac:dyDescent="0.25">
      <c r="A568" s="1">
        <v>44105</v>
      </c>
      <c r="B568" s="1">
        <v>44105</v>
      </c>
      <c r="C568" t="s">
        <v>157</v>
      </c>
      <c r="D568" t="s">
        <v>95</v>
      </c>
      <c r="E568" t="s">
        <v>56</v>
      </c>
      <c r="F568" t="s">
        <v>254</v>
      </c>
      <c r="G568" s="53">
        <v>44221.697384259256</v>
      </c>
      <c r="H568">
        <v>61</v>
      </c>
      <c r="I568" t="s">
        <v>349</v>
      </c>
      <c r="J568" t="s">
        <v>50</v>
      </c>
      <c r="K568" t="s">
        <v>50</v>
      </c>
      <c r="L568" t="s">
        <v>159</v>
      </c>
      <c r="M568" t="s">
        <v>51</v>
      </c>
      <c r="N568" t="s">
        <v>92</v>
      </c>
      <c r="O568" s="1">
        <v>41335</v>
      </c>
      <c r="P568" t="s">
        <v>84</v>
      </c>
      <c r="Q568">
        <v>3</v>
      </c>
      <c r="R568" t="s">
        <v>81</v>
      </c>
      <c r="S568">
        <v>1</v>
      </c>
      <c r="T568">
        <v>-383</v>
      </c>
      <c r="U568">
        <v>-383</v>
      </c>
    </row>
    <row r="569" spans="1:21" x14ac:dyDescent="0.25">
      <c r="A569" s="1">
        <v>44105</v>
      </c>
      <c r="B569" s="1">
        <v>44105</v>
      </c>
      <c r="C569" t="s">
        <v>157</v>
      </c>
      <c r="D569" t="s">
        <v>55</v>
      </c>
      <c r="E569" t="s">
        <v>56</v>
      </c>
      <c r="F569" t="s">
        <v>255</v>
      </c>
      <c r="G569" s="53">
        <v>44141.821956018517</v>
      </c>
      <c r="H569">
        <v>33</v>
      </c>
      <c r="I569">
        <v>15894</v>
      </c>
      <c r="J569" t="s">
        <v>50</v>
      </c>
      <c r="K569" t="s">
        <v>50</v>
      </c>
      <c r="L569" t="s">
        <v>159</v>
      </c>
      <c r="M569" t="s">
        <v>51</v>
      </c>
      <c r="N569" t="s">
        <v>92</v>
      </c>
      <c r="O569" s="1">
        <v>41335</v>
      </c>
      <c r="P569" t="s">
        <v>84</v>
      </c>
      <c r="Q569">
        <v>3</v>
      </c>
      <c r="R569" t="s">
        <v>81</v>
      </c>
      <c r="S569">
        <v>359.39598799999999</v>
      </c>
      <c r="T569">
        <v>1.0669999999999999</v>
      </c>
      <c r="U569">
        <v>383</v>
      </c>
    </row>
    <row r="570" spans="1:21" x14ac:dyDescent="0.25">
      <c r="A570" s="1">
        <v>44105</v>
      </c>
      <c r="B570" s="1">
        <v>44105</v>
      </c>
      <c r="C570" t="s">
        <v>157</v>
      </c>
      <c r="D570" t="s">
        <v>48</v>
      </c>
      <c r="E570" t="s">
        <v>49</v>
      </c>
      <c r="F570" t="s">
        <v>256</v>
      </c>
      <c r="G570" s="53">
        <v>44141.821956018517</v>
      </c>
      <c r="H570">
        <v>33</v>
      </c>
      <c r="I570">
        <v>15894</v>
      </c>
      <c r="J570" t="s">
        <v>50</v>
      </c>
      <c r="K570" t="s">
        <v>50</v>
      </c>
      <c r="L570" t="s">
        <v>159</v>
      </c>
      <c r="M570" t="s">
        <v>51</v>
      </c>
      <c r="N570" t="s">
        <v>92</v>
      </c>
      <c r="O570" s="1">
        <v>41335</v>
      </c>
      <c r="P570" t="s">
        <v>84</v>
      </c>
      <c r="Q570">
        <v>3</v>
      </c>
      <c r="R570" t="s">
        <v>81</v>
      </c>
      <c r="S570">
        <v>359.39598799999999</v>
      </c>
      <c r="T570">
        <v>76.656999999999996</v>
      </c>
      <c r="U570">
        <v>27550</v>
      </c>
    </row>
    <row r="571" spans="1:21" x14ac:dyDescent="0.25">
      <c r="A571" s="1">
        <v>44105</v>
      </c>
      <c r="B571" s="1">
        <v>44105</v>
      </c>
      <c r="C571" t="s">
        <v>157</v>
      </c>
      <c r="D571" t="s">
        <v>93</v>
      </c>
      <c r="E571" t="s">
        <v>49</v>
      </c>
      <c r="F571" t="s">
        <v>253</v>
      </c>
      <c r="G571" s="53">
        <v>44221.697384259256</v>
      </c>
      <c r="H571">
        <v>61</v>
      </c>
      <c r="I571" t="s">
        <v>349</v>
      </c>
      <c r="J571" t="s">
        <v>50</v>
      </c>
      <c r="K571" t="s">
        <v>50</v>
      </c>
      <c r="L571" t="s">
        <v>159</v>
      </c>
      <c r="M571" t="s">
        <v>51</v>
      </c>
      <c r="N571" t="s">
        <v>92</v>
      </c>
      <c r="O571" s="1">
        <v>41335</v>
      </c>
      <c r="P571" t="s">
        <v>84</v>
      </c>
      <c r="Q571">
        <v>3</v>
      </c>
      <c r="R571" t="s">
        <v>81</v>
      </c>
      <c r="S571">
        <v>1</v>
      </c>
      <c r="T571">
        <v>-80</v>
      </c>
      <c r="U571">
        <v>-80</v>
      </c>
    </row>
    <row r="572" spans="1:21" x14ac:dyDescent="0.25">
      <c r="A572" s="1">
        <v>44105</v>
      </c>
      <c r="B572" s="1">
        <v>44105</v>
      </c>
      <c r="C572" t="s">
        <v>157</v>
      </c>
      <c r="D572" t="s">
        <v>54</v>
      </c>
      <c r="E572" t="s">
        <v>21</v>
      </c>
      <c r="F572" t="s">
        <v>251</v>
      </c>
      <c r="G572" s="53">
        <v>44141.821956018517</v>
      </c>
      <c r="H572">
        <v>33</v>
      </c>
      <c r="I572">
        <v>15894</v>
      </c>
      <c r="J572" t="s">
        <v>50</v>
      </c>
      <c r="K572" t="s">
        <v>50</v>
      </c>
      <c r="L572" t="s">
        <v>159</v>
      </c>
      <c r="M572" t="s">
        <v>51</v>
      </c>
      <c r="N572" t="s">
        <v>92</v>
      </c>
      <c r="O572" s="1">
        <v>41335</v>
      </c>
      <c r="P572" t="s">
        <v>84</v>
      </c>
      <c r="Q572">
        <v>3</v>
      </c>
      <c r="R572" t="s">
        <v>81</v>
      </c>
      <c r="S572">
        <v>0</v>
      </c>
      <c r="T572">
        <v>5857.6</v>
      </c>
      <c r="U572">
        <v>0</v>
      </c>
    </row>
    <row r="573" spans="1:21" x14ac:dyDescent="0.25">
      <c r="A573" s="1">
        <v>44105</v>
      </c>
      <c r="B573" s="1">
        <v>44105</v>
      </c>
      <c r="C573" t="s">
        <v>157</v>
      </c>
      <c r="D573" t="s">
        <v>52</v>
      </c>
      <c r="E573" t="s">
        <v>53</v>
      </c>
      <c r="F573" t="s">
        <v>252</v>
      </c>
      <c r="G573" s="53">
        <v>44141.821956018517</v>
      </c>
      <c r="H573">
        <v>33</v>
      </c>
      <c r="I573">
        <v>15894</v>
      </c>
      <c r="J573" t="s">
        <v>50</v>
      </c>
      <c r="K573" t="s">
        <v>50</v>
      </c>
      <c r="L573" t="s">
        <v>159</v>
      </c>
      <c r="M573" t="s">
        <v>51</v>
      </c>
      <c r="N573" t="s">
        <v>92</v>
      </c>
      <c r="O573" s="1">
        <v>41335</v>
      </c>
      <c r="P573" t="s">
        <v>84</v>
      </c>
      <c r="Q573">
        <v>4</v>
      </c>
      <c r="R573" t="s">
        <v>27</v>
      </c>
      <c r="S573">
        <v>0</v>
      </c>
      <c r="T573">
        <v>0</v>
      </c>
      <c r="U573">
        <v>0</v>
      </c>
    </row>
    <row r="574" spans="1:21" x14ac:dyDescent="0.25">
      <c r="A574" s="1">
        <v>44105</v>
      </c>
      <c r="B574" s="1">
        <v>44105</v>
      </c>
      <c r="C574" t="s">
        <v>157</v>
      </c>
      <c r="D574" t="s">
        <v>54</v>
      </c>
      <c r="E574" t="s">
        <v>21</v>
      </c>
      <c r="F574" t="s">
        <v>251</v>
      </c>
      <c r="G574" s="53">
        <v>44141.821956018517</v>
      </c>
      <c r="H574">
        <v>33</v>
      </c>
      <c r="I574">
        <v>15894</v>
      </c>
      <c r="J574" t="s">
        <v>50</v>
      </c>
      <c r="K574" t="s">
        <v>50</v>
      </c>
      <c r="L574" t="s">
        <v>159</v>
      </c>
      <c r="M574" t="s">
        <v>51</v>
      </c>
      <c r="N574" t="s">
        <v>92</v>
      </c>
      <c r="O574" s="1">
        <v>41335</v>
      </c>
      <c r="P574" t="s">
        <v>84</v>
      </c>
      <c r="Q574">
        <v>4</v>
      </c>
      <c r="R574" t="s">
        <v>27</v>
      </c>
      <c r="S574">
        <v>0</v>
      </c>
      <c r="T574">
        <v>5984.39</v>
      </c>
      <c r="U574">
        <v>0</v>
      </c>
    </row>
    <row r="575" spans="1:21" x14ac:dyDescent="0.25">
      <c r="A575" s="1">
        <v>44105</v>
      </c>
      <c r="B575" s="1">
        <v>44105</v>
      </c>
      <c r="C575" t="s">
        <v>157</v>
      </c>
      <c r="D575" t="s">
        <v>48</v>
      </c>
      <c r="E575" t="s">
        <v>49</v>
      </c>
      <c r="F575" t="s">
        <v>256</v>
      </c>
      <c r="G575" s="53">
        <v>44141.821956018517</v>
      </c>
      <c r="H575">
        <v>33</v>
      </c>
      <c r="I575">
        <v>15894</v>
      </c>
      <c r="J575" t="s">
        <v>50</v>
      </c>
      <c r="K575" t="s">
        <v>50</v>
      </c>
      <c r="L575" t="s">
        <v>159</v>
      </c>
      <c r="M575" t="s">
        <v>51</v>
      </c>
      <c r="N575" t="s">
        <v>92</v>
      </c>
      <c r="O575" s="1">
        <v>41335</v>
      </c>
      <c r="P575" t="s">
        <v>84</v>
      </c>
      <c r="Q575">
        <v>4</v>
      </c>
      <c r="R575" t="s">
        <v>27</v>
      </c>
      <c r="S575">
        <v>3072.8331600000001</v>
      </c>
      <c r="T575">
        <v>76.781000000000006</v>
      </c>
      <c r="U575">
        <v>235935</v>
      </c>
    </row>
    <row r="576" spans="1:21" x14ac:dyDescent="0.25">
      <c r="A576" s="1">
        <v>44105</v>
      </c>
      <c r="B576" s="1">
        <v>44105</v>
      </c>
      <c r="C576" t="s">
        <v>157</v>
      </c>
      <c r="D576" t="s">
        <v>95</v>
      </c>
      <c r="E576" t="s">
        <v>56</v>
      </c>
      <c r="F576" t="s">
        <v>254</v>
      </c>
      <c r="G576" s="53">
        <v>44221.697384259256</v>
      </c>
      <c r="H576">
        <v>61</v>
      </c>
      <c r="I576" t="s">
        <v>349</v>
      </c>
      <c r="J576" t="s">
        <v>50</v>
      </c>
      <c r="K576" t="s">
        <v>50</v>
      </c>
      <c r="L576" t="s">
        <v>159</v>
      </c>
      <c r="M576" t="s">
        <v>51</v>
      </c>
      <c r="N576" t="s">
        <v>92</v>
      </c>
      <c r="O576" s="1">
        <v>41335</v>
      </c>
      <c r="P576" t="s">
        <v>84</v>
      </c>
      <c r="Q576">
        <v>4</v>
      </c>
      <c r="R576" t="s">
        <v>27</v>
      </c>
      <c r="S576">
        <v>1</v>
      </c>
      <c r="T576">
        <v>-3279</v>
      </c>
      <c r="U576">
        <v>-3279</v>
      </c>
    </row>
    <row r="577" spans="1:21" x14ac:dyDescent="0.25">
      <c r="A577" s="1">
        <v>44105</v>
      </c>
      <c r="B577" s="1">
        <v>44105</v>
      </c>
      <c r="C577" t="s">
        <v>157</v>
      </c>
      <c r="D577" t="s">
        <v>93</v>
      </c>
      <c r="E577" t="s">
        <v>49</v>
      </c>
      <c r="F577" t="s">
        <v>253</v>
      </c>
      <c r="G577" s="53">
        <v>44221.697384259256</v>
      </c>
      <c r="H577">
        <v>61</v>
      </c>
      <c r="I577" t="s">
        <v>349</v>
      </c>
      <c r="J577" t="s">
        <v>50</v>
      </c>
      <c r="K577" t="s">
        <v>50</v>
      </c>
      <c r="L577" t="s">
        <v>159</v>
      </c>
      <c r="M577" t="s">
        <v>51</v>
      </c>
      <c r="N577" t="s">
        <v>92</v>
      </c>
      <c r="O577" s="1">
        <v>41335</v>
      </c>
      <c r="P577" t="s">
        <v>84</v>
      </c>
      <c r="Q577">
        <v>4</v>
      </c>
      <c r="R577" t="s">
        <v>27</v>
      </c>
      <c r="S577">
        <v>1</v>
      </c>
      <c r="T577">
        <v>-689</v>
      </c>
      <c r="U577">
        <v>-689</v>
      </c>
    </row>
    <row r="578" spans="1:21" x14ac:dyDescent="0.25">
      <c r="A578" s="1">
        <v>44105</v>
      </c>
      <c r="B578" s="1">
        <v>44105</v>
      </c>
      <c r="C578" t="s">
        <v>157</v>
      </c>
      <c r="D578" t="s">
        <v>55</v>
      </c>
      <c r="E578" t="s">
        <v>56</v>
      </c>
      <c r="F578" t="s">
        <v>255</v>
      </c>
      <c r="G578" s="53">
        <v>44141.821956018517</v>
      </c>
      <c r="H578">
        <v>33</v>
      </c>
      <c r="I578">
        <v>15894</v>
      </c>
      <c r="J578" t="s">
        <v>50</v>
      </c>
      <c r="K578" t="s">
        <v>50</v>
      </c>
      <c r="L578" t="s">
        <v>159</v>
      </c>
      <c r="M578" t="s">
        <v>51</v>
      </c>
      <c r="N578" t="s">
        <v>92</v>
      </c>
      <c r="O578" s="1">
        <v>41335</v>
      </c>
      <c r="P578" t="s">
        <v>84</v>
      </c>
      <c r="Q578">
        <v>4</v>
      </c>
      <c r="R578" t="s">
        <v>27</v>
      </c>
      <c r="S578">
        <v>3072.8331600000001</v>
      </c>
      <c r="T578">
        <v>1.0669999999999999</v>
      </c>
      <c r="U578">
        <v>3279</v>
      </c>
    </row>
    <row r="579" spans="1:21" x14ac:dyDescent="0.25">
      <c r="A579" s="1">
        <v>44105</v>
      </c>
      <c r="B579" s="1">
        <v>44105</v>
      </c>
      <c r="C579" t="s">
        <v>157</v>
      </c>
      <c r="D579" t="s">
        <v>54</v>
      </c>
      <c r="E579" t="s">
        <v>21</v>
      </c>
      <c r="F579" t="s">
        <v>251</v>
      </c>
      <c r="G579" s="53">
        <v>44141.821956018517</v>
      </c>
      <c r="H579">
        <v>33</v>
      </c>
      <c r="I579">
        <v>15894</v>
      </c>
      <c r="J579" t="s">
        <v>50</v>
      </c>
      <c r="K579" t="s">
        <v>50</v>
      </c>
      <c r="L579" t="s">
        <v>159</v>
      </c>
      <c r="M579" t="s">
        <v>51</v>
      </c>
      <c r="N579" t="s">
        <v>92</v>
      </c>
      <c r="O579" s="1">
        <v>41335</v>
      </c>
      <c r="P579" t="s">
        <v>84</v>
      </c>
      <c r="Q579">
        <v>5</v>
      </c>
      <c r="R579" t="s">
        <v>28</v>
      </c>
      <c r="S579">
        <v>0</v>
      </c>
      <c r="T579">
        <v>5746.51</v>
      </c>
      <c r="U579">
        <v>0</v>
      </c>
    </row>
    <row r="580" spans="1:21" x14ac:dyDescent="0.25">
      <c r="A580" s="1">
        <v>44105</v>
      </c>
      <c r="B580" s="1">
        <v>44105</v>
      </c>
      <c r="C580" t="s">
        <v>157</v>
      </c>
      <c r="D580" t="s">
        <v>52</v>
      </c>
      <c r="E580" t="s">
        <v>53</v>
      </c>
      <c r="F580" t="s">
        <v>252</v>
      </c>
      <c r="G580" s="53">
        <v>44141.821956018517</v>
      </c>
      <c r="H580">
        <v>33</v>
      </c>
      <c r="I580">
        <v>15894</v>
      </c>
      <c r="J580" t="s">
        <v>50</v>
      </c>
      <c r="K580" t="s">
        <v>50</v>
      </c>
      <c r="L580" t="s">
        <v>159</v>
      </c>
      <c r="M580" t="s">
        <v>51</v>
      </c>
      <c r="N580" t="s">
        <v>92</v>
      </c>
      <c r="O580" s="1">
        <v>41335</v>
      </c>
      <c r="P580" t="s">
        <v>84</v>
      </c>
      <c r="Q580">
        <v>5</v>
      </c>
      <c r="R580" t="s">
        <v>28</v>
      </c>
      <c r="S580">
        <v>0</v>
      </c>
      <c r="T580">
        <v>0</v>
      </c>
      <c r="U580">
        <v>0</v>
      </c>
    </row>
    <row r="581" spans="1:21" x14ac:dyDescent="0.25">
      <c r="A581" s="1">
        <v>44105</v>
      </c>
      <c r="B581" s="1">
        <v>44105</v>
      </c>
      <c r="C581" t="s">
        <v>157</v>
      </c>
      <c r="D581" t="s">
        <v>48</v>
      </c>
      <c r="E581" t="s">
        <v>49</v>
      </c>
      <c r="F581" t="s">
        <v>256</v>
      </c>
      <c r="G581" s="53">
        <v>44141.821956018517</v>
      </c>
      <c r="H581">
        <v>33</v>
      </c>
      <c r="I581">
        <v>15894</v>
      </c>
      <c r="J581" t="s">
        <v>50</v>
      </c>
      <c r="K581" t="s">
        <v>50</v>
      </c>
      <c r="L581" t="s">
        <v>159</v>
      </c>
      <c r="M581" t="s">
        <v>51</v>
      </c>
      <c r="N581" t="s">
        <v>92</v>
      </c>
      <c r="O581" s="1">
        <v>41335</v>
      </c>
      <c r="P581" t="s">
        <v>84</v>
      </c>
      <c r="Q581">
        <v>5</v>
      </c>
      <c r="R581" t="s">
        <v>28</v>
      </c>
      <c r="S581">
        <v>12.686017</v>
      </c>
      <c r="T581">
        <v>79.340999999999994</v>
      </c>
      <c r="U581">
        <v>1007</v>
      </c>
    </row>
    <row r="582" spans="1:21" x14ac:dyDescent="0.25">
      <c r="A582" s="1">
        <v>44105</v>
      </c>
      <c r="B582" s="1">
        <v>44105</v>
      </c>
      <c r="C582" t="s">
        <v>157</v>
      </c>
      <c r="D582" t="s">
        <v>95</v>
      </c>
      <c r="E582" t="s">
        <v>56</v>
      </c>
      <c r="F582" t="s">
        <v>254</v>
      </c>
      <c r="G582" s="53">
        <v>44221.697384259256</v>
      </c>
      <c r="H582">
        <v>61</v>
      </c>
      <c r="I582" t="s">
        <v>349</v>
      </c>
      <c r="J582" t="s">
        <v>50</v>
      </c>
      <c r="K582" t="s">
        <v>50</v>
      </c>
      <c r="L582" t="s">
        <v>159</v>
      </c>
      <c r="M582" t="s">
        <v>51</v>
      </c>
      <c r="N582" t="s">
        <v>92</v>
      </c>
      <c r="O582" s="1">
        <v>41335</v>
      </c>
      <c r="P582" t="s">
        <v>84</v>
      </c>
      <c r="Q582">
        <v>5</v>
      </c>
      <c r="R582" t="s">
        <v>28</v>
      </c>
      <c r="S582">
        <v>1</v>
      </c>
      <c r="T582">
        <v>-14</v>
      </c>
      <c r="U582">
        <v>-14</v>
      </c>
    </row>
    <row r="583" spans="1:21" x14ac:dyDescent="0.25">
      <c r="A583" s="1">
        <v>44105</v>
      </c>
      <c r="B583" s="1">
        <v>44105</v>
      </c>
      <c r="C583" t="s">
        <v>157</v>
      </c>
      <c r="D583" t="s">
        <v>55</v>
      </c>
      <c r="E583" t="s">
        <v>56</v>
      </c>
      <c r="F583" t="s">
        <v>255</v>
      </c>
      <c r="G583" s="53">
        <v>44141.821956018517</v>
      </c>
      <c r="H583">
        <v>33</v>
      </c>
      <c r="I583">
        <v>15894</v>
      </c>
      <c r="J583" t="s">
        <v>50</v>
      </c>
      <c r="K583" t="s">
        <v>50</v>
      </c>
      <c r="L583" t="s">
        <v>159</v>
      </c>
      <c r="M583" t="s">
        <v>51</v>
      </c>
      <c r="N583" t="s">
        <v>92</v>
      </c>
      <c r="O583" s="1">
        <v>41335</v>
      </c>
      <c r="P583" t="s">
        <v>84</v>
      </c>
      <c r="Q583">
        <v>5</v>
      </c>
      <c r="R583" t="s">
        <v>28</v>
      </c>
      <c r="S583">
        <v>12.686017</v>
      </c>
      <c r="T583">
        <v>1.0669999999999999</v>
      </c>
      <c r="U583">
        <v>14</v>
      </c>
    </row>
    <row r="584" spans="1:21" x14ac:dyDescent="0.25">
      <c r="A584" s="1">
        <v>44105</v>
      </c>
      <c r="B584" s="1">
        <v>44105</v>
      </c>
      <c r="C584" t="s">
        <v>157</v>
      </c>
      <c r="D584" t="s">
        <v>93</v>
      </c>
      <c r="E584" t="s">
        <v>49</v>
      </c>
      <c r="F584" t="s">
        <v>253</v>
      </c>
      <c r="G584" s="53">
        <v>44221.697384259256</v>
      </c>
      <c r="H584">
        <v>61</v>
      </c>
      <c r="I584" t="s">
        <v>349</v>
      </c>
      <c r="J584" t="s">
        <v>50</v>
      </c>
      <c r="K584" t="s">
        <v>50</v>
      </c>
      <c r="L584" t="s">
        <v>159</v>
      </c>
      <c r="M584" t="s">
        <v>51</v>
      </c>
      <c r="N584" t="s">
        <v>92</v>
      </c>
      <c r="O584" s="1">
        <v>41335</v>
      </c>
      <c r="P584" t="s">
        <v>84</v>
      </c>
      <c r="Q584">
        <v>5</v>
      </c>
      <c r="R584" t="s">
        <v>28</v>
      </c>
      <c r="S584">
        <v>1</v>
      </c>
      <c r="T584">
        <v>-3</v>
      </c>
      <c r="U584">
        <v>-3</v>
      </c>
    </row>
    <row r="585" spans="1:21" x14ac:dyDescent="0.25">
      <c r="A585" s="1">
        <v>44136</v>
      </c>
      <c r="B585" s="1">
        <v>44136</v>
      </c>
      <c r="C585" t="s">
        <v>157</v>
      </c>
      <c r="D585" t="s">
        <v>55</v>
      </c>
      <c r="E585" t="s">
        <v>56</v>
      </c>
      <c r="F585" t="s">
        <v>257</v>
      </c>
      <c r="G585" s="53">
        <v>44169.666030092594</v>
      </c>
      <c r="H585">
        <v>33</v>
      </c>
      <c r="I585">
        <v>16653</v>
      </c>
      <c r="J585" t="s">
        <v>50</v>
      </c>
      <c r="K585" t="s">
        <v>50</v>
      </c>
      <c r="L585" t="s">
        <v>159</v>
      </c>
      <c r="M585" t="s">
        <v>51</v>
      </c>
      <c r="N585" t="s">
        <v>92</v>
      </c>
      <c r="O585" s="1">
        <v>41335</v>
      </c>
      <c r="P585" t="s">
        <v>84</v>
      </c>
      <c r="Q585">
        <v>1</v>
      </c>
      <c r="R585" t="s">
        <v>83</v>
      </c>
      <c r="S585">
        <v>2836.8555449999999</v>
      </c>
      <c r="T585">
        <v>1.0669999999999999</v>
      </c>
      <c r="U585">
        <v>3027</v>
      </c>
    </row>
    <row r="586" spans="1:21" x14ac:dyDescent="0.25">
      <c r="A586" s="1">
        <v>44136</v>
      </c>
      <c r="B586" s="1">
        <v>44136</v>
      </c>
      <c r="C586" t="s">
        <v>157</v>
      </c>
      <c r="D586" t="s">
        <v>52</v>
      </c>
      <c r="E586" t="s">
        <v>53</v>
      </c>
      <c r="F586" t="s">
        <v>258</v>
      </c>
      <c r="G586" s="53">
        <v>44169.666030092594</v>
      </c>
      <c r="H586">
        <v>33</v>
      </c>
      <c r="I586">
        <v>16653</v>
      </c>
      <c r="J586" t="s">
        <v>50</v>
      </c>
      <c r="K586" t="s">
        <v>50</v>
      </c>
      <c r="L586" t="s">
        <v>159</v>
      </c>
      <c r="M586" t="s">
        <v>51</v>
      </c>
      <c r="N586" t="s">
        <v>92</v>
      </c>
      <c r="O586" s="1">
        <v>41335</v>
      </c>
      <c r="P586" t="s">
        <v>84</v>
      </c>
      <c r="Q586">
        <v>1</v>
      </c>
      <c r="R586" t="s">
        <v>83</v>
      </c>
      <c r="S586">
        <v>0</v>
      </c>
      <c r="T586">
        <v>152.77614</v>
      </c>
      <c r="U586">
        <v>153</v>
      </c>
    </row>
    <row r="587" spans="1:21" x14ac:dyDescent="0.25">
      <c r="A587" s="1">
        <v>44136</v>
      </c>
      <c r="B587" s="1">
        <v>44136</v>
      </c>
      <c r="C587" t="s">
        <v>157</v>
      </c>
      <c r="D587" t="s">
        <v>93</v>
      </c>
      <c r="E587" t="s">
        <v>49</v>
      </c>
      <c r="F587" t="s">
        <v>259</v>
      </c>
      <c r="G587" s="53">
        <v>44215.508055555554</v>
      </c>
      <c r="H587">
        <v>61</v>
      </c>
      <c r="I587" t="s">
        <v>349</v>
      </c>
      <c r="J587" t="s">
        <v>50</v>
      </c>
      <c r="K587" t="s">
        <v>50</v>
      </c>
      <c r="L587" t="s">
        <v>159</v>
      </c>
      <c r="M587" t="s">
        <v>51</v>
      </c>
      <c r="N587" t="s">
        <v>92</v>
      </c>
      <c r="O587" s="1">
        <v>41335</v>
      </c>
      <c r="P587" t="s">
        <v>84</v>
      </c>
      <c r="Q587">
        <v>1</v>
      </c>
      <c r="R587" t="s">
        <v>83</v>
      </c>
      <c r="S587">
        <v>1</v>
      </c>
      <c r="T587">
        <v>-1312</v>
      </c>
      <c r="U587">
        <v>-1312</v>
      </c>
    </row>
    <row r="588" spans="1:21" x14ac:dyDescent="0.25">
      <c r="A588" s="1">
        <v>44136</v>
      </c>
      <c r="B588" s="1">
        <v>44136</v>
      </c>
      <c r="C588" t="s">
        <v>157</v>
      </c>
      <c r="D588" t="s">
        <v>95</v>
      </c>
      <c r="E588" t="s">
        <v>56</v>
      </c>
      <c r="F588" t="s">
        <v>260</v>
      </c>
      <c r="G588" s="53">
        <v>44215.706747685188</v>
      </c>
      <c r="H588">
        <v>61</v>
      </c>
      <c r="I588" t="s">
        <v>349</v>
      </c>
      <c r="J588" t="s">
        <v>50</v>
      </c>
      <c r="K588" t="s">
        <v>50</v>
      </c>
      <c r="L588" t="s">
        <v>159</v>
      </c>
      <c r="M588" t="s">
        <v>51</v>
      </c>
      <c r="N588" t="s">
        <v>92</v>
      </c>
      <c r="O588" s="1">
        <v>41335</v>
      </c>
      <c r="P588" t="s">
        <v>84</v>
      </c>
      <c r="Q588">
        <v>1</v>
      </c>
      <c r="R588" t="s">
        <v>83</v>
      </c>
      <c r="S588">
        <v>1</v>
      </c>
      <c r="T588">
        <v>-3027</v>
      </c>
      <c r="U588">
        <v>-3027</v>
      </c>
    </row>
    <row r="589" spans="1:21" x14ac:dyDescent="0.25">
      <c r="A589" s="1">
        <v>44136</v>
      </c>
      <c r="B589" s="1">
        <v>44136</v>
      </c>
      <c r="C589" t="s">
        <v>157</v>
      </c>
      <c r="D589" t="s">
        <v>54</v>
      </c>
      <c r="E589" t="s">
        <v>21</v>
      </c>
      <c r="F589" t="s">
        <v>261</v>
      </c>
      <c r="G589" s="53">
        <v>44169.666030092594</v>
      </c>
      <c r="H589">
        <v>33</v>
      </c>
      <c r="I589">
        <v>16653</v>
      </c>
      <c r="J589" t="s">
        <v>50</v>
      </c>
      <c r="K589" t="s">
        <v>50</v>
      </c>
      <c r="L589" t="s">
        <v>159</v>
      </c>
      <c r="M589" t="s">
        <v>51</v>
      </c>
      <c r="N589" t="s">
        <v>92</v>
      </c>
      <c r="O589" s="1">
        <v>41335</v>
      </c>
      <c r="P589" t="s">
        <v>84</v>
      </c>
      <c r="Q589">
        <v>1</v>
      </c>
      <c r="R589" t="s">
        <v>83</v>
      </c>
      <c r="S589">
        <v>0</v>
      </c>
      <c r="T589">
        <v>6059.26</v>
      </c>
      <c r="U589">
        <v>0</v>
      </c>
    </row>
    <row r="590" spans="1:21" x14ac:dyDescent="0.25">
      <c r="A590" s="1">
        <v>44136</v>
      </c>
      <c r="B590" s="1">
        <v>44136</v>
      </c>
      <c r="C590" t="s">
        <v>157</v>
      </c>
      <c r="D590" t="s">
        <v>262</v>
      </c>
      <c r="E590" t="s">
        <v>53</v>
      </c>
      <c r="F590" t="s">
        <v>263</v>
      </c>
      <c r="G590" s="53">
        <v>44215.508055555554</v>
      </c>
      <c r="H590">
        <v>61</v>
      </c>
      <c r="I590" t="s">
        <v>349</v>
      </c>
      <c r="J590" t="s">
        <v>50</v>
      </c>
      <c r="K590" t="s">
        <v>50</v>
      </c>
      <c r="L590" t="s">
        <v>159</v>
      </c>
      <c r="M590" t="s">
        <v>51</v>
      </c>
      <c r="N590" t="s">
        <v>92</v>
      </c>
      <c r="O590" s="1">
        <v>41335</v>
      </c>
      <c r="P590" t="s">
        <v>84</v>
      </c>
      <c r="Q590">
        <v>1</v>
      </c>
      <c r="R590" t="s">
        <v>83</v>
      </c>
      <c r="S590">
        <v>1</v>
      </c>
      <c r="T590">
        <v>10</v>
      </c>
      <c r="U590">
        <v>10</v>
      </c>
    </row>
    <row r="591" spans="1:21" x14ac:dyDescent="0.25">
      <c r="A591" s="1">
        <v>44136</v>
      </c>
      <c r="B591" s="1">
        <v>44136</v>
      </c>
      <c r="C591" t="s">
        <v>157</v>
      </c>
      <c r="D591" t="s">
        <v>48</v>
      </c>
      <c r="E591" t="s">
        <v>49</v>
      </c>
      <c r="F591" t="s">
        <v>264</v>
      </c>
      <c r="G591" s="53">
        <v>44169.666030092594</v>
      </c>
      <c r="H591">
        <v>33</v>
      </c>
      <c r="I591">
        <v>16653</v>
      </c>
      <c r="J591" t="s">
        <v>50</v>
      </c>
      <c r="K591" t="s">
        <v>50</v>
      </c>
      <c r="L591" t="s">
        <v>159</v>
      </c>
      <c r="M591" t="s">
        <v>51</v>
      </c>
      <c r="N591" t="s">
        <v>92</v>
      </c>
      <c r="O591" s="1">
        <v>41335</v>
      </c>
      <c r="P591" t="s">
        <v>84</v>
      </c>
      <c r="Q591">
        <v>1</v>
      </c>
      <c r="R591" t="s">
        <v>83</v>
      </c>
      <c r="S591">
        <v>2836.8555449999999</v>
      </c>
      <c r="T591">
        <v>80.344999999999999</v>
      </c>
      <c r="U591">
        <v>227927</v>
      </c>
    </row>
    <row r="592" spans="1:21" x14ac:dyDescent="0.25">
      <c r="A592" s="1">
        <v>44136</v>
      </c>
      <c r="B592" s="1">
        <v>44136</v>
      </c>
      <c r="C592" t="s">
        <v>157</v>
      </c>
      <c r="D592" t="s">
        <v>52</v>
      </c>
      <c r="E592" t="s">
        <v>53</v>
      </c>
      <c r="F592" t="s">
        <v>258</v>
      </c>
      <c r="G592" s="53">
        <v>44169.666030092594</v>
      </c>
      <c r="H592">
        <v>33</v>
      </c>
      <c r="I592">
        <v>16653</v>
      </c>
      <c r="J592" t="s">
        <v>50</v>
      </c>
      <c r="K592" t="s">
        <v>50</v>
      </c>
      <c r="L592" t="s">
        <v>159</v>
      </c>
      <c r="M592" t="s">
        <v>51</v>
      </c>
      <c r="N592" t="s">
        <v>92</v>
      </c>
      <c r="O592" s="1">
        <v>41335</v>
      </c>
      <c r="P592" t="s">
        <v>84</v>
      </c>
      <c r="Q592">
        <v>2</v>
      </c>
      <c r="R592" t="s">
        <v>94</v>
      </c>
      <c r="S592">
        <v>0</v>
      </c>
      <c r="T592">
        <v>0</v>
      </c>
      <c r="U592">
        <v>0</v>
      </c>
    </row>
    <row r="593" spans="1:21" x14ac:dyDescent="0.25">
      <c r="A593" s="1">
        <v>44136</v>
      </c>
      <c r="B593" s="1">
        <v>44136</v>
      </c>
      <c r="C593" t="s">
        <v>157</v>
      </c>
      <c r="D593" t="s">
        <v>95</v>
      </c>
      <c r="E593" t="s">
        <v>56</v>
      </c>
      <c r="F593" t="s">
        <v>260</v>
      </c>
      <c r="G593" s="53">
        <v>44215.706747685188</v>
      </c>
      <c r="H593">
        <v>61</v>
      </c>
      <c r="I593" t="s">
        <v>349</v>
      </c>
      <c r="J593" t="s">
        <v>50</v>
      </c>
      <c r="K593" t="s">
        <v>50</v>
      </c>
      <c r="L593" t="s">
        <v>159</v>
      </c>
      <c r="M593" t="s">
        <v>51</v>
      </c>
      <c r="N593" t="s">
        <v>92</v>
      </c>
      <c r="O593" s="1">
        <v>41335</v>
      </c>
      <c r="P593" t="s">
        <v>84</v>
      </c>
      <c r="Q593">
        <v>2</v>
      </c>
      <c r="R593" t="s">
        <v>94</v>
      </c>
      <c r="S593">
        <v>1</v>
      </c>
      <c r="T593">
        <v>-13</v>
      </c>
      <c r="U593">
        <v>-13</v>
      </c>
    </row>
    <row r="594" spans="1:21" x14ac:dyDescent="0.25">
      <c r="A594" s="1">
        <v>44136</v>
      </c>
      <c r="B594" s="1">
        <v>44136</v>
      </c>
      <c r="C594" t="s">
        <v>157</v>
      </c>
      <c r="D594" t="s">
        <v>54</v>
      </c>
      <c r="E594" t="s">
        <v>21</v>
      </c>
      <c r="F594" t="s">
        <v>261</v>
      </c>
      <c r="G594" s="53">
        <v>44169.666030092594</v>
      </c>
      <c r="H594">
        <v>33</v>
      </c>
      <c r="I594">
        <v>16653</v>
      </c>
      <c r="J594" t="s">
        <v>50</v>
      </c>
      <c r="K594" t="s">
        <v>50</v>
      </c>
      <c r="L594" t="s">
        <v>159</v>
      </c>
      <c r="M594" t="s">
        <v>51</v>
      </c>
      <c r="N594" t="s">
        <v>92</v>
      </c>
      <c r="O594" s="1">
        <v>41335</v>
      </c>
      <c r="P594" t="s">
        <v>84</v>
      </c>
      <c r="Q594">
        <v>2</v>
      </c>
      <c r="R594" t="s">
        <v>94</v>
      </c>
      <c r="S594">
        <v>0</v>
      </c>
      <c r="T594">
        <v>6135.33</v>
      </c>
      <c r="U594">
        <v>0</v>
      </c>
    </row>
    <row r="595" spans="1:21" x14ac:dyDescent="0.25">
      <c r="A595" s="1">
        <v>44136</v>
      </c>
      <c r="B595" s="1">
        <v>44136</v>
      </c>
      <c r="C595" t="s">
        <v>157</v>
      </c>
      <c r="D595" t="s">
        <v>48</v>
      </c>
      <c r="E595" t="s">
        <v>49</v>
      </c>
      <c r="F595" t="s">
        <v>264</v>
      </c>
      <c r="G595" s="53">
        <v>44169.666030092594</v>
      </c>
      <c r="H595">
        <v>33</v>
      </c>
      <c r="I595">
        <v>16653</v>
      </c>
      <c r="J595" t="s">
        <v>50</v>
      </c>
      <c r="K595" t="s">
        <v>50</v>
      </c>
      <c r="L595" t="s">
        <v>159</v>
      </c>
      <c r="M595" t="s">
        <v>51</v>
      </c>
      <c r="N595" t="s">
        <v>92</v>
      </c>
      <c r="O595" s="1">
        <v>41335</v>
      </c>
      <c r="P595" t="s">
        <v>84</v>
      </c>
      <c r="Q595">
        <v>2</v>
      </c>
      <c r="R595" t="s">
        <v>94</v>
      </c>
      <c r="S595">
        <v>11.915349000000001</v>
      </c>
      <c r="T595">
        <v>81.489000000000004</v>
      </c>
      <c r="U595">
        <v>971</v>
      </c>
    </row>
    <row r="596" spans="1:21" x14ac:dyDescent="0.25">
      <c r="A596" s="1">
        <v>44136</v>
      </c>
      <c r="B596" s="1">
        <v>44136</v>
      </c>
      <c r="C596" t="s">
        <v>157</v>
      </c>
      <c r="D596" t="s">
        <v>93</v>
      </c>
      <c r="E596" t="s">
        <v>49</v>
      </c>
      <c r="F596" t="s">
        <v>259</v>
      </c>
      <c r="G596" s="53">
        <v>44215.508055555554</v>
      </c>
      <c r="H596">
        <v>61</v>
      </c>
      <c r="I596" t="s">
        <v>349</v>
      </c>
      <c r="J596" t="s">
        <v>50</v>
      </c>
      <c r="K596" t="s">
        <v>50</v>
      </c>
      <c r="L596" t="s">
        <v>159</v>
      </c>
      <c r="M596" t="s">
        <v>51</v>
      </c>
      <c r="N596" t="s">
        <v>92</v>
      </c>
      <c r="O596" s="1">
        <v>41335</v>
      </c>
      <c r="P596" t="s">
        <v>84</v>
      </c>
      <c r="Q596">
        <v>2</v>
      </c>
      <c r="R596" t="s">
        <v>94</v>
      </c>
      <c r="S596">
        <v>1</v>
      </c>
      <c r="T596">
        <v>-6</v>
      </c>
      <c r="U596">
        <v>-6</v>
      </c>
    </row>
    <row r="597" spans="1:21" x14ac:dyDescent="0.25">
      <c r="A597" s="1">
        <v>44136</v>
      </c>
      <c r="B597" s="1">
        <v>44136</v>
      </c>
      <c r="C597" t="s">
        <v>157</v>
      </c>
      <c r="D597" t="s">
        <v>55</v>
      </c>
      <c r="E597" t="s">
        <v>56</v>
      </c>
      <c r="F597" t="s">
        <v>257</v>
      </c>
      <c r="G597" s="53">
        <v>44169.666030092594</v>
      </c>
      <c r="H597">
        <v>33</v>
      </c>
      <c r="I597">
        <v>16653</v>
      </c>
      <c r="J597" t="s">
        <v>50</v>
      </c>
      <c r="K597" t="s">
        <v>50</v>
      </c>
      <c r="L597" t="s">
        <v>159</v>
      </c>
      <c r="M597" t="s">
        <v>51</v>
      </c>
      <c r="N597" t="s">
        <v>92</v>
      </c>
      <c r="O597" s="1">
        <v>41335</v>
      </c>
      <c r="P597" t="s">
        <v>84</v>
      </c>
      <c r="Q597">
        <v>2</v>
      </c>
      <c r="R597" t="s">
        <v>94</v>
      </c>
      <c r="S597">
        <v>11.915349000000001</v>
      </c>
      <c r="T597">
        <v>1.0669999999999999</v>
      </c>
      <c r="U597">
        <v>13</v>
      </c>
    </row>
    <row r="598" spans="1:21" x14ac:dyDescent="0.25">
      <c r="A598" s="1">
        <v>44136</v>
      </c>
      <c r="B598" s="1">
        <v>44136</v>
      </c>
      <c r="C598" t="s">
        <v>157</v>
      </c>
      <c r="D598" t="s">
        <v>52</v>
      </c>
      <c r="E598" t="s">
        <v>53</v>
      </c>
      <c r="F598" t="s">
        <v>258</v>
      </c>
      <c r="G598" s="53">
        <v>44169.666030092594</v>
      </c>
      <c r="H598">
        <v>33</v>
      </c>
      <c r="I598">
        <v>16653</v>
      </c>
      <c r="J598" t="s">
        <v>50</v>
      </c>
      <c r="K598" t="s">
        <v>50</v>
      </c>
      <c r="L598" t="s">
        <v>159</v>
      </c>
      <c r="M598" t="s">
        <v>51</v>
      </c>
      <c r="N598" t="s">
        <v>92</v>
      </c>
      <c r="O598" s="1">
        <v>41335</v>
      </c>
      <c r="P598" t="s">
        <v>84</v>
      </c>
      <c r="Q598">
        <v>3</v>
      </c>
      <c r="R598" t="s">
        <v>81</v>
      </c>
      <c r="S598">
        <v>0</v>
      </c>
      <c r="T598">
        <v>0</v>
      </c>
      <c r="U598">
        <v>0</v>
      </c>
    </row>
    <row r="599" spans="1:21" x14ac:dyDescent="0.25">
      <c r="A599" s="1">
        <v>44136</v>
      </c>
      <c r="B599" s="1">
        <v>44136</v>
      </c>
      <c r="C599" t="s">
        <v>157</v>
      </c>
      <c r="D599" t="s">
        <v>48</v>
      </c>
      <c r="E599" t="s">
        <v>49</v>
      </c>
      <c r="F599" t="s">
        <v>264</v>
      </c>
      <c r="G599" s="53">
        <v>44169.666030092594</v>
      </c>
      <c r="H599">
        <v>33</v>
      </c>
      <c r="I599">
        <v>16653</v>
      </c>
      <c r="J599" t="s">
        <v>50</v>
      </c>
      <c r="K599" t="s">
        <v>50</v>
      </c>
      <c r="L599" t="s">
        <v>159</v>
      </c>
      <c r="M599" t="s">
        <v>51</v>
      </c>
      <c r="N599" t="s">
        <v>92</v>
      </c>
      <c r="O599" s="1">
        <v>41335</v>
      </c>
      <c r="P599" t="s">
        <v>84</v>
      </c>
      <c r="Q599">
        <v>3</v>
      </c>
      <c r="R599" t="s">
        <v>81</v>
      </c>
      <c r="S599">
        <v>427.739485</v>
      </c>
      <c r="T599">
        <v>76.656999999999996</v>
      </c>
      <c r="U599">
        <v>32789</v>
      </c>
    </row>
    <row r="600" spans="1:21" x14ac:dyDescent="0.25">
      <c r="A600" s="1">
        <v>44136</v>
      </c>
      <c r="B600" s="1">
        <v>44136</v>
      </c>
      <c r="C600" t="s">
        <v>157</v>
      </c>
      <c r="D600" t="s">
        <v>54</v>
      </c>
      <c r="E600" t="s">
        <v>21</v>
      </c>
      <c r="F600" t="s">
        <v>261</v>
      </c>
      <c r="G600" s="53">
        <v>44169.666030092594</v>
      </c>
      <c r="H600">
        <v>33</v>
      </c>
      <c r="I600">
        <v>16653</v>
      </c>
      <c r="J600" t="s">
        <v>50</v>
      </c>
      <c r="K600" t="s">
        <v>50</v>
      </c>
      <c r="L600" t="s">
        <v>159</v>
      </c>
      <c r="M600" t="s">
        <v>51</v>
      </c>
      <c r="N600" t="s">
        <v>92</v>
      </c>
      <c r="O600" s="1">
        <v>41335</v>
      </c>
      <c r="P600" t="s">
        <v>84</v>
      </c>
      <c r="Q600">
        <v>3</v>
      </c>
      <c r="R600" t="s">
        <v>81</v>
      </c>
      <c r="S600">
        <v>0</v>
      </c>
      <c r="T600">
        <v>5857.6</v>
      </c>
      <c r="U600">
        <v>0</v>
      </c>
    </row>
    <row r="601" spans="1:21" x14ac:dyDescent="0.25">
      <c r="A601" s="1">
        <v>44136</v>
      </c>
      <c r="B601" s="1">
        <v>44136</v>
      </c>
      <c r="C601" t="s">
        <v>157</v>
      </c>
      <c r="D601" t="s">
        <v>55</v>
      </c>
      <c r="E601" t="s">
        <v>56</v>
      </c>
      <c r="F601" t="s">
        <v>257</v>
      </c>
      <c r="G601" s="53">
        <v>44169.666030092594</v>
      </c>
      <c r="H601">
        <v>33</v>
      </c>
      <c r="I601">
        <v>16653</v>
      </c>
      <c r="J601" t="s">
        <v>50</v>
      </c>
      <c r="K601" t="s">
        <v>50</v>
      </c>
      <c r="L601" t="s">
        <v>159</v>
      </c>
      <c r="M601" t="s">
        <v>51</v>
      </c>
      <c r="N601" t="s">
        <v>92</v>
      </c>
      <c r="O601" s="1">
        <v>41335</v>
      </c>
      <c r="P601" t="s">
        <v>84</v>
      </c>
      <c r="Q601">
        <v>3</v>
      </c>
      <c r="R601" t="s">
        <v>81</v>
      </c>
      <c r="S601">
        <v>427.739485</v>
      </c>
      <c r="T601">
        <v>1.0669999999999999</v>
      </c>
      <c r="U601">
        <v>456</v>
      </c>
    </row>
    <row r="602" spans="1:21" x14ac:dyDescent="0.25">
      <c r="A602" s="1">
        <v>44136</v>
      </c>
      <c r="B602" s="1">
        <v>44136</v>
      </c>
      <c r="C602" t="s">
        <v>157</v>
      </c>
      <c r="D602" t="s">
        <v>95</v>
      </c>
      <c r="E602" t="s">
        <v>56</v>
      </c>
      <c r="F602" t="s">
        <v>260</v>
      </c>
      <c r="G602" s="53">
        <v>44215.706747685188</v>
      </c>
      <c r="H602">
        <v>61</v>
      </c>
      <c r="I602" t="s">
        <v>349</v>
      </c>
      <c r="J602" t="s">
        <v>50</v>
      </c>
      <c r="K602" t="s">
        <v>50</v>
      </c>
      <c r="L602" t="s">
        <v>159</v>
      </c>
      <c r="M602" t="s">
        <v>51</v>
      </c>
      <c r="N602" t="s">
        <v>92</v>
      </c>
      <c r="O602" s="1">
        <v>41335</v>
      </c>
      <c r="P602" t="s">
        <v>84</v>
      </c>
      <c r="Q602">
        <v>3</v>
      </c>
      <c r="R602" t="s">
        <v>81</v>
      </c>
      <c r="S602">
        <v>1</v>
      </c>
      <c r="T602">
        <v>-456</v>
      </c>
      <c r="U602">
        <v>-456</v>
      </c>
    </row>
    <row r="603" spans="1:21" x14ac:dyDescent="0.25">
      <c r="A603" s="1">
        <v>44136</v>
      </c>
      <c r="B603" s="1">
        <v>44136</v>
      </c>
      <c r="C603" t="s">
        <v>157</v>
      </c>
      <c r="D603" t="s">
        <v>93</v>
      </c>
      <c r="E603" t="s">
        <v>49</v>
      </c>
      <c r="F603" t="s">
        <v>259</v>
      </c>
      <c r="G603" s="53">
        <v>44215.508055555554</v>
      </c>
      <c r="H603">
        <v>61</v>
      </c>
      <c r="I603" t="s">
        <v>349</v>
      </c>
      <c r="J603" t="s">
        <v>50</v>
      </c>
      <c r="K603" t="s">
        <v>50</v>
      </c>
      <c r="L603" t="s">
        <v>159</v>
      </c>
      <c r="M603" t="s">
        <v>51</v>
      </c>
      <c r="N603" t="s">
        <v>92</v>
      </c>
      <c r="O603" s="1">
        <v>41335</v>
      </c>
      <c r="P603" t="s">
        <v>84</v>
      </c>
      <c r="Q603">
        <v>3</v>
      </c>
      <c r="R603" t="s">
        <v>81</v>
      </c>
      <c r="S603">
        <v>1</v>
      </c>
      <c r="T603">
        <v>-189</v>
      </c>
      <c r="U603">
        <v>-189</v>
      </c>
    </row>
    <row r="604" spans="1:21" x14ac:dyDescent="0.25">
      <c r="A604" s="1">
        <v>44136</v>
      </c>
      <c r="B604" s="1">
        <v>44136</v>
      </c>
      <c r="C604" t="s">
        <v>157</v>
      </c>
      <c r="D604" t="s">
        <v>55</v>
      </c>
      <c r="E604" t="s">
        <v>56</v>
      </c>
      <c r="F604" t="s">
        <v>257</v>
      </c>
      <c r="G604" s="53">
        <v>44169.666030092594</v>
      </c>
      <c r="H604">
        <v>33</v>
      </c>
      <c r="I604">
        <v>16653</v>
      </c>
      <c r="J604" t="s">
        <v>50</v>
      </c>
      <c r="K604" t="s">
        <v>50</v>
      </c>
      <c r="L604" t="s">
        <v>159</v>
      </c>
      <c r="M604" t="s">
        <v>51</v>
      </c>
      <c r="N604" t="s">
        <v>92</v>
      </c>
      <c r="O604" s="1">
        <v>41335</v>
      </c>
      <c r="P604" t="s">
        <v>84</v>
      </c>
      <c r="Q604">
        <v>4</v>
      </c>
      <c r="R604" t="s">
        <v>27</v>
      </c>
      <c r="S604">
        <v>3569.1454020000001</v>
      </c>
      <c r="T604">
        <v>1.0669999999999999</v>
      </c>
      <c r="U604">
        <v>3808</v>
      </c>
    </row>
    <row r="605" spans="1:21" x14ac:dyDescent="0.25">
      <c r="A605" s="1">
        <v>44136</v>
      </c>
      <c r="B605" s="1">
        <v>44136</v>
      </c>
      <c r="C605" t="s">
        <v>157</v>
      </c>
      <c r="D605" t="s">
        <v>93</v>
      </c>
      <c r="E605" t="s">
        <v>49</v>
      </c>
      <c r="F605" t="s">
        <v>259</v>
      </c>
      <c r="G605" s="53">
        <v>44215.508055555554</v>
      </c>
      <c r="H605">
        <v>61</v>
      </c>
      <c r="I605" t="s">
        <v>349</v>
      </c>
      <c r="J605" t="s">
        <v>50</v>
      </c>
      <c r="K605" t="s">
        <v>50</v>
      </c>
      <c r="L605" t="s">
        <v>159</v>
      </c>
      <c r="M605" t="s">
        <v>51</v>
      </c>
      <c r="N605" t="s">
        <v>92</v>
      </c>
      <c r="O605" s="1">
        <v>41335</v>
      </c>
      <c r="P605" t="s">
        <v>84</v>
      </c>
      <c r="Q605">
        <v>4</v>
      </c>
      <c r="R605" t="s">
        <v>27</v>
      </c>
      <c r="S605">
        <v>1</v>
      </c>
      <c r="T605">
        <v>-1578</v>
      </c>
      <c r="U605">
        <v>-1578</v>
      </c>
    </row>
    <row r="606" spans="1:21" x14ac:dyDescent="0.25">
      <c r="A606" s="1">
        <v>44136</v>
      </c>
      <c r="B606" s="1">
        <v>44136</v>
      </c>
      <c r="C606" t="s">
        <v>157</v>
      </c>
      <c r="D606" t="s">
        <v>95</v>
      </c>
      <c r="E606" t="s">
        <v>56</v>
      </c>
      <c r="F606" t="s">
        <v>260</v>
      </c>
      <c r="G606" s="53">
        <v>44215.706747685188</v>
      </c>
      <c r="H606">
        <v>61</v>
      </c>
      <c r="I606" t="s">
        <v>349</v>
      </c>
      <c r="J606" t="s">
        <v>50</v>
      </c>
      <c r="K606" t="s">
        <v>50</v>
      </c>
      <c r="L606" t="s">
        <v>159</v>
      </c>
      <c r="M606" t="s">
        <v>51</v>
      </c>
      <c r="N606" t="s">
        <v>92</v>
      </c>
      <c r="O606" s="1">
        <v>41335</v>
      </c>
      <c r="P606" t="s">
        <v>84</v>
      </c>
      <c r="Q606">
        <v>4</v>
      </c>
      <c r="R606" t="s">
        <v>27</v>
      </c>
      <c r="S606">
        <v>1</v>
      </c>
      <c r="T606">
        <v>-3808</v>
      </c>
      <c r="U606">
        <v>-3808</v>
      </c>
    </row>
    <row r="607" spans="1:21" x14ac:dyDescent="0.25">
      <c r="A607" s="1">
        <v>44136</v>
      </c>
      <c r="B607" s="1">
        <v>44136</v>
      </c>
      <c r="C607" t="s">
        <v>157</v>
      </c>
      <c r="D607" t="s">
        <v>48</v>
      </c>
      <c r="E607" t="s">
        <v>49</v>
      </c>
      <c r="F607" t="s">
        <v>264</v>
      </c>
      <c r="G607" s="53">
        <v>44169.666030092594</v>
      </c>
      <c r="H607">
        <v>33</v>
      </c>
      <c r="I607">
        <v>16653</v>
      </c>
      <c r="J607" t="s">
        <v>50</v>
      </c>
      <c r="K607" t="s">
        <v>50</v>
      </c>
      <c r="L607" t="s">
        <v>159</v>
      </c>
      <c r="M607" t="s">
        <v>51</v>
      </c>
      <c r="N607" t="s">
        <v>92</v>
      </c>
      <c r="O607" s="1">
        <v>41335</v>
      </c>
      <c r="P607" t="s">
        <v>84</v>
      </c>
      <c r="Q607">
        <v>4</v>
      </c>
      <c r="R607" t="s">
        <v>27</v>
      </c>
      <c r="S607">
        <v>3569.1454020000001</v>
      </c>
      <c r="T607">
        <v>76.781000000000006</v>
      </c>
      <c r="U607">
        <v>274043</v>
      </c>
    </row>
    <row r="608" spans="1:21" x14ac:dyDescent="0.25">
      <c r="A608" s="1">
        <v>44136</v>
      </c>
      <c r="B608" s="1">
        <v>44136</v>
      </c>
      <c r="C608" t="s">
        <v>157</v>
      </c>
      <c r="D608" t="s">
        <v>52</v>
      </c>
      <c r="E608" t="s">
        <v>53</v>
      </c>
      <c r="F608" t="s">
        <v>258</v>
      </c>
      <c r="G608" s="53">
        <v>44169.666030092594</v>
      </c>
      <c r="H608">
        <v>33</v>
      </c>
      <c r="I608">
        <v>16653</v>
      </c>
      <c r="J608" t="s">
        <v>50</v>
      </c>
      <c r="K608" t="s">
        <v>50</v>
      </c>
      <c r="L608" t="s">
        <v>159</v>
      </c>
      <c r="M608" t="s">
        <v>51</v>
      </c>
      <c r="N608" t="s">
        <v>92</v>
      </c>
      <c r="O608" s="1">
        <v>41335</v>
      </c>
      <c r="P608" t="s">
        <v>84</v>
      </c>
      <c r="Q608">
        <v>4</v>
      </c>
      <c r="R608" t="s">
        <v>27</v>
      </c>
      <c r="S608">
        <v>0</v>
      </c>
      <c r="T608">
        <v>0</v>
      </c>
      <c r="U608">
        <v>0</v>
      </c>
    </row>
    <row r="609" spans="1:21" x14ac:dyDescent="0.25">
      <c r="A609" s="1">
        <v>44136</v>
      </c>
      <c r="B609" s="1">
        <v>44136</v>
      </c>
      <c r="C609" t="s">
        <v>157</v>
      </c>
      <c r="D609" t="s">
        <v>54</v>
      </c>
      <c r="E609" t="s">
        <v>21</v>
      </c>
      <c r="F609" t="s">
        <v>261</v>
      </c>
      <c r="G609" s="53">
        <v>44169.666030092594</v>
      </c>
      <c r="H609">
        <v>33</v>
      </c>
      <c r="I609">
        <v>16653</v>
      </c>
      <c r="J609" t="s">
        <v>50</v>
      </c>
      <c r="K609" t="s">
        <v>50</v>
      </c>
      <c r="L609" t="s">
        <v>159</v>
      </c>
      <c r="M609" t="s">
        <v>51</v>
      </c>
      <c r="N609" t="s">
        <v>92</v>
      </c>
      <c r="O609" s="1">
        <v>41335</v>
      </c>
      <c r="P609" t="s">
        <v>84</v>
      </c>
      <c r="Q609">
        <v>4</v>
      </c>
      <c r="R609" t="s">
        <v>27</v>
      </c>
      <c r="S609">
        <v>0</v>
      </c>
      <c r="T609">
        <v>5984.39</v>
      </c>
      <c r="U609">
        <v>0</v>
      </c>
    </row>
    <row r="610" spans="1:21" x14ac:dyDescent="0.25">
      <c r="A610" s="1">
        <v>44136</v>
      </c>
      <c r="B610" s="1">
        <v>44136</v>
      </c>
      <c r="C610" t="s">
        <v>157</v>
      </c>
      <c r="D610" t="s">
        <v>52</v>
      </c>
      <c r="E610" t="s">
        <v>53</v>
      </c>
      <c r="F610" t="s">
        <v>258</v>
      </c>
      <c r="G610" s="53">
        <v>44169.666030092594</v>
      </c>
      <c r="H610">
        <v>33</v>
      </c>
      <c r="I610">
        <v>16653</v>
      </c>
      <c r="J610" t="s">
        <v>50</v>
      </c>
      <c r="K610" t="s">
        <v>50</v>
      </c>
      <c r="L610" t="s">
        <v>159</v>
      </c>
      <c r="M610" t="s">
        <v>51</v>
      </c>
      <c r="N610" t="s">
        <v>92</v>
      </c>
      <c r="O610" s="1">
        <v>41335</v>
      </c>
      <c r="P610" t="s">
        <v>84</v>
      </c>
      <c r="Q610">
        <v>5</v>
      </c>
      <c r="R610" t="s">
        <v>28</v>
      </c>
      <c r="S610">
        <v>0</v>
      </c>
      <c r="T610">
        <v>0</v>
      </c>
      <c r="U610">
        <v>0</v>
      </c>
    </row>
    <row r="611" spans="1:21" x14ac:dyDescent="0.25">
      <c r="A611" s="1">
        <v>44136</v>
      </c>
      <c r="B611" s="1">
        <v>44136</v>
      </c>
      <c r="C611" t="s">
        <v>157</v>
      </c>
      <c r="D611" t="s">
        <v>54</v>
      </c>
      <c r="E611" t="s">
        <v>21</v>
      </c>
      <c r="F611" t="s">
        <v>261</v>
      </c>
      <c r="G611" s="53">
        <v>44169.666030092594</v>
      </c>
      <c r="H611">
        <v>33</v>
      </c>
      <c r="I611">
        <v>16653</v>
      </c>
      <c r="J611" t="s">
        <v>50</v>
      </c>
      <c r="K611" t="s">
        <v>50</v>
      </c>
      <c r="L611" t="s">
        <v>159</v>
      </c>
      <c r="M611" t="s">
        <v>51</v>
      </c>
      <c r="N611" t="s">
        <v>92</v>
      </c>
      <c r="O611" s="1">
        <v>41335</v>
      </c>
      <c r="P611" t="s">
        <v>84</v>
      </c>
      <c r="Q611">
        <v>5</v>
      </c>
      <c r="R611" t="s">
        <v>28</v>
      </c>
      <c r="S611">
        <v>0</v>
      </c>
      <c r="T611">
        <v>5746.51</v>
      </c>
      <c r="U611">
        <v>0</v>
      </c>
    </row>
    <row r="612" spans="1:21" x14ac:dyDescent="0.25">
      <c r="A612" s="1">
        <v>44136</v>
      </c>
      <c r="B612" s="1">
        <v>44136</v>
      </c>
      <c r="C612" t="s">
        <v>157</v>
      </c>
      <c r="D612" t="s">
        <v>93</v>
      </c>
      <c r="E612" t="s">
        <v>49</v>
      </c>
      <c r="F612" t="s">
        <v>259</v>
      </c>
      <c r="G612" s="53">
        <v>44215.508055555554</v>
      </c>
      <c r="H612">
        <v>61</v>
      </c>
      <c r="I612" t="s">
        <v>349</v>
      </c>
      <c r="J612" t="s">
        <v>50</v>
      </c>
      <c r="K612" t="s">
        <v>50</v>
      </c>
      <c r="L612" t="s">
        <v>159</v>
      </c>
      <c r="M612" t="s">
        <v>51</v>
      </c>
      <c r="N612" t="s">
        <v>92</v>
      </c>
      <c r="O612" s="1">
        <v>41335</v>
      </c>
      <c r="P612" t="s">
        <v>84</v>
      </c>
      <c r="Q612">
        <v>5</v>
      </c>
      <c r="R612" t="s">
        <v>28</v>
      </c>
      <c r="S612">
        <v>1</v>
      </c>
      <c r="T612">
        <v>-7</v>
      </c>
      <c r="U612">
        <v>-7</v>
      </c>
    </row>
    <row r="613" spans="1:21" x14ac:dyDescent="0.25">
      <c r="A613" s="1">
        <v>44136</v>
      </c>
      <c r="B613" s="1">
        <v>44136</v>
      </c>
      <c r="C613" t="s">
        <v>157</v>
      </c>
      <c r="D613" t="s">
        <v>55</v>
      </c>
      <c r="E613" t="s">
        <v>56</v>
      </c>
      <c r="F613" t="s">
        <v>257</v>
      </c>
      <c r="G613" s="53">
        <v>44169.666030092594</v>
      </c>
      <c r="H613">
        <v>33</v>
      </c>
      <c r="I613">
        <v>16653</v>
      </c>
      <c r="J613" t="s">
        <v>50</v>
      </c>
      <c r="K613" t="s">
        <v>50</v>
      </c>
      <c r="L613" t="s">
        <v>159</v>
      </c>
      <c r="M613" t="s">
        <v>51</v>
      </c>
      <c r="N613" t="s">
        <v>92</v>
      </c>
      <c r="O613" s="1">
        <v>41335</v>
      </c>
      <c r="P613" t="s">
        <v>84</v>
      </c>
      <c r="Q613">
        <v>5</v>
      </c>
      <c r="R613" t="s">
        <v>28</v>
      </c>
      <c r="S613">
        <v>14.665755000000001</v>
      </c>
      <c r="T613">
        <v>1.0669999999999999</v>
      </c>
      <c r="U613">
        <v>16</v>
      </c>
    </row>
    <row r="614" spans="1:21" x14ac:dyDescent="0.25">
      <c r="A614" s="1">
        <v>44136</v>
      </c>
      <c r="B614" s="1">
        <v>44136</v>
      </c>
      <c r="C614" t="s">
        <v>157</v>
      </c>
      <c r="D614" t="s">
        <v>95</v>
      </c>
      <c r="E614" t="s">
        <v>56</v>
      </c>
      <c r="F614" t="s">
        <v>260</v>
      </c>
      <c r="G614" s="53">
        <v>44215.706747685188</v>
      </c>
      <c r="H614">
        <v>61</v>
      </c>
      <c r="I614" t="s">
        <v>349</v>
      </c>
      <c r="J614" t="s">
        <v>50</v>
      </c>
      <c r="K614" t="s">
        <v>50</v>
      </c>
      <c r="L614" t="s">
        <v>159</v>
      </c>
      <c r="M614" t="s">
        <v>51</v>
      </c>
      <c r="N614" t="s">
        <v>92</v>
      </c>
      <c r="O614" s="1">
        <v>41335</v>
      </c>
      <c r="P614" t="s">
        <v>84</v>
      </c>
      <c r="Q614">
        <v>5</v>
      </c>
      <c r="R614" t="s">
        <v>28</v>
      </c>
      <c r="S614">
        <v>1</v>
      </c>
      <c r="T614">
        <v>-16</v>
      </c>
      <c r="U614">
        <v>-16</v>
      </c>
    </row>
    <row r="615" spans="1:21" x14ac:dyDescent="0.25">
      <c r="A615" s="1">
        <v>44136</v>
      </c>
      <c r="B615" s="1">
        <v>44136</v>
      </c>
      <c r="C615" t="s">
        <v>157</v>
      </c>
      <c r="D615" t="s">
        <v>48</v>
      </c>
      <c r="E615" t="s">
        <v>49</v>
      </c>
      <c r="F615" t="s">
        <v>264</v>
      </c>
      <c r="G615" s="53">
        <v>44169.666030092594</v>
      </c>
      <c r="H615">
        <v>33</v>
      </c>
      <c r="I615">
        <v>16653</v>
      </c>
      <c r="J615" t="s">
        <v>50</v>
      </c>
      <c r="K615" t="s">
        <v>50</v>
      </c>
      <c r="L615" t="s">
        <v>159</v>
      </c>
      <c r="M615" t="s">
        <v>51</v>
      </c>
      <c r="N615" t="s">
        <v>92</v>
      </c>
      <c r="O615" s="1">
        <v>41335</v>
      </c>
      <c r="P615" t="s">
        <v>84</v>
      </c>
      <c r="Q615">
        <v>5</v>
      </c>
      <c r="R615" t="s">
        <v>28</v>
      </c>
      <c r="S615">
        <v>14.665755000000001</v>
      </c>
      <c r="T615">
        <v>79.340999999999994</v>
      </c>
      <c r="U615">
        <v>1164</v>
      </c>
    </row>
    <row r="616" spans="1:21" x14ac:dyDescent="0.25">
      <c r="A616" s="1">
        <v>44166</v>
      </c>
      <c r="B616" s="1">
        <v>44166</v>
      </c>
      <c r="C616" t="s">
        <v>157</v>
      </c>
      <c r="D616" t="s">
        <v>54</v>
      </c>
      <c r="E616" t="s">
        <v>21</v>
      </c>
      <c r="F616" t="s">
        <v>265</v>
      </c>
      <c r="G616" s="53">
        <v>44203.692604166667</v>
      </c>
      <c r="H616">
        <v>33</v>
      </c>
      <c r="I616">
        <v>16938</v>
      </c>
      <c r="J616" t="s">
        <v>50</v>
      </c>
      <c r="K616" t="s">
        <v>50</v>
      </c>
      <c r="L616" t="s">
        <v>159</v>
      </c>
      <c r="M616" t="s">
        <v>51</v>
      </c>
      <c r="N616" t="s">
        <v>92</v>
      </c>
      <c r="O616" s="1">
        <v>41335</v>
      </c>
      <c r="P616" t="s">
        <v>84</v>
      </c>
      <c r="Q616">
        <v>1</v>
      </c>
      <c r="R616" t="s">
        <v>83</v>
      </c>
      <c r="S616">
        <v>0</v>
      </c>
      <c r="T616">
        <v>6059.26</v>
      </c>
      <c r="U616">
        <v>0</v>
      </c>
    </row>
    <row r="617" spans="1:21" x14ac:dyDescent="0.25">
      <c r="A617" s="1">
        <v>44166</v>
      </c>
      <c r="B617" s="1">
        <v>44166</v>
      </c>
      <c r="C617" t="s">
        <v>157</v>
      </c>
      <c r="D617" t="s">
        <v>52</v>
      </c>
      <c r="E617" t="s">
        <v>53</v>
      </c>
      <c r="F617" t="s">
        <v>266</v>
      </c>
      <c r="G617" s="53">
        <v>44203.692604166667</v>
      </c>
      <c r="H617">
        <v>33</v>
      </c>
      <c r="I617">
        <v>16938</v>
      </c>
      <c r="J617" t="s">
        <v>50</v>
      </c>
      <c r="K617" t="s">
        <v>50</v>
      </c>
      <c r="L617" t="s">
        <v>159</v>
      </c>
      <c r="M617" t="s">
        <v>51</v>
      </c>
      <c r="N617" t="s">
        <v>92</v>
      </c>
      <c r="O617" s="1">
        <v>41335</v>
      </c>
      <c r="P617" t="s">
        <v>84</v>
      </c>
      <c r="Q617">
        <v>1</v>
      </c>
      <c r="R617" t="s">
        <v>83</v>
      </c>
      <c r="S617">
        <v>0</v>
      </c>
      <c r="T617">
        <v>1725.83041</v>
      </c>
      <c r="U617">
        <v>1726</v>
      </c>
    </row>
    <row r="618" spans="1:21" x14ac:dyDescent="0.25">
      <c r="A618" s="1">
        <v>44166</v>
      </c>
      <c r="B618" s="1">
        <v>44166</v>
      </c>
      <c r="C618" t="s">
        <v>157</v>
      </c>
      <c r="D618" t="s">
        <v>48</v>
      </c>
      <c r="E618" t="s">
        <v>49</v>
      </c>
      <c r="F618" t="s">
        <v>267</v>
      </c>
      <c r="G618" s="53">
        <v>44203.692604166667</v>
      </c>
      <c r="H618">
        <v>33</v>
      </c>
      <c r="I618">
        <v>16938</v>
      </c>
      <c r="J618" t="s">
        <v>50</v>
      </c>
      <c r="K618" t="s">
        <v>50</v>
      </c>
      <c r="L618" t="s">
        <v>159</v>
      </c>
      <c r="M618" t="s">
        <v>51</v>
      </c>
      <c r="N618" t="s">
        <v>92</v>
      </c>
      <c r="O618" s="1">
        <v>41335</v>
      </c>
      <c r="P618" t="s">
        <v>84</v>
      </c>
      <c r="Q618">
        <v>1</v>
      </c>
      <c r="R618" t="s">
        <v>83</v>
      </c>
      <c r="S618">
        <v>3655.0122390000001</v>
      </c>
      <c r="T618">
        <v>80.344999999999999</v>
      </c>
      <c r="U618">
        <v>293662</v>
      </c>
    </row>
    <row r="619" spans="1:21" x14ac:dyDescent="0.25">
      <c r="A619" s="1">
        <v>44166</v>
      </c>
      <c r="B619" s="1">
        <v>44166</v>
      </c>
      <c r="C619" t="s">
        <v>157</v>
      </c>
      <c r="D619" t="s">
        <v>93</v>
      </c>
      <c r="E619" t="s">
        <v>49</v>
      </c>
      <c r="F619" t="s">
        <v>268</v>
      </c>
      <c r="G619" s="53">
        <v>44251.474293981482</v>
      </c>
      <c r="H619">
        <v>33</v>
      </c>
      <c r="I619" t="s">
        <v>349</v>
      </c>
      <c r="J619" t="s">
        <v>50</v>
      </c>
      <c r="K619" t="s">
        <v>50</v>
      </c>
      <c r="L619" t="s">
        <v>159</v>
      </c>
      <c r="M619" t="s">
        <v>51</v>
      </c>
      <c r="N619" t="s">
        <v>92</v>
      </c>
      <c r="O619" s="1">
        <v>41335</v>
      </c>
      <c r="P619" t="s">
        <v>84</v>
      </c>
      <c r="Q619">
        <v>1</v>
      </c>
      <c r="R619" t="s">
        <v>83</v>
      </c>
      <c r="S619">
        <v>1</v>
      </c>
      <c r="T619">
        <v>882</v>
      </c>
      <c r="U619">
        <v>882</v>
      </c>
    </row>
    <row r="620" spans="1:21" x14ac:dyDescent="0.25">
      <c r="A620" s="1">
        <v>44166</v>
      </c>
      <c r="B620" s="1">
        <v>44166</v>
      </c>
      <c r="C620" t="s">
        <v>157</v>
      </c>
      <c r="D620" t="s">
        <v>55</v>
      </c>
      <c r="E620" t="s">
        <v>56</v>
      </c>
      <c r="F620" t="s">
        <v>269</v>
      </c>
      <c r="G620" s="53">
        <v>44203.692604166667</v>
      </c>
      <c r="H620">
        <v>33</v>
      </c>
      <c r="I620">
        <v>16938</v>
      </c>
      <c r="J620" t="s">
        <v>50</v>
      </c>
      <c r="K620" t="s">
        <v>50</v>
      </c>
      <c r="L620" t="s">
        <v>159</v>
      </c>
      <c r="M620" t="s">
        <v>51</v>
      </c>
      <c r="N620" t="s">
        <v>92</v>
      </c>
      <c r="O620" s="1">
        <v>41335</v>
      </c>
      <c r="P620" t="s">
        <v>84</v>
      </c>
      <c r="Q620">
        <v>1</v>
      </c>
      <c r="R620" t="s">
        <v>83</v>
      </c>
      <c r="S620">
        <v>3655.0122390000001</v>
      </c>
      <c r="T620">
        <v>0</v>
      </c>
      <c r="U620">
        <v>0</v>
      </c>
    </row>
    <row r="621" spans="1:21" x14ac:dyDescent="0.25">
      <c r="A621" s="1">
        <v>44166</v>
      </c>
      <c r="B621" s="1">
        <v>44166</v>
      </c>
      <c r="C621" t="s">
        <v>157</v>
      </c>
      <c r="D621" t="s">
        <v>48</v>
      </c>
      <c r="E621" t="s">
        <v>49</v>
      </c>
      <c r="F621" t="s">
        <v>267</v>
      </c>
      <c r="G621" s="53">
        <v>44203.692604166667</v>
      </c>
      <c r="H621">
        <v>33</v>
      </c>
      <c r="I621">
        <v>16938</v>
      </c>
      <c r="J621" t="s">
        <v>50</v>
      </c>
      <c r="K621" t="s">
        <v>50</v>
      </c>
      <c r="L621" t="s">
        <v>159</v>
      </c>
      <c r="M621" t="s">
        <v>51</v>
      </c>
      <c r="N621" t="s">
        <v>92</v>
      </c>
      <c r="O621" s="1">
        <v>41335</v>
      </c>
      <c r="P621" t="s">
        <v>84</v>
      </c>
      <c r="Q621">
        <v>2</v>
      </c>
      <c r="R621" t="s">
        <v>94</v>
      </c>
      <c r="S621">
        <v>14.851406000000001</v>
      </c>
      <c r="T621">
        <v>81.489000000000004</v>
      </c>
      <c r="U621">
        <v>1210</v>
      </c>
    </row>
    <row r="622" spans="1:21" x14ac:dyDescent="0.25">
      <c r="A622" s="1">
        <v>44166</v>
      </c>
      <c r="B622" s="1">
        <v>44166</v>
      </c>
      <c r="C622" t="s">
        <v>157</v>
      </c>
      <c r="D622" t="s">
        <v>52</v>
      </c>
      <c r="E622" t="s">
        <v>53</v>
      </c>
      <c r="F622" t="s">
        <v>266</v>
      </c>
      <c r="G622" s="53">
        <v>44203.692604166667</v>
      </c>
      <c r="H622">
        <v>33</v>
      </c>
      <c r="I622">
        <v>16938</v>
      </c>
      <c r="J622" t="s">
        <v>50</v>
      </c>
      <c r="K622" t="s">
        <v>50</v>
      </c>
      <c r="L622" t="s">
        <v>159</v>
      </c>
      <c r="M622" t="s">
        <v>51</v>
      </c>
      <c r="N622" t="s">
        <v>92</v>
      </c>
      <c r="O622" s="1">
        <v>41335</v>
      </c>
      <c r="P622" t="s">
        <v>84</v>
      </c>
      <c r="Q622">
        <v>2</v>
      </c>
      <c r="R622" t="s">
        <v>94</v>
      </c>
      <c r="S622">
        <v>0</v>
      </c>
      <c r="T622">
        <v>0</v>
      </c>
      <c r="U622">
        <v>0</v>
      </c>
    </row>
    <row r="623" spans="1:21" x14ac:dyDescent="0.25">
      <c r="A623" s="1">
        <v>44166</v>
      </c>
      <c r="B623" s="1">
        <v>44166</v>
      </c>
      <c r="C623" t="s">
        <v>157</v>
      </c>
      <c r="D623" t="s">
        <v>93</v>
      </c>
      <c r="E623" t="s">
        <v>49</v>
      </c>
      <c r="F623" t="s">
        <v>268</v>
      </c>
      <c r="G623" s="53">
        <v>44251.474293981482</v>
      </c>
      <c r="H623">
        <v>33</v>
      </c>
      <c r="I623" t="s">
        <v>349</v>
      </c>
      <c r="J623" t="s">
        <v>50</v>
      </c>
      <c r="K623" t="s">
        <v>50</v>
      </c>
      <c r="L623" t="s">
        <v>159</v>
      </c>
      <c r="M623" t="s">
        <v>51</v>
      </c>
      <c r="N623" t="s">
        <v>92</v>
      </c>
      <c r="O623" s="1">
        <v>41335</v>
      </c>
      <c r="P623" t="s">
        <v>84</v>
      </c>
      <c r="Q623">
        <v>2</v>
      </c>
      <c r="R623" t="s">
        <v>94</v>
      </c>
      <c r="S623">
        <v>1</v>
      </c>
      <c r="T623">
        <v>4</v>
      </c>
      <c r="U623">
        <v>4</v>
      </c>
    </row>
    <row r="624" spans="1:21" x14ac:dyDescent="0.25">
      <c r="A624" s="1">
        <v>44166</v>
      </c>
      <c r="B624" s="1">
        <v>44166</v>
      </c>
      <c r="C624" t="s">
        <v>157</v>
      </c>
      <c r="D624" t="s">
        <v>54</v>
      </c>
      <c r="E624" t="s">
        <v>21</v>
      </c>
      <c r="F624" t="s">
        <v>265</v>
      </c>
      <c r="G624" s="53">
        <v>44203.692604166667</v>
      </c>
      <c r="H624">
        <v>33</v>
      </c>
      <c r="I624">
        <v>16938</v>
      </c>
      <c r="J624" t="s">
        <v>50</v>
      </c>
      <c r="K624" t="s">
        <v>50</v>
      </c>
      <c r="L624" t="s">
        <v>159</v>
      </c>
      <c r="M624" t="s">
        <v>51</v>
      </c>
      <c r="N624" t="s">
        <v>92</v>
      </c>
      <c r="O624" s="1">
        <v>41335</v>
      </c>
      <c r="P624" t="s">
        <v>84</v>
      </c>
      <c r="Q624">
        <v>2</v>
      </c>
      <c r="R624" t="s">
        <v>94</v>
      </c>
      <c r="S624">
        <v>0</v>
      </c>
      <c r="T624">
        <v>6135.33</v>
      </c>
      <c r="U624">
        <v>0</v>
      </c>
    </row>
    <row r="625" spans="1:21" x14ac:dyDescent="0.25">
      <c r="A625" s="1">
        <v>44166</v>
      </c>
      <c r="B625" s="1">
        <v>44166</v>
      </c>
      <c r="C625" t="s">
        <v>157</v>
      </c>
      <c r="D625" t="s">
        <v>55</v>
      </c>
      <c r="E625" t="s">
        <v>56</v>
      </c>
      <c r="F625" t="s">
        <v>269</v>
      </c>
      <c r="G625" s="53">
        <v>44203.692604166667</v>
      </c>
      <c r="H625">
        <v>33</v>
      </c>
      <c r="I625">
        <v>16938</v>
      </c>
      <c r="J625" t="s">
        <v>50</v>
      </c>
      <c r="K625" t="s">
        <v>50</v>
      </c>
      <c r="L625" t="s">
        <v>159</v>
      </c>
      <c r="M625" t="s">
        <v>51</v>
      </c>
      <c r="N625" t="s">
        <v>92</v>
      </c>
      <c r="O625" s="1">
        <v>41335</v>
      </c>
      <c r="P625" t="s">
        <v>84</v>
      </c>
      <c r="Q625">
        <v>2</v>
      </c>
      <c r="R625" t="s">
        <v>94</v>
      </c>
      <c r="S625">
        <v>14.851406000000001</v>
      </c>
      <c r="T625">
        <v>0</v>
      </c>
      <c r="U625">
        <v>0</v>
      </c>
    </row>
    <row r="626" spans="1:21" x14ac:dyDescent="0.25">
      <c r="A626" s="1">
        <v>44166</v>
      </c>
      <c r="B626" s="1">
        <v>44166</v>
      </c>
      <c r="C626" t="s">
        <v>157</v>
      </c>
      <c r="D626" t="s">
        <v>54</v>
      </c>
      <c r="E626" t="s">
        <v>21</v>
      </c>
      <c r="F626" t="s">
        <v>265</v>
      </c>
      <c r="G626" s="53">
        <v>44203.692604166667</v>
      </c>
      <c r="H626">
        <v>33</v>
      </c>
      <c r="I626">
        <v>16938</v>
      </c>
      <c r="J626" t="s">
        <v>50</v>
      </c>
      <c r="K626" t="s">
        <v>50</v>
      </c>
      <c r="L626" t="s">
        <v>159</v>
      </c>
      <c r="M626" t="s">
        <v>51</v>
      </c>
      <c r="N626" t="s">
        <v>92</v>
      </c>
      <c r="O626" s="1">
        <v>41335</v>
      </c>
      <c r="P626" t="s">
        <v>84</v>
      </c>
      <c r="Q626">
        <v>3</v>
      </c>
      <c r="R626" t="s">
        <v>81</v>
      </c>
      <c r="S626">
        <v>0</v>
      </c>
      <c r="T626">
        <v>5857.6</v>
      </c>
      <c r="U626">
        <v>0</v>
      </c>
    </row>
    <row r="627" spans="1:21" x14ac:dyDescent="0.25">
      <c r="A627" s="1">
        <v>44166</v>
      </c>
      <c r="B627" s="1">
        <v>44166</v>
      </c>
      <c r="C627" t="s">
        <v>157</v>
      </c>
      <c r="D627" t="s">
        <v>52</v>
      </c>
      <c r="E627" t="s">
        <v>53</v>
      </c>
      <c r="F627" t="s">
        <v>266</v>
      </c>
      <c r="G627" s="53">
        <v>44203.692604166667</v>
      </c>
      <c r="H627">
        <v>33</v>
      </c>
      <c r="I627">
        <v>16938</v>
      </c>
      <c r="J627" t="s">
        <v>50</v>
      </c>
      <c r="K627" t="s">
        <v>50</v>
      </c>
      <c r="L627" t="s">
        <v>159</v>
      </c>
      <c r="M627" t="s">
        <v>51</v>
      </c>
      <c r="N627" t="s">
        <v>92</v>
      </c>
      <c r="O627" s="1">
        <v>41335</v>
      </c>
      <c r="P627" t="s">
        <v>84</v>
      </c>
      <c r="Q627">
        <v>3</v>
      </c>
      <c r="R627" t="s">
        <v>81</v>
      </c>
      <c r="S627">
        <v>0</v>
      </c>
      <c r="T627">
        <v>0</v>
      </c>
      <c r="U627">
        <v>0</v>
      </c>
    </row>
    <row r="628" spans="1:21" x14ac:dyDescent="0.25">
      <c r="A628" s="1">
        <v>44166</v>
      </c>
      <c r="B628" s="1">
        <v>44166</v>
      </c>
      <c r="C628" t="s">
        <v>157</v>
      </c>
      <c r="D628" t="s">
        <v>93</v>
      </c>
      <c r="E628" t="s">
        <v>49</v>
      </c>
      <c r="F628" t="s">
        <v>268</v>
      </c>
      <c r="G628" s="53">
        <v>44251.474293981482</v>
      </c>
      <c r="H628">
        <v>33</v>
      </c>
      <c r="I628" t="s">
        <v>349</v>
      </c>
      <c r="J628" t="s">
        <v>50</v>
      </c>
      <c r="K628" t="s">
        <v>50</v>
      </c>
      <c r="L628" t="s">
        <v>159</v>
      </c>
      <c r="M628" t="s">
        <v>51</v>
      </c>
      <c r="N628" t="s">
        <v>92</v>
      </c>
      <c r="O628" s="1">
        <v>41335</v>
      </c>
      <c r="P628" t="s">
        <v>84</v>
      </c>
      <c r="Q628">
        <v>3</v>
      </c>
      <c r="R628" t="s">
        <v>81</v>
      </c>
      <c r="S628">
        <v>1</v>
      </c>
      <c r="T628">
        <v>128</v>
      </c>
      <c r="U628">
        <v>128</v>
      </c>
    </row>
    <row r="629" spans="1:21" x14ac:dyDescent="0.25">
      <c r="A629" s="1">
        <v>44166</v>
      </c>
      <c r="B629" s="1">
        <v>44166</v>
      </c>
      <c r="C629" t="s">
        <v>157</v>
      </c>
      <c r="D629" t="s">
        <v>55</v>
      </c>
      <c r="E629" t="s">
        <v>56</v>
      </c>
      <c r="F629" t="s">
        <v>269</v>
      </c>
      <c r="G629" s="53">
        <v>44203.692604166667</v>
      </c>
      <c r="H629">
        <v>33</v>
      </c>
      <c r="I629">
        <v>16938</v>
      </c>
      <c r="J629" t="s">
        <v>50</v>
      </c>
      <c r="K629" t="s">
        <v>50</v>
      </c>
      <c r="L629" t="s">
        <v>159</v>
      </c>
      <c r="M629" t="s">
        <v>51</v>
      </c>
      <c r="N629" t="s">
        <v>92</v>
      </c>
      <c r="O629" s="1">
        <v>41335</v>
      </c>
      <c r="P629" t="s">
        <v>84</v>
      </c>
      <c r="Q629">
        <v>3</v>
      </c>
      <c r="R629" t="s">
        <v>81</v>
      </c>
      <c r="S629">
        <v>555.09301300000004</v>
      </c>
      <c r="T629">
        <v>0</v>
      </c>
      <c r="U629">
        <v>0</v>
      </c>
    </row>
    <row r="630" spans="1:21" x14ac:dyDescent="0.25">
      <c r="A630" s="1">
        <v>44166</v>
      </c>
      <c r="B630" s="1">
        <v>44166</v>
      </c>
      <c r="C630" t="s">
        <v>157</v>
      </c>
      <c r="D630" t="s">
        <v>48</v>
      </c>
      <c r="E630" t="s">
        <v>49</v>
      </c>
      <c r="F630" t="s">
        <v>267</v>
      </c>
      <c r="G630" s="53">
        <v>44203.692604166667</v>
      </c>
      <c r="H630">
        <v>33</v>
      </c>
      <c r="I630">
        <v>16938</v>
      </c>
      <c r="J630" t="s">
        <v>50</v>
      </c>
      <c r="K630" t="s">
        <v>50</v>
      </c>
      <c r="L630" t="s">
        <v>159</v>
      </c>
      <c r="M630" t="s">
        <v>51</v>
      </c>
      <c r="N630" t="s">
        <v>92</v>
      </c>
      <c r="O630" s="1">
        <v>41335</v>
      </c>
      <c r="P630" t="s">
        <v>84</v>
      </c>
      <c r="Q630">
        <v>3</v>
      </c>
      <c r="R630" t="s">
        <v>81</v>
      </c>
      <c r="S630">
        <v>555.09301300000004</v>
      </c>
      <c r="T630">
        <v>76.656999999999996</v>
      </c>
      <c r="U630">
        <v>42552</v>
      </c>
    </row>
    <row r="631" spans="1:21" x14ac:dyDescent="0.25">
      <c r="A631" s="1">
        <v>44166</v>
      </c>
      <c r="B631" s="1">
        <v>44166</v>
      </c>
      <c r="C631" t="s">
        <v>157</v>
      </c>
      <c r="D631" t="s">
        <v>55</v>
      </c>
      <c r="E631" t="s">
        <v>56</v>
      </c>
      <c r="F631" t="s">
        <v>269</v>
      </c>
      <c r="G631" s="53">
        <v>44203.692604166667</v>
      </c>
      <c r="H631">
        <v>33</v>
      </c>
      <c r="I631">
        <v>16938</v>
      </c>
      <c r="J631" t="s">
        <v>50</v>
      </c>
      <c r="K631" t="s">
        <v>50</v>
      </c>
      <c r="L631" t="s">
        <v>159</v>
      </c>
      <c r="M631" t="s">
        <v>51</v>
      </c>
      <c r="N631" t="s">
        <v>92</v>
      </c>
      <c r="O631" s="1">
        <v>41335</v>
      </c>
      <c r="P631" t="s">
        <v>84</v>
      </c>
      <c r="Q631">
        <v>4</v>
      </c>
      <c r="R631" t="s">
        <v>27</v>
      </c>
      <c r="S631">
        <v>4574.312688</v>
      </c>
      <c r="T631">
        <v>0</v>
      </c>
      <c r="U631">
        <v>0</v>
      </c>
    </row>
    <row r="632" spans="1:21" x14ac:dyDescent="0.25">
      <c r="A632" s="1">
        <v>44166</v>
      </c>
      <c r="B632" s="1">
        <v>44166</v>
      </c>
      <c r="C632" t="s">
        <v>157</v>
      </c>
      <c r="D632" t="s">
        <v>48</v>
      </c>
      <c r="E632" t="s">
        <v>49</v>
      </c>
      <c r="F632" t="s">
        <v>267</v>
      </c>
      <c r="G632" s="53">
        <v>44203.692604166667</v>
      </c>
      <c r="H632">
        <v>33</v>
      </c>
      <c r="I632">
        <v>16938</v>
      </c>
      <c r="J632" t="s">
        <v>50</v>
      </c>
      <c r="K632" t="s">
        <v>50</v>
      </c>
      <c r="L632" t="s">
        <v>159</v>
      </c>
      <c r="M632" t="s">
        <v>51</v>
      </c>
      <c r="N632" t="s">
        <v>92</v>
      </c>
      <c r="O632" s="1">
        <v>41335</v>
      </c>
      <c r="P632" t="s">
        <v>84</v>
      </c>
      <c r="Q632">
        <v>4</v>
      </c>
      <c r="R632" t="s">
        <v>27</v>
      </c>
      <c r="S632">
        <v>4574.312688</v>
      </c>
      <c r="T632">
        <v>76.781000000000006</v>
      </c>
      <c r="U632">
        <v>351220</v>
      </c>
    </row>
    <row r="633" spans="1:21" x14ac:dyDescent="0.25">
      <c r="A633" s="1">
        <v>44166</v>
      </c>
      <c r="B633" s="1">
        <v>44166</v>
      </c>
      <c r="C633" t="s">
        <v>157</v>
      </c>
      <c r="D633" t="s">
        <v>52</v>
      </c>
      <c r="E633" t="s">
        <v>53</v>
      </c>
      <c r="F633" t="s">
        <v>266</v>
      </c>
      <c r="G633" s="53">
        <v>44203.692604166667</v>
      </c>
      <c r="H633">
        <v>33</v>
      </c>
      <c r="I633">
        <v>16938</v>
      </c>
      <c r="J633" t="s">
        <v>50</v>
      </c>
      <c r="K633" t="s">
        <v>50</v>
      </c>
      <c r="L633" t="s">
        <v>159</v>
      </c>
      <c r="M633" t="s">
        <v>51</v>
      </c>
      <c r="N633" t="s">
        <v>92</v>
      </c>
      <c r="O633" s="1">
        <v>41335</v>
      </c>
      <c r="P633" t="s">
        <v>84</v>
      </c>
      <c r="Q633">
        <v>4</v>
      </c>
      <c r="R633" t="s">
        <v>27</v>
      </c>
      <c r="S633">
        <v>0</v>
      </c>
      <c r="T633">
        <v>0</v>
      </c>
      <c r="U633">
        <v>0</v>
      </c>
    </row>
    <row r="634" spans="1:21" x14ac:dyDescent="0.25">
      <c r="A634" s="1">
        <v>44166</v>
      </c>
      <c r="B634" s="1">
        <v>44166</v>
      </c>
      <c r="C634" t="s">
        <v>157</v>
      </c>
      <c r="D634" t="s">
        <v>54</v>
      </c>
      <c r="E634" t="s">
        <v>21</v>
      </c>
      <c r="F634" t="s">
        <v>265</v>
      </c>
      <c r="G634" s="53">
        <v>44203.692604166667</v>
      </c>
      <c r="H634">
        <v>33</v>
      </c>
      <c r="I634">
        <v>16938</v>
      </c>
      <c r="J634" t="s">
        <v>50</v>
      </c>
      <c r="K634" t="s">
        <v>50</v>
      </c>
      <c r="L634" t="s">
        <v>159</v>
      </c>
      <c r="M634" t="s">
        <v>51</v>
      </c>
      <c r="N634" t="s">
        <v>92</v>
      </c>
      <c r="O634" s="1">
        <v>41335</v>
      </c>
      <c r="P634" t="s">
        <v>84</v>
      </c>
      <c r="Q634">
        <v>4</v>
      </c>
      <c r="R634" t="s">
        <v>27</v>
      </c>
      <c r="S634">
        <v>0</v>
      </c>
      <c r="T634">
        <v>5984.39</v>
      </c>
      <c r="U634">
        <v>0</v>
      </c>
    </row>
    <row r="635" spans="1:21" x14ac:dyDescent="0.25">
      <c r="A635" s="1">
        <v>44166</v>
      </c>
      <c r="B635" s="1">
        <v>44166</v>
      </c>
      <c r="C635" t="s">
        <v>157</v>
      </c>
      <c r="D635" t="s">
        <v>93</v>
      </c>
      <c r="E635" t="s">
        <v>49</v>
      </c>
      <c r="F635" t="s">
        <v>268</v>
      </c>
      <c r="G635" s="53">
        <v>44251.474293981482</v>
      </c>
      <c r="H635">
        <v>33</v>
      </c>
      <c r="I635" t="s">
        <v>349</v>
      </c>
      <c r="J635" t="s">
        <v>50</v>
      </c>
      <c r="K635" t="s">
        <v>50</v>
      </c>
      <c r="L635" t="s">
        <v>159</v>
      </c>
      <c r="M635" t="s">
        <v>51</v>
      </c>
      <c r="N635" t="s">
        <v>92</v>
      </c>
      <c r="O635" s="1">
        <v>41335</v>
      </c>
      <c r="P635" t="s">
        <v>84</v>
      </c>
      <c r="Q635">
        <v>4</v>
      </c>
      <c r="R635" t="s">
        <v>27</v>
      </c>
      <c r="S635">
        <v>1</v>
      </c>
      <c r="T635">
        <v>1055</v>
      </c>
      <c r="U635">
        <v>1055</v>
      </c>
    </row>
    <row r="636" spans="1:21" x14ac:dyDescent="0.25">
      <c r="A636" s="1">
        <v>44166</v>
      </c>
      <c r="B636" s="1">
        <v>44166</v>
      </c>
      <c r="C636" t="s">
        <v>157</v>
      </c>
      <c r="D636" t="s">
        <v>52</v>
      </c>
      <c r="E636" t="s">
        <v>53</v>
      </c>
      <c r="F636" t="s">
        <v>266</v>
      </c>
      <c r="G636" s="53">
        <v>44203.692604166667</v>
      </c>
      <c r="H636">
        <v>33</v>
      </c>
      <c r="I636">
        <v>16938</v>
      </c>
      <c r="J636" t="s">
        <v>50</v>
      </c>
      <c r="K636" t="s">
        <v>50</v>
      </c>
      <c r="L636" t="s">
        <v>159</v>
      </c>
      <c r="M636" t="s">
        <v>51</v>
      </c>
      <c r="N636" t="s">
        <v>92</v>
      </c>
      <c r="O636" s="1">
        <v>41335</v>
      </c>
      <c r="P636" t="s">
        <v>84</v>
      </c>
      <c r="Q636">
        <v>5</v>
      </c>
      <c r="R636" t="s">
        <v>28</v>
      </c>
      <c r="S636">
        <v>0</v>
      </c>
      <c r="T636">
        <v>0</v>
      </c>
      <c r="U636">
        <v>0</v>
      </c>
    </row>
    <row r="637" spans="1:21" x14ac:dyDescent="0.25">
      <c r="A637" s="1">
        <v>44166</v>
      </c>
      <c r="B637" s="1">
        <v>44166</v>
      </c>
      <c r="C637" t="s">
        <v>157</v>
      </c>
      <c r="D637" t="s">
        <v>54</v>
      </c>
      <c r="E637" t="s">
        <v>21</v>
      </c>
      <c r="F637" t="s">
        <v>265</v>
      </c>
      <c r="G637" s="53">
        <v>44203.692604166667</v>
      </c>
      <c r="H637">
        <v>33</v>
      </c>
      <c r="I637">
        <v>16938</v>
      </c>
      <c r="J637" t="s">
        <v>50</v>
      </c>
      <c r="K637" t="s">
        <v>50</v>
      </c>
      <c r="L637" t="s">
        <v>159</v>
      </c>
      <c r="M637" t="s">
        <v>51</v>
      </c>
      <c r="N637" t="s">
        <v>92</v>
      </c>
      <c r="O637" s="1">
        <v>41335</v>
      </c>
      <c r="P637" t="s">
        <v>84</v>
      </c>
      <c r="Q637">
        <v>5</v>
      </c>
      <c r="R637" t="s">
        <v>28</v>
      </c>
      <c r="S637">
        <v>0</v>
      </c>
      <c r="T637">
        <v>5746.51</v>
      </c>
      <c r="U637">
        <v>0</v>
      </c>
    </row>
    <row r="638" spans="1:21" x14ac:dyDescent="0.25">
      <c r="A638" s="1">
        <v>44166</v>
      </c>
      <c r="B638" s="1">
        <v>44166</v>
      </c>
      <c r="C638" t="s">
        <v>157</v>
      </c>
      <c r="D638" t="s">
        <v>93</v>
      </c>
      <c r="E638" t="s">
        <v>49</v>
      </c>
      <c r="F638" t="s">
        <v>268</v>
      </c>
      <c r="G638" s="53">
        <v>44251.474293981482</v>
      </c>
      <c r="H638">
        <v>33</v>
      </c>
      <c r="I638" t="s">
        <v>349</v>
      </c>
      <c r="J638" t="s">
        <v>50</v>
      </c>
      <c r="K638" t="s">
        <v>50</v>
      </c>
      <c r="L638" t="s">
        <v>159</v>
      </c>
      <c r="M638" t="s">
        <v>51</v>
      </c>
      <c r="N638" t="s">
        <v>92</v>
      </c>
      <c r="O638" s="1">
        <v>41335</v>
      </c>
      <c r="P638" t="s">
        <v>84</v>
      </c>
      <c r="Q638">
        <v>5</v>
      </c>
      <c r="R638" t="s">
        <v>28</v>
      </c>
      <c r="S638">
        <v>1</v>
      </c>
      <c r="T638">
        <v>4</v>
      </c>
      <c r="U638">
        <v>4</v>
      </c>
    </row>
    <row r="639" spans="1:21" x14ac:dyDescent="0.25">
      <c r="A639" s="1">
        <v>44166</v>
      </c>
      <c r="B639" s="1">
        <v>44166</v>
      </c>
      <c r="C639" t="s">
        <v>157</v>
      </c>
      <c r="D639" t="s">
        <v>55</v>
      </c>
      <c r="E639" t="s">
        <v>56</v>
      </c>
      <c r="F639" t="s">
        <v>269</v>
      </c>
      <c r="G639" s="53">
        <v>44203.692604166667</v>
      </c>
      <c r="H639">
        <v>33</v>
      </c>
      <c r="I639">
        <v>16938</v>
      </c>
      <c r="J639" t="s">
        <v>50</v>
      </c>
      <c r="K639" t="s">
        <v>50</v>
      </c>
      <c r="L639" t="s">
        <v>159</v>
      </c>
      <c r="M639" t="s">
        <v>51</v>
      </c>
      <c r="N639" t="s">
        <v>92</v>
      </c>
      <c r="O639" s="1">
        <v>41335</v>
      </c>
      <c r="P639" t="s">
        <v>84</v>
      </c>
      <c r="Q639">
        <v>5</v>
      </c>
      <c r="R639" t="s">
        <v>28</v>
      </c>
      <c r="S639">
        <v>18.685690000000001</v>
      </c>
      <c r="T639">
        <v>0</v>
      </c>
      <c r="U639">
        <v>0</v>
      </c>
    </row>
    <row r="640" spans="1:21" x14ac:dyDescent="0.25">
      <c r="A640" s="1">
        <v>44166</v>
      </c>
      <c r="B640" s="1">
        <v>44166</v>
      </c>
      <c r="C640" t="s">
        <v>157</v>
      </c>
      <c r="D640" t="s">
        <v>48</v>
      </c>
      <c r="E640" t="s">
        <v>49</v>
      </c>
      <c r="F640" t="s">
        <v>267</v>
      </c>
      <c r="G640" s="53">
        <v>44203.692604166667</v>
      </c>
      <c r="H640">
        <v>33</v>
      </c>
      <c r="I640">
        <v>16938</v>
      </c>
      <c r="J640" t="s">
        <v>50</v>
      </c>
      <c r="K640" t="s">
        <v>50</v>
      </c>
      <c r="L640" t="s">
        <v>159</v>
      </c>
      <c r="M640" t="s">
        <v>51</v>
      </c>
      <c r="N640" t="s">
        <v>92</v>
      </c>
      <c r="O640" s="1">
        <v>41335</v>
      </c>
      <c r="P640" t="s">
        <v>84</v>
      </c>
      <c r="Q640">
        <v>5</v>
      </c>
      <c r="R640" t="s">
        <v>28</v>
      </c>
      <c r="S640">
        <v>18.685690000000001</v>
      </c>
      <c r="T640">
        <v>79.340999999999994</v>
      </c>
      <c r="U640">
        <v>1483</v>
      </c>
    </row>
    <row r="641" spans="1:21" x14ac:dyDescent="0.25">
      <c r="A641" s="1">
        <v>44197</v>
      </c>
      <c r="B641" s="1">
        <v>44197</v>
      </c>
      <c r="C641" t="s">
        <v>157</v>
      </c>
      <c r="D641" t="s">
        <v>93</v>
      </c>
      <c r="E641" t="s">
        <v>49</v>
      </c>
      <c r="F641" t="s">
        <v>270</v>
      </c>
      <c r="G641" s="53">
        <v>44273.429872685185</v>
      </c>
      <c r="H641">
        <v>61</v>
      </c>
      <c r="I641" t="s">
        <v>349</v>
      </c>
      <c r="J641" t="s">
        <v>50</v>
      </c>
      <c r="K641" t="s">
        <v>50</v>
      </c>
      <c r="L641" t="s">
        <v>159</v>
      </c>
      <c r="M641" t="s">
        <v>51</v>
      </c>
      <c r="N641" t="s">
        <v>92</v>
      </c>
      <c r="O641" s="1">
        <v>41335</v>
      </c>
      <c r="P641" t="s">
        <v>84</v>
      </c>
      <c r="Q641">
        <v>1</v>
      </c>
      <c r="R641" t="s">
        <v>83</v>
      </c>
      <c r="S641">
        <v>1</v>
      </c>
      <c r="T641">
        <v>-332</v>
      </c>
      <c r="U641">
        <v>-332</v>
      </c>
    </row>
    <row r="642" spans="1:21" x14ac:dyDescent="0.25">
      <c r="A642" s="1">
        <v>44197</v>
      </c>
      <c r="B642" s="1">
        <v>44197</v>
      </c>
      <c r="C642" t="s">
        <v>157</v>
      </c>
      <c r="D642" t="s">
        <v>55</v>
      </c>
      <c r="E642" t="s">
        <v>56</v>
      </c>
      <c r="F642" t="s">
        <v>271</v>
      </c>
      <c r="G642" s="53">
        <v>44235.838287037041</v>
      </c>
      <c r="H642">
        <v>33</v>
      </c>
      <c r="I642">
        <v>17339</v>
      </c>
      <c r="J642" t="s">
        <v>50</v>
      </c>
      <c r="K642" t="s">
        <v>50</v>
      </c>
      <c r="L642" t="s">
        <v>159</v>
      </c>
      <c r="M642" t="s">
        <v>51</v>
      </c>
      <c r="N642" t="s">
        <v>92</v>
      </c>
      <c r="O642" s="1">
        <v>41335</v>
      </c>
      <c r="P642" t="s">
        <v>84</v>
      </c>
      <c r="Q642">
        <v>1</v>
      </c>
      <c r="R642" t="s">
        <v>83</v>
      </c>
      <c r="S642">
        <v>2962.3663649999999</v>
      </c>
      <c r="T642">
        <v>0</v>
      </c>
      <c r="U642">
        <v>0</v>
      </c>
    </row>
    <row r="643" spans="1:21" x14ac:dyDescent="0.25">
      <c r="A643" s="1">
        <v>44197</v>
      </c>
      <c r="B643" s="1">
        <v>44197</v>
      </c>
      <c r="C643" t="s">
        <v>157</v>
      </c>
      <c r="D643" t="s">
        <v>48</v>
      </c>
      <c r="E643" t="s">
        <v>49</v>
      </c>
      <c r="F643" t="s">
        <v>272</v>
      </c>
      <c r="G643" s="53">
        <v>44235.838287037041</v>
      </c>
      <c r="H643">
        <v>33</v>
      </c>
      <c r="I643">
        <v>17339</v>
      </c>
      <c r="J643" t="s">
        <v>50</v>
      </c>
      <c r="K643" t="s">
        <v>50</v>
      </c>
      <c r="L643" t="s">
        <v>159</v>
      </c>
      <c r="M643" t="s">
        <v>51</v>
      </c>
      <c r="N643" t="s">
        <v>92</v>
      </c>
      <c r="O643" s="1">
        <v>41335</v>
      </c>
      <c r="P643" t="s">
        <v>84</v>
      </c>
      <c r="Q643">
        <v>1</v>
      </c>
      <c r="R643" t="s">
        <v>83</v>
      </c>
      <c r="S643">
        <v>2962.3663649999999</v>
      </c>
      <c r="T643">
        <v>85.203000000000003</v>
      </c>
      <c r="U643">
        <v>252403</v>
      </c>
    </row>
    <row r="644" spans="1:21" x14ac:dyDescent="0.25">
      <c r="A644" s="1">
        <v>44197</v>
      </c>
      <c r="B644" s="1">
        <v>44197</v>
      </c>
      <c r="C644" t="s">
        <v>157</v>
      </c>
      <c r="D644" t="s">
        <v>52</v>
      </c>
      <c r="E644" t="s">
        <v>53</v>
      </c>
      <c r="F644" t="s">
        <v>273</v>
      </c>
      <c r="G644" s="53">
        <v>44235.838287037041</v>
      </c>
      <c r="H644">
        <v>33</v>
      </c>
      <c r="I644">
        <v>17339</v>
      </c>
      <c r="J644" t="s">
        <v>50</v>
      </c>
      <c r="K644" t="s">
        <v>50</v>
      </c>
      <c r="L644" t="s">
        <v>159</v>
      </c>
      <c r="M644" t="s">
        <v>51</v>
      </c>
      <c r="N644" t="s">
        <v>92</v>
      </c>
      <c r="O644" s="1">
        <v>41335</v>
      </c>
      <c r="P644" t="s">
        <v>84</v>
      </c>
      <c r="Q644">
        <v>1</v>
      </c>
      <c r="R644" t="s">
        <v>83</v>
      </c>
      <c r="S644">
        <v>0</v>
      </c>
      <c r="T644">
        <v>534.30332399999998</v>
      </c>
      <c r="U644">
        <v>534</v>
      </c>
    </row>
    <row r="645" spans="1:21" x14ac:dyDescent="0.25">
      <c r="A645" s="1">
        <v>44197</v>
      </c>
      <c r="B645" s="1">
        <v>44197</v>
      </c>
      <c r="C645" t="s">
        <v>157</v>
      </c>
      <c r="D645" t="s">
        <v>54</v>
      </c>
      <c r="E645" t="s">
        <v>21</v>
      </c>
      <c r="F645" t="s">
        <v>274</v>
      </c>
      <c r="G645" s="53">
        <v>44235.838287037041</v>
      </c>
      <c r="H645">
        <v>33</v>
      </c>
      <c r="I645">
        <v>17339</v>
      </c>
      <c r="J645" t="s">
        <v>50</v>
      </c>
      <c r="K645" t="s">
        <v>50</v>
      </c>
      <c r="L645" t="s">
        <v>159</v>
      </c>
      <c r="M645" t="s">
        <v>51</v>
      </c>
      <c r="N645" t="s">
        <v>92</v>
      </c>
      <c r="O645" s="1">
        <v>41335</v>
      </c>
      <c r="P645" t="s">
        <v>84</v>
      </c>
      <c r="Q645">
        <v>1</v>
      </c>
      <c r="R645" t="s">
        <v>83</v>
      </c>
      <c r="S645">
        <v>0</v>
      </c>
      <c r="T645">
        <v>5914.42</v>
      </c>
      <c r="U645">
        <v>0</v>
      </c>
    </row>
    <row r="646" spans="1:21" x14ac:dyDescent="0.25">
      <c r="A646" s="1">
        <v>44197</v>
      </c>
      <c r="B646" s="1">
        <v>44197</v>
      </c>
      <c r="C646" t="s">
        <v>157</v>
      </c>
      <c r="D646" t="s">
        <v>55</v>
      </c>
      <c r="E646" t="s">
        <v>56</v>
      </c>
      <c r="F646" t="s">
        <v>271</v>
      </c>
      <c r="G646" s="53">
        <v>44235.838287037041</v>
      </c>
      <c r="H646">
        <v>33</v>
      </c>
      <c r="I646">
        <v>17339</v>
      </c>
      <c r="J646" t="s">
        <v>50</v>
      </c>
      <c r="K646" t="s">
        <v>50</v>
      </c>
      <c r="L646" t="s">
        <v>159</v>
      </c>
      <c r="M646" t="s">
        <v>51</v>
      </c>
      <c r="N646" t="s">
        <v>92</v>
      </c>
      <c r="O646" s="1">
        <v>41335</v>
      </c>
      <c r="P646" t="s">
        <v>84</v>
      </c>
      <c r="Q646">
        <v>2</v>
      </c>
      <c r="R646" t="s">
        <v>94</v>
      </c>
      <c r="S646">
        <v>9.6260829999999995</v>
      </c>
      <c r="T646">
        <v>0</v>
      </c>
      <c r="U646">
        <v>0</v>
      </c>
    </row>
    <row r="647" spans="1:21" x14ac:dyDescent="0.25">
      <c r="A647" s="1">
        <v>44197</v>
      </c>
      <c r="B647" s="1">
        <v>44197</v>
      </c>
      <c r="C647" t="s">
        <v>157</v>
      </c>
      <c r="D647" t="s">
        <v>48</v>
      </c>
      <c r="E647" t="s">
        <v>49</v>
      </c>
      <c r="F647" t="s">
        <v>272</v>
      </c>
      <c r="G647" s="53">
        <v>44235.838287037041</v>
      </c>
      <c r="H647">
        <v>33</v>
      </c>
      <c r="I647">
        <v>17339</v>
      </c>
      <c r="J647" t="s">
        <v>50</v>
      </c>
      <c r="K647" t="s">
        <v>50</v>
      </c>
      <c r="L647" t="s">
        <v>159</v>
      </c>
      <c r="M647" t="s">
        <v>51</v>
      </c>
      <c r="N647" t="s">
        <v>92</v>
      </c>
      <c r="O647" s="1">
        <v>41335</v>
      </c>
      <c r="P647" t="s">
        <v>84</v>
      </c>
      <c r="Q647">
        <v>2</v>
      </c>
      <c r="R647" t="s">
        <v>94</v>
      </c>
      <c r="S647">
        <v>9.6260829999999995</v>
      </c>
      <c r="T647">
        <v>86.819000000000003</v>
      </c>
      <c r="U647">
        <v>836</v>
      </c>
    </row>
    <row r="648" spans="1:21" x14ac:dyDescent="0.25">
      <c r="A648" s="1">
        <v>44197</v>
      </c>
      <c r="B648" s="1">
        <v>44197</v>
      </c>
      <c r="C648" t="s">
        <v>157</v>
      </c>
      <c r="D648" t="s">
        <v>52</v>
      </c>
      <c r="E648" t="s">
        <v>53</v>
      </c>
      <c r="F648" t="s">
        <v>273</v>
      </c>
      <c r="G648" s="53">
        <v>44235.838287037041</v>
      </c>
      <c r="H648">
        <v>33</v>
      </c>
      <c r="I648">
        <v>17339</v>
      </c>
      <c r="J648" t="s">
        <v>50</v>
      </c>
      <c r="K648" t="s">
        <v>50</v>
      </c>
      <c r="L648" t="s">
        <v>159</v>
      </c>
      <c r="M648" t="s">
        <v>51</v>
      </c>
      <c r="N648" t="s">
        <v>92</v>
      </c>
      <c r="O648" s="1">
        <v>41335</v>
      </c>
      <c r="P648" t="s">
        <v>84</v>
      </c>
      <c r="Q648">
        <v>2</v>
      </c>
      <c r="R648" t="s">
        <v>94</v>
      </c>
      <c r="S648">
        <v>0</v>
      </c>
      <c r="T648">
        <v>0</v>
      </c>
      <c r="U648">
        <v>0</v>
      </c>
    </row>
    <row r="649" spans="1:21" x14ac:dyDescent="0.25">
      <c r="A649" s="1">
        <v>44197</v>
      </c>
      <c r="B649" s="1">
        <v>44197</v>
      </c>
      <c r="C649" t="s">
        <v>157</v>
      </c>
      <c r="D649" t="s">
        <v>54</v>
      </c>
      <c r="E649" t="s">
        <v>21</v>
      </c>
      <c r="F649" t="s">
        <v>274</v>
      </c>
      <c r="G649" s="53">
        <v>44235.838287037041</v>
      </c>
      <c r="H649">
        <v>33</v>
      </c>
      <c r="I649">
        <v>17339</v>
      </c>
      <c r="J649" t="s">
        <v>50</v>
      </c>
      <c r="K649" t="s">
        <v>50</v>
      </c>
      <c r="L649" t="s">
        <v>159</v>
      </c>
      <c r="M649" t="s">
        <v>51</v>
      </c>
      <c r="N649" t="s">
        <v>92</v>
      </c>
      <c r="O649" s="1">
        <v>41335</v>
      </c>
      <c r="P649" t="s">
        <v>84</v>
      </c>
      <c r="Q649">
        <v>2</v>
      </c>
      <c r="R649" t="s">
        <v>94</v>
      </c>
      <c r="S649">
        <v>0</v>
      </c>
      <c r="T649">
        <v>6007.37</v>
      </c>
      <c r="U649">
        <v>0</v>
      </c>
    </row>
    <row r="650" spans="1:21" x14ac:dyDescent="0.25">
      <c r="A650" s="1">
        <v>44197</v>
      </c>
      <c r="B650" s="1">
        <v>44197</v>
      </c>
      <c r="C650" t="s">
        <v>157</v>
      </c>
      <c r="D650" t="s">
        <v>93</v>
      </c>
      <c r="E650" t="s">
        <v>49</v>
      </c>
      <c r="F650" t="s">
        <v>270</v>
      </c>
      <c r="G650" s="53">
        <v>44273.429872685185</v>
      </c>
      <c r="H650">
        <v>61</v>
      </c>
      <c r="I650" t="s">
        <v>349</v>
      </c>
      <c r="J650" t="s">
        <v>50</v>
      </c>
      <c r="K650" t="s">
        <v>50</v>
      </c>
      <c r="L650" t="s">
        <v>159</v>
      </c>
      <c r="M650" t="s">
        <v>51</v>
      </c>
      <c r="N650" t="s">
        <v>92</v>
      </c>
      <c r="O650" s="1">
        <v>41335</v>
      </c>
      <c r="P650" t="s">
        <v>84</v>
      </c>
      <c r="Q650">
        <v>2</v>
      </c>
      <c r="R650" t="s">
        <v>94</v>
      </c>
      <c r="S650">
        <v>1</v>
      </c>
      <c r="T650">
        <v>-1</v>
      </c>
      <c r="U650">
        <v>-1</v>
      </c>
    </row>
    <row r="651" spans="1:21" x14ac:dyDescent="0.25">
      <c r="A651" s="1">
        <v>44197</v>
      </c>
      <c r="B651" s="1">
        <v>44197</v>
      </c>
      <c r="C651" t="s">
        <v>157</v>
      </c>
      <c r="D651" t="s">
        <v>55</v>
      </c>
      <c r="E651" t="s">
        <v>56</v>
      </c>
      <c r="F651" t="s">
        <v>271</v>
      </c>
      <c r="G651" s="53">
        <v>44235.838287037041</v>
      </c>
      <c r="H651">
        <v>33</v>
      </c>
      <c r="I651">
        <v>17339</v>
      </c>
      <c r="J651" t="s">
        <v>50</v>
      </c>
      <c r="K651" t="s">
        <v>50</v>
      </c>
      <c r="L651" t="s">
        <v>159</v>
      </c>
      <c r="M651" t="s">
        <v>51</v>
      </c>
      <c r="N651" t="s">
        <v>92</v>
      </c>
      <c r="O651" s="1">
        <v>41335</v>
      </c>
      <c r="P651" t="s">
        <v>84</v>
      </c>
      <c r="Q651">
        <v>3</v>
      </c>
      <c r="R651" t="s">
        <v>81</v>
      </c>
      <c r="S651">
        <v>320.36813000000001</v>
      </c>
      <c r="T651">
        <v>0</v>
      </c>
      <c r="U651">
        <v>0</v>
      </c>
    </row>
    <row r="652" spans="1:21" x14ac:dyDescent="0.25">
      <c r="A652" s="1">
        <v>44197</v>
      </c>
      <c r="B652" s="1">
        <v>44197</v>
      </c>
      <c r="C652" t="s">
        <v>157</v>
      </c>
      <c r="D652" t="s">
        <v>54</v>
      </c>
      <c r="E652" t="s">
        <v>21</v>
      </c>
      <c r="F652" t="s">
        <v>274</v>
      </c>
      <c r="G652" s="53">
        <v>44235.838287037041</v>
      </c>
      <c r="H652">
        <v>33</v>
      </c>
      <c r="I652">
        <v>17339</v>
      </c>
      <c r="J652" t="s">
        <v>50</v>
      </c>
      <c r="K652" t="s">
        <v>50</v>
      </c>
      <c r="L652" t="s">
        <v>159</v>
      </c>
      <c r="M652" t="s">
        <v>51</v>
      </c>
      <c r="N652" t="s">
        <v>92</v>
      </c>
      <c r="O652" s="1">
        <v>41335</v>
      </c>
      <c r="P652" t="s">
        <v>84</v>
      </c>
      <c r="Q652">
        <v>3</v>
      </c>
      <c r="R652" t="s">
        <v>81</v>
      </c>
      <c r="S652">
        <v>0</v>
      </c>
      <c r="T652">
        <v>5302.48</v>
      </c>
      <c r="U652">
        <v>0</v>
      </c>
    </row>
    <row r="653" spans="1:21" x14ac:dyDescent="0.25">
      <c r="A653" s="1">
        <v>44197</v>
      </c>
      <c r="B653" s="1">
        <v>44197</v>
      </c>
      <c r="C653" t="s">
        <v>157</v>
      </c>
      <c r="D653" t="s">
        <v>52</v>
      </c>
      <c r="E653" t="s">
        <v>53</v>
      </c>
      <c r="F653" t="s">
        <v>273</v>
      </c>
      <c r="G653" s="53">
        <v>44235.838287037041</v>
      </c>
      <c r="H653">
        <v>33</v>
      </c>
      <c r="I653">
        <v>17339</v>
      </c>
      <c r="J653" t="s">
        <v>50</v>
      </c>
      <c r="K653" t="s">
        <v>50</v>
      </c>
      <c r="L653" t="s">
        <v>159</v>
      </c>
      <c r="M653" t="s">
        <v>51</v>
      </c>
      <c r="N653" t="s">
        <v>92</v>
      </c>
      <c r="O653" s="1">
        <v>41335</v>
      </c>
      <c r="P653" t="s">
        <v>84</v>
      </c>
      <c r="Q653">
        <v>3</v>
      </c>
      <c r="R653" t="s">
        <v>81</v>
      </c>
      <c r="S653">
        <v>0</v>
      </c>
      <c r="T653">
        <v>0</v>
      </c>
      <c r="U653">
        <v>0</v>
      </c>
    </row>
    <row r="654" spans="1:21" x14ac:dyDescent="0.25">
      <c r="A654" s="1">
        <v>44197</v>
      </c>
      <c r="B654" s="1">
        <v>44197</v>
      </c>
      <c r="C654" t="s">
        <v>157</v>
      </c>
      <c r="D654" t="s">
        <v>48</v>
      </c>
      <c r="E654" t="s">
        <v>49</v>
      </c>
      <c r="F654" t="s">
        <v>272</v>
      </c>
      <c r="G654" s="53">
        <v>44235.838287037041</v>
      </c>
      <c r="H654">
        <v>33</v>
      </c>
      <c r="I654">
        <v>17339</v>
      </c>
      <c r="J654" t="s">
        <v>50</v>
      </c>
      <c r="K654" t="s">
        <v>50</v>
      </c>
      <c r="L654" t="s">
        <v>159</v>
      </c>
      <c r="M654" t="s">
        <v>51</v>
      </c>
      <c r="N654" t="s">
        <v>92</v>
      </c>
      <c r="O654" s="1">
        <v>41335</v>
      </c>
      <c r="P654" t="s">
        <v>84</v>
      </c>
      <c r="Q654">
        <v>3</v>
      </c>
      <c r="R654" t="s">
        <v>81</v>
      </c>
      <c r="S654">
        <v>320.36813000000001</v>
      </c>
      <c r="T654">
        <v>78.597999999999999</v>
      </c>
      <c r="U654">
        <v>25180</v>
      </c>
    </row>
    <row r="655" spans="1:21" x14ac:dyDescent="0.25">
      <c r="A655" s="1">
        <v>44197</v>
      </c>
      <c r="B655" s="1">
        <v>44197</v>
      </c>
      <c r="C655" t="s">
        <v>157</v>
      </c>
      <c r="D655" t="s">
        <v>93</v>
      </c>
      <c r="E655" t="s">
        <v>49</v>
      </c>
      <c r="F655" t="s">
        <v>270</v>
      </c>
      <c r="G655" s="53">
        <v>44273.429872685185</v>
      </c>
      <c r="H655">
        <v>61</v>
      </c>
      <c r="I655" t="s">
        <v>349</v>
      </c>
      <c r="J655" t="s">
        <v>50</v>
      </c>
      <c r="K655" t="s">
        <v>50</v>
      </c>
      <c r="L655" t="s">
        <v>159</v>
      </c>
      <c r="M655" t="s">
        <v>51</v>
      </c>
      <c r="N655" t="s">
        <v>92</v>
      </c>
      <c r="O655" s="1">
        <v>41335</v>
      </c>
      <c r="P655" t="s">
        <v>84</v>
      </c>
      <c r="Q655">
        <v>3</v>
      </c>
      <c r="R655" t="s">
        <v>81</v>
      </c>
      <c r="S655">
        <v>1</v>
      </c>
      <c r="T655">
        <v>-33</v>
      </c>
      <c r="U655">
        <v>-33</v>
      </c>
    </row>
    <row r="656" spans="1:21" x14ac:dyDescent="0.25">
      <c r="A656" s="1">
        <v>44197</v>
      </c>
      <c r="B656" s="1">
        <v>44197</v>
      </c>
      <c r="C656" t="s">
        <v>157</v>
      </c>
      <c r="D656" t="s">
        <v>93</v>
      </c>
      <c r="E656" t="s">
        <v>49</v>
      </c>
      <c r="F656" t="s">
        <v>270</v>
      </c>
      <c r="G656" s="53">
        <v>44273.429872685185</v>
      </c>
      <c r="H656">
        <v>61</v>
      </c>
      <c r="I656" t="s">
        <v>349</v>
      </c>
      <c r="J656" t="s">
        <v>50</v>
      </c>
      <c r="K656" t="s">
        <v>50</v>
      </c>
      <c r="L656" t="s">
        <v>159</v>
      </c>
      <c r="M656" t="s">
        <v>51</v>
      </c>
      <c r="N656" t="s">
        <v>92</v>
      </c>
      <c r="O656" s="1">
        <v>41335</v>
      </c>
      <c r="P656" t="s">
        <v>84</v>
      </c>
      <c r="Q656">
        <v>4</v>
      </c>
      <c r="R656" t="s">
        <v>27</v>
      </c>
      <c r="S656">
        <v>1</v>
      </c>
      <c r="T656">
        <v>-385</v>
      </c>
      <c r="U656">
        <v>-385</v>
      </c>
    </row>
    <row r="657" spans="1:21" x14ac:dyDescent="0.25">
      <c r="A657" s="1">
        <v>44197</v>
      </c>
      <c r="B657" s="1">
        <v>44197</v>
      </c>
      <c r="C657" t="s">
        <v>157</v>
      </c>
      <c r="D657" t="s">
        <v>54</v>
      </c>
      <c r="E657" t="s">
        <v>21</v>
      </c>
      <c r="F657" t="s">
        <v>274</v>
      </c>
      <c r="G657" s="53">
        <v>44235.838287037041</v>
      </c>
      <c r="H657">
        <v>33</v>
      </c>
      <c r="I657">
        <v>17339</v>
      </c>
      <c r="J657" t="s">
        <v>50</v>
      </c>
      <c r="K657" t="s">
        <v>50</v>
      </c>
      <c r="L657" t="s">
        <v>159</v>
      </c>
      <c r="M657" t="s">
        <v>51</v>
      </c>
      <c r="N657" t="s">
        <v>92</v>
      </c>
      <c r="O657" s="1">
        <v>41335</v>
      </c>
      <c r="P657" t="s">
        <v>84</v>
      </c>
      <c r="Q657">
        <v>4</v>
      </c>
      <c r="R657" t="s">
        <v>27</v>
      </c>
      <c r="S657">
        <v>0</v>
      </c>
      <c r="T657">
        <v>5512.82</v>
      </c>
      <c r="U657">
        <v>0</v>
      </c>
    </row>
    <row r="658" spans="1:21" x14ac:dyDescent="0.25">
      <c r="A658" s="1">
        <v>44197</v>
      </c>
      <c r="B658" s="1">
        <v>44197</v>
      </c>
      <c r="C658" t="s">
        <v>157</v>
      </c>
      <c r="D658" t="s">
        <v>52</v>
      </c>
      <c r="E658" t="s">
        <v>53</v>
      </c>
      <c r="F658" t="s">
        <v>273</v>
      </c>
      <c r="G658" s="53">
        <v>44235.838287037041</v>
      </c>
      <c r="H658">
        <v>33</v>
      </c>
      <c r="I658">
        <v>17339</v>
      </c>
      <c r="J658" t="s">
        <v>50</v>
      </c>
      <c r="K658" t="s">
        <v>50</v>
      </c>
      <c r="L658" t="s">
        <v>159</v>
      </c>
      <c r="M658" t="s">
        <v>51</v>
      </c>
      <c r="N658" t="s">
        <v>92</v>
      </c>
      <c r="O658" s="1">
        <v>41335</v>
      </c>
      <c r="P658" t="s">
        <v>84</v>
      </c>
      <c r="Q658">
        <v>4</v>
      </c>
      <c r="R658" t="s">
        <v>27</v>
      </c>
      <c r="S658">
        <v>0</v>
      </c>
      <c r="T658">
        <v>0</v>
      </c>
      <c r="U658">
        <v>0</v>
      </c>
    </row>
    <row r="659" spans="1:21" x14ac:dyDescent="0.25">
      <c r="A659" s="1">
        <v>44197</v>
      </c>
      <c r="B659" s="1">
        <v>44197</v>
      </c>
      <c r="C659" t="s">
        <v>157</v>
      </c>
      <c r="D659" t="s">
        <v>55</v>
      </c>
      <c r="E659" t="s">
        <v>56</v>
      </c>
      <c r="F659" t="s">
        <v>271</v>
      </c>
      <c r="G659" s="53">
        <v>44235.838287037041</v>
      </c>
      <c r="H659">
        <v>33</v>
      </c>
      <c r="I659">
        <v>17339</v>
      </c>
      <c r="J659" t="s">
        <v>50</v>
      </c>
      <c r="K659" t="s">
        <v>50</v>
      </c>
      <c r="L659" t="s">
        <v>159</v>
      </c>
      <c r="M659" t="s">
        <v>51</v>
      </c>
      <c r="N659" t="s">
        <v>92</v>
      </c>
      <c r="O659" s="1">
        <v>41335</v>
      </c>
      <c r="P659" t="s">
        <v>84</v>
      </c>
      <c r="Q659">
        <v>4</v>
      </c>
      <c r="R659" t="s">
        <v>27</v>
      </c>
      <c r="S659">
        <v>3662.8658420000002</v>
      </c>
      <c r="T659">
        <v>0</v>
      </c>
      <c r="U659">
        <v>0</v>
      </c>
    </row>
    <row r="660" spans="1:21" x14ac:dyDescent="0.25">
      <c r="A660" s="1">
        <v>44197</v>
      </c>
      <c r="B660" s="1">
        <v>44197</v>
      </c>
      <c r="C660" t="s">
        <v>157</v>
      </c>
      <c r="D660" t="s">
        <v>48</v>
      </c>
      <c r="E660" t="s">
        <v>49</v>
      </c>
      <c r="F660" t="s">
        <v>272</v>
      </c>
      <c r="G660" s="53">
        <v>44235.838287037041</v>
      </c>
      <c r="H660">
        <v>33</v>
      </c>
      <c r="I660">
        <v>17339</v>
      </c>
      <c r="J660" t="s">
        <v>50</v>
      </c>
      <c r="K660" t="s">
        <v>50</v>
      </c>
      <c r="L660" t="s">
        <v>159</v>
      </c>
      <c r="M660" t="s">
        <v>51</v>
      </c>
      <c r="N660" t="s">
        <v>92</v>
      </c>
      <c r="O660" s="1">
        <v>41335</v>
      </c>
      <c r="P660" t="s">
        <v>84</v>
      </c>
      <c r="Q660">
        <v>4</v>
      </c>
      <c r="R660" t="s">
        <v>27</v>
      </c>
      <c r="S660">
        <v>3662.8658420000002</v>
      </c>
      <c r="T660">
        <v>80.213999999999999</v>
      </c>
      <c r="U660">
        <v>293813</v>
      </c>
    </row>
    <row r="661" spans="1:21" x14ac:dyDescent="0.25">
      <c r="A661" s="1">
        <v>44197</v>
      </c>
      <c r="B661" s="1">
        <v>44197</v>
      </c>
      <c r="C661" t="s">
        <v>157</v>
      </c>
      <c r="D661" t="s">
        <v>54</v>
      </c>
      <c r="E661" t="s">
        <v>21</v>
      </c>
      <c r="F661" t="s">
        <v>274</v>
      </c>
      <c r="G661" s="53">
        <v>44235.838287037041</v>
      </c>
      <c r="H661">
        <v>33</v>
      </c>
      <c r="I661">
        <v>17339</v>
      </c>
      <c r="J661" t="s">
        <v>50</v>
      </c>
      <c r="K661" t="s">
        <v>50</v>
      </c>
      <c r="L661" t="s">
        <v>159</v>
      </c>
      <c r="M661" t="s">
        <v>51</v>
      </c>
      <c r="N661" t="s">
        <v>92</v>
      </c>
      <c r="O661" s="1">
        <v>41335</v>
      </c>
      <c r="P661" t="s">
        <v>84</v>
      </c>
      <c r="Q661">
        <v>5</v>
      </c>
      <c r="R661" t="s">
        <v>28</v>
      </c>
      <c r="S661">
        <v>0</v>
      </c>
      <c r="T661">
        <v>5963.28</v>
      </c>
      <c r="U661">
        <v>0</v>
      </c>
    </row>
    <row r="662" spans="1:21" x14ac:dyDescent="0.25">
      <c r="A662" s="1">
        <v>44197</v>
      </c>
      <c r="B662" s="1">
        <v>44197</v>
      </c>
      <c r="C662" t="s">
        <v>157</v>
      </c>
      <c r="D662" t="s">
        <v>52</v>
      </c>
      <c r="E662" t="s">
        <v>53</v>
      </c>
      <c r="F662" t="s">
        <v>273</v>
      </c>
      <c r="G662" s="53">
        <v>44235.838287037041</v>
      </c>
      <c r="H662">
        <v>33</v>
      </c>
      <c r="I662">
        <v>17339</v>
      </c>
      <c r="J662" t="s">
        <v>50</v>
      </c>
      <c r="K662" t="s">
        <v>50</v>
      </c>
      <c r="L662" t="s">
        <v>159</v>
      </c>
      <c r="M662" t="s">
        <v>51</v>
      </c>
      <c r="N662" t="s">
        <v>92</v>
      </c>
      <c r="O662" s="1">
        <v>41335</v>
      </c>
      <c r="P662" t="s">
        <v>84</v>
      </c>
      <c r="Q662">
        <v>5</v>
      </c>
      <c r="R662" t="s">
        <v>28</v>
      </c>
      <c r="S662">
        <v>0</v>
      </c>
      <c r="T662">
        <v>0</v>
      </c>
      <c r="U662">
        <v>0</v>
      </c>
    </row>
    <row r="663" spans="1:21" x14ac:dyDescent="0.25">
      <c r="A663" s="1">
        <v>44197</v>
      </c>
      <c r="B663" s="1">
        <v>44197</v>
      </c>
      <c r="C663" t="s">
        <v>157</v>
      </c>
      <c r="D663" t="s">
        <v>93</v>
      </c>
      <c r="E663" t="s">
        <v>49</v>
      </c>
      <c r="F663" t="s">
        <v>270</v>
      </c>
      <c r="G663" s="53">
        <v>44273.429872685185</v>
      </c>
      <c r="H663">
        <v>61</v>
      </c>
      <c r="I663" t="s">
        <v>349</v>
      </c>
      <c r="J663" t="s">
        <v>50</v>
      </c>
      <c r="K663" t="s">
        <v>50</v>
      </c>
      <c r="L663" t="s">
        <v>159</v>
      </c>
      <c r="M663" t="s">
        <v>51</v>
      </c>
      <c r="N663" t="s">
        <v>92</v>
      </c>
      <c r="O663" s="1">
        <v>41335</v>
      </c>
      <c r="P663" t="s">
        <v>84</v>
      </c>
      <c r="Q663">
        <v>5</v>
      </c>
      <c r="R663" t="s">
        <v>28</v>
      </c>
      <c r="S663">
        <v>1</v>
      </c>
      <c r="T663">
        <v>-1</v>
      </c>
      <c r="U663">
        <v>-1</v>
      </c>
    </row>
    <row r="664" spans="1:21" x14ac:dyDescent="0.25">
      <c r="A664" s="1">
        <v>44197</v>
      </c>
      <c r="B664" s="1">
        <v>44197</v>
      </c>
      <c r="C664" t="s">
        <v>157</v>
      </c>
      <c r="D664" t="s">
        <v>48</v>
      </c>
      <c r="E664" t="s">
        <v>49</v>
      </c>
      <c r="F664" t="s">
        <v>272</v>
      </c>
      <c r="G664" s="53">
        <v>44235.838287037041</v>
      </c>
      <c r="H664">
        <v>33</v>
      </c>
      <c r="I664">
        <v>17339</v>
      </c>
      <c r="J664" t="s">
        <v>50</v>
      </c>
      <c r="K664" t="s">
        <v>50</v>
      </c>
      <c r="L664" t="s">
        <v>159</v>
      </c>
      <c r="M664" t="s">
        <v>51</v>
      </c>
      <c r="N664" t="s">
        <v>92</v>
      </c>
      <c r="O664" s="1">
        <v>41335</v>
      </c>
      <c r="P664" t="s">
        <v>84</v>
      </c>
      <c r="Q664">
        <v>5</v>
      </c>
      <c r="R664" t="s">
        <v>28</v>
      </c>
      <c r="S664">
        <v>10.591604999999999</v>
      </c>
      <c r="T664">
        <v>86.617999999999995</v>
      </c>
      <c r="U664">
        <v>917</v>
      </c>
    </row>
    <row r="665" spans="1:21" x14ac:dyDescent="0.25">
      <c r="A665" s="1">
        <v>44197</v>
      </c>
      <c r="B665" s="1">
        <v>44197</v>
      </c>
      <c r="C665" t="s">
        <v>157</v>
      </c>
      <c r="D665" t="s">
        <v>55</v>
      </c>
      <c r="E665" t="s">
        <v>56</v>
      </c>
      <c r="F665" t="s">
        <v>271</v>
      </c>
      <c r="G665" s="53">
        <v>44235.838287037041</v>
      </c>
      <c r="H665">
        <v>33</v>
      </c>
      <c r="I665">
        <v>17339</v>
      </c>
      <c r="J665" t="s">
        <v>50</v>
      </c>
      <c r="K665" t="s">
        <v>50</v>
      </c>
      <c r="L665" t="s">
        <v>159</v>
      </c>
      <c r="M665" t="s">
        <v>51</v>
      </c>
      <c r="N665" t="s">
        <v>92</v>
      </c>
      <c r="O665" s="1">
        <v>41335</v>
      </c>
      <c r="P665" t="s">
        <v>84</v>
      </c>
      <c r="Q665">
        <v>5</v>
      </c>
      <c r="R665" t="s">
        <v>28</v>
      </c>
      <c r="S665">
        <v>10.591604999999999</v>
      </c>
      <c r="T665">
        <v>0</v>
      </c>
      <c r="U665">
        <v>0</v>
      </c>
    </row>
    <row r="666" spans="1:21" x14ac:dyDescent="0.25">
      <c r="A666" s="1">
        <v>44228</v>
      </c>
      <c r="B666" s="1">
        <v>44228</v>
      </c>
      <c r="C666" t="s">
        <v>157</v>
      </c>
      <c r="D666" t="s">
        <v>54</v>
      </c>
      <c r="E666" t="s">
        <v>21</v>
      </c>
      <c r="F666" t="s">
        <v>275</v>
      </c>
      <c r="G666" s="53">
        <v>44259.815057870372</v>
      </c>
      <c r="H666">
        <v>33</v>
      </c>
      <c r="I666">
        <v>17645</v>
      </c>
      <c r="J666" t="s">
        <v>50</v>
      </c>
      <c r="K666" t="s">
        <v>50</v>
      </c>
      <c r="L666" t="s">
        <v>159</v>
      </c>
      <c r="M666" t="s">
        <v>51</v>
      </c>
      <c r="N666" t="s">
        <v>92</v>
      </c>
      <c r="O666" s="1">
        <v>41335</v>
      </c>
      <c r="P666" t="s">
        <v>84</v>
      </c>
      <c r="Q666">
        <v>1</v>
      </c>
      <c r="R666" t="s">
        <v>83</v>
      </c>
      <c r="S666">
        <v>0</v>
      </c>
      <c r="T666">
        <v>5914.42</v>
      </c>
      <c r="U666">
        <v>0</v>
      </c>
    </row>
    <row r="667" spans="1:21" x14ac:dyDescent="0.25">
      <c r="A667" s="1">
        <v>44228</v>
      </c>
      <c r="B667" s="1">
        <v>44228</v>
      </c>
      <c r="C667" t="s">
        <v>157</v>
      </c>
      <c r="D667" t="s">
        <v>52</v>
      </c>
      <c r="E667" t="s">
        <v>53</v>
      </c>
      <c r="F667" t="s">
        <v>276</v>
      </c>
      <c r="G667" s="53">
        <v>44259.815057870372</v>
      </c>
      <c r="H667">
        <v>33</v>
      </c>
      <c r="I667">
        <v>17645</v>
      </c>
      <c r="J667" t="s">
        <v>50</v>
      </c>
      <c r="K667" t="s">
        <v>50</v>
      </c>
      <c r="L667" t="s">
        <v>159</v>
      </c>
      <c r="M667" t="s">
        <v>51</v>
      </c>
      <c r="N667" t="s">
        <v>92</v>
      </c>
      <c r="O667" s="1">
        <v>41335</v>
      </c>
      <c r="P667" t="s">
        <v>84</v>
      </c>
      <c r="Q667">
        <v>1</v>
      </c>
      <c r="R667" t="s">
        <v>83</v>
      </c>
      <c r="S667">
        <v>0</v>
      </c>
      <c r="T667">
        <v>514</v>
      </c>
      <c r="U667">
        <v>514</v>
      </c>
    </row>
    <row r="668" spans="1:21" x14ac:dyDescent="0.25">
      <c r="A668" s="1">
        <v>44228</v>
      </c>
      <c r="B668" s="1">
        <v>44228</v>
      </c>
      <c r="C668" t="s">
        <v>157</v>
      </c>
      <c r="D668" t="s">
        <v>48</v>
      </c>
      <c r="E668" t="s">
        <v>49</v>
      </c>
      <c r="F668" t="s">
        <v>277</v>
      </c>
      <c r="G668" s="53">
        <v>44259.815057870372</v>
      </c>
      <c r="H668">
        <v>33</v>
      </c>
      <c r="I668">
        <v>17645</v>
      </c>
      <c r="J668" t="s">
        <v>50</v>
      </c>
      <c r="K668" t="s">
        <v>50</v>
      </c>
      <c r="L668" t="s">
        <v>159</v>
      </c>
      <c r="M668" t="s">
        <v>51</v>
      </c>
      <c r="N668" t="s">
        <v>92</v>
      </c>
      <c r="O668" s="1">
        <v>41335</v>
      </c>
      <c r="P668" t="s">
        <v>84</v>
      </c>
      <c r="Q668">
        <v>1</v>
      </c>
      <c r="R668" t="s">
        <v>83</v>
      </c>
      <c r="S668">
        <v>2149.7309340000002</v>
      </c>
      <c r="T668">
        <v>85.203000000000003</v>
      </c>
      <c r="U668">
        <v>183164</v>
      </c>
    </row>
    <row r="669" spans="1:21" x14ac:dyDescent="0.25">
      <c r="A669" s="1">
        <v>44228</v>
      </c>
      <c r="B669" s="1">
        <v>44228</v>
      </c>
      <c r="C669" t="s">
        <v>157</v>
      </c>
      <c r="D669" t="s">
        <v>93</v>
      </c>
      <c r="E669" t="s">
        <v>49</v>
      </c>
      <c r="F669" t="s">
        <v>278</v>
      </c>
      <c r="G669" s="53">
        <v>44302.769236111111</v>
      </c>
      <c r="H669">
        <v>33</v>
      </c>
      <c r="I669" t="s">
        <v>349</v>
      </c>
      <c r="J669" t="s">
        <v>50</v>
      </c>
      <c r="K669" t="s">
        <v>50</v>
      </c>
      <c r="L669" t="s">
        <v>159</v>
      </c>
      <c r="M669" t="s">
        <v>51</v>
      </c>
      <c r="N669" t="s">
        <v>92</v>
      </c>
      <c r="O669" s="1">
        <v>41335</v>
      </c>
      <c r="P669" t="s">
        <v>84</v>
      </c>
      <c r="Q669">
        <v>1</v>
      </c>
      <c r="R669" t="s">
        <v>83</v>
      </c>
      <c r="S669">
        <v>1</v>
      </c>
      <c r="T669">
        <v>1042</v>
      </c>
      <c r="U669">
        <v>1042</v>
      </c>
    </row>
    <row r="670" spans="1:21" x14ac:dyDescent="0.25">
      <c r="A670" s="1">
        <v>44228</v>
      </c>
      <c r="B670" s="1">
        <v>44228</v>
      </c>
      <c r="C670" t="s">
        <v>157</v>
      </c>
      <c r="D670" t="s">
        <v>55</v>
      </c>
      <c r="E670" t="s">
        <v>56</v>
      </c>
      <c r="F670" t="s">
        <v>279</v>
      </c>
      <c r="G670" s="53">
        <v>44259.815057870372</v>
      </c>
      <c r="H670">
        <v>33</v>
      </c>
      <c r="I670">
        <v>17645</v>
      </c>
      <c r="J670" t="s">
        <v>50</v>
      </c>
      <c r="K670" t="s">
        <v>50</v>
      </c>
      <c r="L670" t="s">
        <v>159</v>
      </c>
      <c r="M670" t="s">
        <v>51</v>
      </c>
      <c r="N670" t="s">
        <v>92</v>
      </c>
      <c r="O670" s="1">
        <v>41335</v>
      </c>
      <c r="P670" t="s">
        <v>84</v>
      </c>
      <c r="Q670">
        <v>1</v>
      </c>
      <c r="R670" t="s">
        <v>83</v>
      </c>
      <c r="S670">
        <v>2149.7309340000002</v>
      </c>
      <c r="T670">
        <v>0</v>
      </c>
      <c r="U670">
        <v>0</v>
      </c>
    </row>
    <row r="671" spans="1:21" x14ac:dyDescent="0.25">
      <c r="A671" s="1">
        <v>44228</v>
      </c>
      <c r="B671" s="1">
        <v>44228</v>
      </c>
      <c r="C671" t="s">
        <v>157</v>
      </c>
      <c r="D671" t="s">
        <v>54</v>
      </c>
      <c r="E671" t="s">
        <v>21</v>
      </c>
      <c r="F671" t="s">
        <v>275</v>
      </c>
      <c r="G671" s="53">
        <v>44259.815057870372</v>
      </c>
      <c r="H671">
        <v>33</v>
      </c>
      <c r="I671">
        <v>17645</v>
      </c>
      <c r="J671" t="s">
        <v>50</v>
      </c>
      <c r="K671" t="s">
        <v>50</v>
      </c>
      <c r="L671" t="s">
        <v>159</v>
      </c>
      <c r="M671" t="s">
        <v>51</v>
      </c>
      <c r="N671" t="s">
        <v>92</v>
      </c>
      <c r="O671" s="1">
        <v>41335</v>
      </c>
      <c r="P671" t="s">
        <v>84</v>
      </c>
      <c r="Q671">
        <v>2</v>
      </c>
      <c r="R671" t="s">
        <v>94</v>
      </c>
      <c r="S671">
        <v>0</v>
      </c>
      <c r="T671">
        <v>6007.37</v>
      </c>
      <c r="U671">
        <v>0</v>
      </c>
    </row>
    <row r="672" spans="1:21" x14ac:dyDescent="0.25">
      <c r="A672" s="1">
        <v>44228</v>
      </c>
      <c r="B672" s="1">
        <v>44228</v>
      </c>
      <c r="C672" t="s">
        <v>157</v>
      </c>
      <c r="D672" t="s">
        <v>48</v>
      </c>
      <c r="E672" t="s">
        <v>49</v>
      </c>
      <c r="F672" t="s">
        <v>277</v>
      </c>
      <c r="G672" s="53">
        <v>44259.815057870372</v>
      </c>
      <c r="H672">
        <v>33</v>
      </c>
      <c r="I672">
        <v>17645</v>
      </c>
      <c r="J672" t="s">
        <v>50</v>
      </c>
      <c r="K672" t="s">
        <v>50</v>
      </c>
      <c r="L672" t="s">
        <v>159</v>
      </c>
      <c r="M672" t="s">
        <v>51</v>
      </c>
      <c r="N672" t="s">
        <v>92</v>
      </c>
      <c r="O672" s="1">
        <v>41335</v>
      </c>
      <c r="P672" t="s">
        <v>84</v>
      </c>
      <c r="Q672">
        <v>2</v>
      </c>
      <c r="R672" t="s">
        <v>94</v>
      </c>
      <c r="S672">
        <v>7.2339039999999999</v>
      </c>
      <c r="T672">
        <v>86.819000000000003</v>
      </c>
      <c r="U672">
        <v>628</v>
      </c>
    </row>
    <row r="673" spans="1:21" x14ac:dyDescent="0.25">
      <c r="A673" s="1">
        <v>44228</v>
      </c>
      <c r="B673" s="1">
        <v>44228</v>
      </c>
      <c r="C673" t="s">
        <v>157</v>
      </c>
      <c r="D673" t="s">
        <v>52</v>
      </c>
      <c r="E673" t="s">
        <v>53</v>
      </c>
      <c r="F673" t="s">
        <v>276</v>
      </c>
      <c r="G673" s="53">
        <v>44259.815057870372</v>
      </c>
      <c r="H673">
        <v>33</v>
      </c>
      <c r="I673">
        <v>17645</v>
      </c>
      <c r="J673" t="s">
        <v>50</v>
      </c>
      <c r="K673" t="s">
        <v>50</v>
      </c>
      <c r="L673" t="s">
        <v>159</v>
      </c>
      <c r="M673" t="s">
        <v>51</v>
      </c>
      <c r="N673" t="s">
        <v>92</v>
      </c>
      <c r="O673" s="1">
        <v>41335</v>
      </c>
      <c r="P673" t="s">
        <v>84</v>
      </c>
      <c r="Q673">
        <v>2</v>
      </c>
      <c r="R673" t="s">
        <v>94</v>
      </c>
      <c r="S673">
        <v>0</v>
      </c>
      <c r="T673">
        <v>0</v>
      </c>
      <c r="U673">
        <v>0</v>
      </c>
    </row>
    <row r="674" spans="1:21" x14ac:dyDescent="0.25">
      <c r="A674" s="1">
        <v>44228</v>
      </c>
      <c r="B674" s="1">
        <v>44228</v>
      </c>
      <c r="C674" t="s">
        <v>157</v>
      </c>
      <c r="D674" t="s">
        <v>93</v>
      </c>
      <c r="E674" t="s">
        <v>49</v>
      </c>
      <c r="F674" t="s">
        <v>278</v>
      </c>
      <c r="G674" s="53">
        <v>44302.769236111111</v>
      </c>
      <c r="H674">
        <v>33</v>
      </c>
      <c r="I674" t="s">
        <v>349</v>
      </c>
      <c r="J674" t="s">
        <v>50</v>
      </c>
      <c r="K674" t="s">
        <v>50</v>
      </c>
      <c r="L674" t="s">
        <v>159</v>
      </c>
      <c r="M674" t="s">
        <v>51</v>
      </c>
      <c r="N674" t="s">
        <v>92</v>
      </c>
      <c r="O674" s="1">
        <v>41335</v>
      </c>
      <c r="P674" t="s">
        <v>84</v>
      </c>
      <c r="Q674">
        <v>2</v>
      </c>
      <c r="R674" t="s">
        <v>94</v>
      </c>
      <c r="S674">
        <v>1</v>
      </c>
      <c r="T674">
        <v>4</v>
      </c>
      <c r="U674">
        <v>4</v>
      </c>
    </row>
    <row r="675" spans="1:21" x14ac:dyDescent="0.25">
      <c r="A675" s="1">
        <v>44228</v>
      </c>
      <c r="B675" s="1">
        <v>44228</v>
      </c>
      <c r="C675" t="s">
        <v>157</v>
      </c>
      <c r="D675" t="s">
        <v>55</v>
      </c>
      <c r="E675" t="s">
        <v>56</v>
      </c>
      <c r="F675" t="s">
        <v>279</v>
      </c>
      <c r="G675" s="53">
        <v>44259.815057870372</v>
      </c>
      <c r="H675">
        <v>33</v>
      </c>
      <c r="I675">
        <v>17645</v>
      </c>
      <c r="J675" t="s">
        <v>50</v>
      </c>
      <c r="K675" t="s">
        <v>50</v>
      </c>
      <c r="L675" t="s">
        <v>159</v>
      </c>
      <c r="M675" t="s">
        <v>51</v>
      </c>
      <c r="N675" t="s">
        <v>92</v>
      </c>
      <c r="O675" s="1">
        <v>41335</v>
      </c>
      <c r="P675" t="s">
        <v>84</v>
      </c>
      <c r="Q675">
        <v>2</v>
      </c>
      <c r="R675" t="s">
        <v>94</v>
      </c>
      <c r="S675">
        <v>7.2339039999999999</v>
      </c>
      <c r="T675">
        <v>0</v>
      </c>
      <c r="U675">
        <v>0</v>
      </c>
    </row>
    <row r="676" spans="1:21" x14ac:dyDescent="0.25">
      <c r="A676" s="1">
        <v>44228</v>
      </c>
      <c r="B676" s="1">
        <v>44228</v>
      </c>
      <c r="C676" t="s">
        <v>157</v>
      </c>
      <c r="D676" t="s">
        <v>54</v>
      </c>
      <c r="E676" t="s">
        <v>21</v>
      </c>
      <c r="F676" t="s">
        <v>275</v>
      </c>
      <c r="G676" s="53">
        <v>44259.815057870372</v>
      </c>
      <c r="H676">
        <v>33</v>
      </c>
      <c r="I676">
        <v>17645</v>
      </c>
      <c r="J676" t="s">
        <v>50</v>
      </c>
      <c r="K676" t="s">
        <v>50</v>
      </c>
      <c r="L676" t="s">
        <v>159</v>
      </c>
      <c r="M676" t="s">
        <v>51</v>
      </c>
      <c r="N676" t="s">
        <v>92</v>
      </c>
      <c r="O676" s="1">
        <v>41335</v>
      </c>
      <c r="P676" t="s">
        <v>84</v>
      </c>
      <c r="Q676">
        <v>3</v>
      </c>
      <c r="R676" t="s">
        <v>81</v>
      </c>
      <c r="S676">
        <v>0</v>
      </c>
      <c r="T676">
        <v>5302.48</v>
      </c>
      <c r="U676">
        <v>0</v>
      </c>
    </row>
    <row r="677" spans="1:21" x14ac:dyDescent="0.25">
      <c r="A677" s="1">
        <v>44228</v>
      </c>
      <c r="B677" s="1">
        <v>44228</v>
      </c>
      <c r="C677" t="s">
        <v>157</v>
      </c>
      <c r="D677" t="s">
        <v>48</v>
      </c>
      <c r="E677" t="s">
        <v>49</v>
      </c>
      <c r="F677" t="s">
        <v>277</v>
      </c>
      <c r="G677" s="53">
        <v>44259.815057870372</v>
      </c>
      <c r="H677">
        <v>33</v>
      </c>
      <c r="I677">
        <v>17645</v>
      </c>
      <c r="J677" t="s">
        <v>50</v>
      </c>
      <c r="K677" t="s">
        <v>50</v>
      </c>
      <c r="L677" t="s">
        <v>159</v>
      </c>
      <c r="M677" t="s">
        <v>51</v>
      </c>
      <c r="N677" t="s">
        <v>92</v>
      </c>
      <c r="O677" s="1">
        <v>41335</v>
      </c>
      <c r="P677" t="s">
        <v>84</v>
      </c>
      <c r="Q677">
        <v>3</v>
      </c>
      <c r="R677" t="s">
        <v>81</v>
      </c>
      <c r="S677">
        <v>234.44251299999999</v>
      </c>
      <c r="T677">
        <v>78.597999999999999</v>
      </c>
      <c r="U677">
        <v>18427</v>
      </c>
    </row>
    <row r="678" spans="1:21" x14ac:dyDescent="0.25">
      <c r="A678" s="1">
        <v>44228</v>
      </c>
      <c r="B678" s="1">
        <v>44228</v>
      </c>
      <c r="C678" t="s">
        <v>157</v>
      </c>
      <c r="D678" t="s">
        <v>55</v>
      </c>
      <c r="E678" t="s">
        <v>56</v>
      </c>
      <c r="F678" t="s">
        <v>279</v>
      </c>
      <c r="G678" s="53">
        <v>44259.815057870372</v>
      </c>
      <c r="H678">
        <v>33</v>
      </c>
      <c r="I678">
        <v>17645</v>
      </c>
      <c r="J678" t="s">
        <v>50</v>
      </c>
      <c r="K678" t="s">
        <v>50</v>
      </c>
      <c r="L678" t="s">
        <v>159</v>
      </c>
      <c r="M678" t="s">
        <v>51</v>
      </c>
      <c r="N678" t="s">
        <v>92</v>
      </c>
      <c r="O678" s="1">
        <v>41335</v>
      </c>
      <c r="P678" t="s">
        <v>84</v>
      </c>
      <c r="Q678">
        <v>3</v>
      </c>
      <c r="R678" t="s">
        <v>81</v>
      </c>
      <c r="S678">
        <v>234.44251299999999</v>
      </c>
      <c r="T678">
        <v>0</v>
      </c>
      <c r="U678">
        <v>0</v>
      </c>
    </row>
    <row r="679" spans="1:21" x14ac:dyDescent="0.25">
      <c r="A679" s="1">
        <v>44228</v>
      </c>
      <c r="B679" s="1">
        <v>44228</v>
      </c>
      <c r="C679" t="s">
        <v>157</v>
      </c>
      <c r="D679" t="s">
        <v>52</v>
      </c>
      <c r="E679" t="s">
        <v>53</v>
      </c>
      <c r="F679" t="s">
        <v>276</v>
      </c>
      <c r="G679" s="53">
        <v>44259.815057870372</v>
      </c>
      <c r="H679">
        <v>33</v>
      </c>
      <c r="I679">
        <v>17645</v>
      </c>
      <c r="J679" t="s">
        <v>50</v>
      </c>
      <c r="K679" t="s">
        <v>50</v>
      </c>
      <c r="L679" t="s">
        <v>159</v>
      </c>
      <c r="M679" t="s">
        <v>51</v>
      </c>
      <c r="N679" t="s">
        <v>92</v>
      </c>
      <c r="O679" s="1">
        <v>41335</v>
      </c>
      <c r="P679" t="s">
        <v>84</v>
      </c>
      <c r="Q679">
        <v>3</v>
      </c>
      <c r="R679" t="s">
        <v>81</v>
      </c>
      <c r="S679">
        <v>0</v>
      </c>
      <c r="T679">
        <v>0</v>
      </c>
      <c r="U679">
        <v>0</v>
      </c>
    </row>
    <row r="680" spans="1:21" x14ac:dyDescent="0.25">
      <c r="A680" s="1">
        <v>44228</v>
      </c>
      <c r="B680" s="1">
        <v>44228</v>
      </c>
      <c r="C680" t="s">
        <v>157</v>
      </c>
      <c r="D680" t="s">
        <v>93</v>
      </c>
      <c r="E680" t="s">
        <v>49</v>
      </c>
      <c r="F680" t="s">
        <v>278</v>
      </c>
      <c r="G680" s="53">
        <v>44302.769236111111</v>
      </c>
      <c r="H680">
        <v>33</v>
      </c>
      <c r="I680" t="s">
        <v>349</v>
      </c>
      <c r="J680" t="s">
        <v>50</v>
      </c>
      <c r="K680" t="s">
        <v>50</v>
      </c>
      <c r="L680" t="s">
        <v>159</v>
      </c>
      <c r="M680" t="s">
        <v>51</v>
      </c>
      <c r="N680" t="s">
        <v>92</v>
      </c>
      <c r="O680" s="1">
        <v>41335</v>
      </c>
      <c r="P680" t="s">
        <v>84</v>
      </c>
      <c r="Q680">
        <v>3</v>
      </c>
      <c r="R680" t="s">
        <v>81</v>
      </c>
      <c r="S680">
        <v>1</v>
      </c>
      <c r="T680">
        <v>105</v>
      </c>
      <c r="U680">
        <v>105</v>
      </c>
    </row>
    <row r="681" spans="1:21" x14ac:dyDescent="0.25">
      <c r="A681" s="1">
        <v>44228</v>
      </c>
      <c r="B681" s="1">
        <v>44228</v>
      </c>
      <c r="C681" t="s">
        <v>157</v>
      </c>
      <c r="D681" t="s">
        <v>93</v>
      </c>
      <c r="E681" t="s">
        <v>49</v>
      </c>
      <c r="F681" t="s">
        <v>278</v>
      </c>
      <c r="G681" s="53">
        <v>44302.769236111111</v>
      </c>
      <c r="H681">
        <v>33</v>
      </c>
      <c r="I681" t="s">
        <v>349</v>
      </c>
      <c r="J681" t="s">
        <v>50</v>
      </c>
      <c r="K681" t="s">
        <v>50</v>
      </c>
      <c r="L681" t="s">
        <v>159</v>
      </c>
      <c r="M681" t="s">
        <v>51</v>
      </c>
      <c r="N681" t="s">
        <v>92</v>
      </c>
      <c r="O681" s="1">
        <v>41335</v>
      </c>
      <c r="P681" t="s">
        <v>84</v>
      </c>
      <c r="Q681">
        <v>4</v>
      </c>
      <c r="R681" t="s">
        <v>27</v>
      </c>
      <c r="S681">
        <v>1</v>
      </c>
      <c r="T681">
        <v>1221</v>
      </c>
      <c r="U681">
        <v>1221</v>
      </c>
    </row>
    <row r="682" spans="1:21" x14ac:dyDescent="0.25">
      <c r="A682" s="1">
        <v>44228</v>
      </c>
      <c r="B682" s="1">
        <v>44228</v>
      </c>
      <c r="C682" t="s">
        <v>157</v>
      </c>
      <c r="D682" t="s">
        <v>52</v>
      </c>
      <c r="E682" t="s">
        <v>53</v>
      </c>
      <c r="F682" t="s">
        <v>276</v>
      </c>
      <c r="G682" s="53">
        <v>44259.815057870372</v>
      </c>
      <c r="H682">
        <v>33</v>
      </c>
      <c r="I682">
        <v>17645</v>
      </c>
      <c r="J682" t="s">
        <v>50</v>
      </c>
      <c r="K682" t="s">
        <v>50</v>
      </c>
      <c r="L682" t="s">
        <v>159</v>
      </c>
      <c r="M682" t="s">
        <v>51</v>
      </c>
      <c r="N682" t="s">
        <v>92</v>
      </c>
      <c r="O682" s="1">
        <v>41335</v>
      </c>
      <c r="P682" t="s">
        <v>84</v>
      </c>
      <c r="Q682">
        <v>4</v>
      </c>
      <c r="R682" t="s">
        <v>27</v>
      </c>
      <c r="S682">
        <v>0</v>
      </c>
      <c r="T682">
        <v>0</v>
      </c>
      <c r="U682">
        <v>0</v>
      </c>
    </row>
    <row r="683" spans="1:21" x14ac:dyDescent="0.25">
      <c r="A683" s="1">
        <v>44228</v>
      </c>
      <c r="B683" s="1">
        <v>44228</v>
      </c>
      <c r="C683" t="s">
        <v>157</v>
      </c>
      <c r="D683" t="s">
        <v>54</v>
      </c>
      <c r="E683" t="s">
        <v>21</v>
      </c>
      <c r="F683" t="s">
        <v>275</v>
      </c>
      <c r="G683" s="53">
        <v>44259.815057870372</v>
      </c>
      <c r="H683">
        <v>33</v>
      </c>
      <c r="I683">
        <v>17645</v>
      </c>
      <c r="J683" t="s">
        <v>50</v>
      </c>
      <c r="K683" t="s">
        <v>50</v>
      </c>
      <c r="L683" t="s">
        <v>159</v>
      </c>
      <c r="M683" t="s">
        <v>51</v>
      </c>
      <c r="N683" t="s">
        <v>92</v>
      </c>
      <c r="O683" s="1">
        <v>41335</v>
      </c>
      <c r="P683" t="s">
        <v>84</v>
      </c>
      <c r="Q683">
        <v>4</v>
      </c>
      <c r="R683" t="s">
        <v>27</v>
      </c>
      <c r="S683">
        <v>0</v>
      </c>
      <c r="T683">
        <v>5512.82</v>
      </c>
      <c r="U683">
        <v>0</v>
      </c>
    </row>
    <row r="684" spans="1:21" x14ac:dyDescent="0.25">
      <c r="A684" s="1">
        <v>44228</v>
      </c>
      <c r="B684" s="1">
        <v>44228</v>
      </c>
      <c r="C684" t="s">
        <v>157</v>
      </c>
      <c r="D684" t="s">
        <v>55</v>
      </c>
      <c r="E684" t="s">
        <v>56</v>
      </c>
      <c r="F684" t="s">
        <v>279</v>
      </c>
      <c r="G684" s="53">
        <v>44259.815057870372</v>
      </c>
      <c r="H684">
        <v>33</v>
      </c>
      <c r="I684">
        <v>17645</v>
      </c>
      <c r="J684" t="s">
        <v>50</v>
      </c>
      <c r="K684" t="s">
        <v>50</v>
      </c>
      <c r="L684" t="s">
        <v>159</v>
      </c>
      <c r="M684" t="s">
        <v>51</v>
      </c>
      <c r="N684" t="s">
        <v>92</v>
      </c>
      <c r="O684" s="1">
        <v>41335</v>
      </c>
      <c r="P684" t="s">
        <v>84</v>
      </c>
      <c r="Q684">
        <v>4</v>
      </c>
      <c r="R684" t="s">
        <v>27</v>
      </c>
      <c r="S684">
        <v>2674.997464</v>
      </c>
      <c r="T684">
        <v>0</v>
      </c>
      <c r="U684">
        <v>0</v>
      </c>
    </row>
    <row r="685" spans="1:21" x14ac:dyDescent="0.25">
      <c r="A685" s="1">
        <v>44228</v>
      </c>
      <c r="B685" s="1">
        <v>44228</v>
      </c>
      <c r="C685" t="s">
        <v>157</v>
      </c>
      <c r="D685" t="s">
        <v>48</v>
      </c>
      <c r="E685" t="s">
        <v>49</v>
      </c>
      <c r="F685" t="s">
        <v>277</v>
      </c>
      <c r="G685" s="53">
        <v>44259.815057870372</v>
      </c>
      <c r="H685">
        <v>33</v>
      </c>
      <c r="I685">
        <v>17645</v>
      </c>
      <c r="J685" t="s">
        <v>50</v>
      </c>
      <c r="K685" t="s">
        <v>50</v>
      </c>
      <c r="L685" t="s">
        <v>159</v>
      </c>
      <c r="M685" t="s">
        <v>51</v>
      </c>
      <c r="N685" t="s">
        <v>92</v>
      </c>
      <c r="O685" s="1">
        <v>41335</v>
      </c>
      <c r="P685" t="s">
        <v>84</v>
      </c>
      <c r="Q685">
        <v>4</v>
      </c>
      <c r="R685" t="s">
        <v>27</v>
      </c>
      <c r="S685">
        <v>2674.997464</v>
      </c>
      <c r="T685">
        <v>80.213999999999999</v>
      </c>
      <c r="U685">
        <v>214572</v>
      </c>
    </row>
    <row r="686" spans="1:21" x14ac:dyDescent="0.25">
      <c r="A686" s="1">
        <v>44228</v>
      </c>
      <c r="B686" s="1">
        <v>44228</v>
      </c>
      <c r="C686" t="s">
        <v>157</v>
      </c>
      <c r="D686" t="s">
        <v>93</v>
      </c>
      <c r="E686" t="s">
        <v>49</v>
      </c>
      <c r="F686" t="s">
        <v>278</v>
      </c>
      <c r="G686" s="53">
        <v>44302.769236111111</v>
      </c>
      <c r="H686">
        <v>33</v>
      </c>
      <c r="I686" t="s">
        <v>349</v>
      </c>
      <c r="J686" t="s">
        <v>50</v>
      </c>
      <c r="K686" t="s">
        <v>50</v>
      </c>
      <c r="L686" t="s">
        <v>159</v>
      </c>
      <c r="M686" t="s">
        <v>51</v>
      </c>
      <c r="N686" t="s">
        <v>92</v>
      </c>
      <c r="O686" s="1">
        <v>41335</v>
      </c>
      <c r="P686" t="s">
        <v>84</v>
      </c>
      <c r="Q686">
        <v>5</v>
      </c>
      <c r="R686" t="s">
        <v>28</v>
      </c>
      <c r="S686">
        <v>1</v>
      </c>
      <c r="T686">
        <v>3</v>
      </c>
      <c r="U686">
        <v>3</v>
      </c>
    </row>
    <row r="687" spans="1:21" x14ac:dyDescent="0.25">
      <c r="A687" s="1">
        <v>44228</v>
      </c>
      <c r="B687" s="1">
        <v>44228</v>
      </c>
      <c r="C687" t="s">
        <v>157</v>
      </c>
      <c r="D687" t="s">
        <v>52</v>
      </c>
      <c r="E687" t="s">
        <v>53</v>
      </c>
      <c r="F687" t="s">
        <v>276</v>
      </c>
      <c r="G687" s="53">
        <v>44259.815057870372</v>
      </c>
      <c r="H687">
        <v>33</v>
      </c>
      <c r="I687">
        <v>17645</v>
      </c>
      <c r="J687" t="s">
        <v>50</v>
      </c>
      <c r="K687" t="s">
        <v>50</v>
      </c>
      <c r="L687" t="s">
        <v>159</v>
      </c>
      <c r="M687" t="s">
        <v>51</v>
      </c>
      <c r="N687" t="s">
        <v>92</v>
      </c>
      <c r="O687" s="1">
        <v>41335</v>
      </c>
      <c r="P687" t="s">
        <v>84</v>
      </c>
      <c r="Q687">
        <v>5</v>
      </c>
      <c r="R687" t="s">
        <v>28</v>
      </c>
      <c r="S687">
        <v>0</v>
      </c>
      <c r="T687">
        <v>0</v>
      </c>
      <c r="U687">
        <v>0</v>
      </c>
    </row>
    <row r="688" spans="1:21" x14ac:dyDescent="0.25">
      <c r="A688" s="1">
        <v>44228</v>
      </c>
      <c r="B688" s="1">
        <v>44228</v>
      </c>
      <c r="C688" t="s">
        <v>157</v>
      </c>
      <c r="D688" t="s">
        <v>54</v>
      </c>
      <c r="E688" t="s">
        <v>21</v>
      </c>
      <c r="F688" t="s">
        <v>275</v>
      </c>
      <c r="G688" s="53">
        <v>44259.815057870372</v>
      </c>
      <c r="H688">
        <v>33</v>
      </c>
      <c r="I688">
        <v>17645</v>
      </c>
      <c r="J688" t="s">
        <v>50</v>
      </c>
      <c r="K688" t="s">
        <v>50</v>
      </c>
      <c r="L688" t="s">
        <v>159</v>
      </c>
      <c r="M688" t="s">
        <v>51</v>
      </c>
      <c r="N688" t="s">
        <v>92</v>
      </c>
      <c r="O688" s="1">
        <v>41335</v>
      </c>
      <c r="P688" t="s">
        <v>84</v>
      </c>
      <c r="Q688">
        <v>5</v>
      </c>
      <c r="R688" t="s">
        <v>28</v>
      </c>
      <c r="S688">
        <v>0</v>
      </c>
      <c r="T688">
        <v>5963.28</v>
      </c>
      <c r="U688">
        <v>0</v>
      </c>
    </row>
    <row r="689" spans="1:21" x14ac:dyDescent="0.25">
      <c r="A689" s="1">
        <v>44228</v>
      </c>
      <c r="B689" s="1">
        <v>44228</v>
      </c>
      <c r="C689" t="s">
        <v>157</v>
      </c>
      <c r="D689" t="s">
        <v>55</v>
      </c>
      <c r="E689" t="s">
        <v>56</v>
      </c>
      <c r="F689" t="s">
        <v>279</v>
      </c>
      <c r="G689" s="53">
        <v>44259.815057870372</v>
      </c>
      <c r="H689">
        <v>33</v>
      </c>
      <c r="I689">
        <v>17645</v>
      </c>
      <c r="J689" t="s">
        <v>50</v>
      </c>
      <c r="K689" t="s">
        <v>50</v>
      </c>
      <c r="L689" t="s">
        <v>159</v>
      </c>
      <c r="M689" t="s">
        <v>51</v>
      </c>
      <c r="N689" t="s">
        <v>92</v>
      </c>
      <c r="O689" s="1">
        <v>41335</v>
      </c>
      <c r="P689" t="s">
        <v>84</v>
      </c>
      <c r="Q689">
        <v>5</v>
      </c>
      <c r="R689" t="s">
        <v>28</v>
      </c>
      <c r="S689">
        <v>7.8341200000000004</v>
      </c>
      <c r="T689">
        <v>0</v>
      </c>
      <c r="U689">
        <v>0</v>
      </c>
    </row>
    <row r="690" spans="1:21" x14ac:dyDescent="0.25">
      <c r="A690" s="1">
        <v>44228</v>
      </c>
      <c r="B690" s="1">
        <v>44228</v>
      </c>
      <c r="C690" t="s">
        <v>157</v>
      </c>
      <c r="D690" t="s">
        <v>48</v>
      </c>
      <c r="E690" t="s">
        <v>49</v>
      </c>
      <c r="F690" t="s">
        <v>277</v>
      </c>
      <c r="G690" s="53">
        <v>44259.815057870372</v>
      </c>
      <c r="H690">
        <v>33</v>
      </c>
      <c r="I690">
        <v>17645</v>
      </c>
      <c r="J690" t="s">
        <v>50</v>
      </c>
      <c r="K690" t="s">
        <v>50</v>
      </c>
      <c r="L690" t="s">
        <v>159</v>
      </c>
      <c r="M690" t="s">
        <v>51</v>
      </c>
      <c r="N690" t="s">
        <v>92</v>
      </c>
      <c r="O690" s="1">
        <v>41335</v>
      </c>
      <c r="P690" t="s">
        <v>84</v>
      </c>
      <c r="Q690">
        <v>5</v>
      </c>
      <c r="R690" t="s">
        <v>28</v>
      </c>
      <c r="S690">
        <v>7.8341200000000004</v>
      </c>
      <c r="T690">
        <v>86.617999999999995</v>
      </c>
      <c r="U690">
        <v>679</v>
      </c>
    </row>
    <row r="691" spans="1:21" x14ac:dyDescent="0.25">
      <c r="A691" s="1">
        <v>44256</v>
      </c>
      <c r="B691" s="1">
        <v>44256</v>
      </c>
      <c r="C691" t="s">
        <v>157</v>
      </c>
      <c r="D691" t="s">
        <v>54</v>
      </c>
      <c r="E691" t="s">
        <v>21</v>
      </c>
      <c r="F691" t="s">
        <v>280</v>
      </c>
      <c r="G691" s="53">
        <v>44294.484247685185</v>
      </c>
      <c r="H691">
        <v>33</v>
      </c>
      <c r="I691">
        <v>18264</v>
      </c>
      <c r="J691" t="s">
        <v>50</v>
      </c>
      <c r="K691" t="s">
        <v>50</v>
      </c>
      <c r="L691" t="s">
        <v>159</v>
      </c>
      <c r="M691" t="s">
        <v>51</v>
      </c>
      <c r="N691" t="s">
        <v>92</v>
      </c>
      <c r="O691" s="1">
        <v>41335</v>
      </c>
      <c r="P691" t="s">
        <v>84</v>
      </c>
      <c r="Q691">
        <v>1</v>
      </c>
      <c r="R691" t="s">
        <v>83</v>
      </c>
      <c r="S691">
        <v>0</v>
      </c>
      <c r="T691">
        <v>5914.4219999999996</v>
      </c>
      <c r="U691">
        <v>0</v>
      </c>
    </row>
    <row r="692" spans="1:21" x14ac:dyDescent="0.25">
      <c r="A692" s="1">
        <v>44256</v>
      </c>
      <c r="B692" s="1">
        <v>44256</v>
      </c>
      <c r="C692" t="s">
        <v>157</v>
      </c>
      <c r="D692" t="s">
        <v>55</v>
      </c>
      <c r="E692" t="s">
        <v>56</v>
      </c>
      <c r="F692" t="s">
        <v>281</v>
      </c>
      <c r="G692" s="53">
        <v>44294.484247685185</v>
      </c>
      <c r="H692">
        <v>33</v>
      </c>
      <c r="I692">
        <v>18264</v>
      </c>
      <c r="J692" t="s">
        <v>50</v>
      </c>
      <c r="K692" t="s">
        <v>50</v>
      </c>
      <c r="L692" t="s">
        <v>159</v>
      </c>
      <c r="M692" t="s">
        <v>51</v>
      </c>
      <c r="N692" t="s">
        <v>92</v>
      </c>
      <c r="O692" s="1">
        <v>41335</v>
      </c>
      <c r="P692" t="s">
        <v>84</v>
      </c>
      <c r="Q692">
        <v>1</v>
      </c>
      <c r="R692" t="s">
        <v>83</v>
      </c>
      <c r="S692">
        <v>2429.5084940000002</v>
      </c>
      <c r="T692">
        <v>0</v>
      </c>
      <c r="U692">
        <v>0</v>
      </c>
    </row>
    <row r="693" spans="1:21" x14ac:dyDescent="0.25">
      <c r="A693" s="1">
        <v>44256</v>
      </c>
      <c r="B693" s="1">
        <v>44256</v>
      </c>
      <c r="C693" t="s">
        <v>157</v>
      </c>
      <c r="D693" t="s">
        <v>48</v>
      </c>
      <c r="E693" t="s">
        <v>49</v>
      </c>
      <c r="F693" t="s">
        <v>282</v>
      </c>
      <c r="G693" s="53">
        <v>44294.484247685185</v>
      </c>
      <c r="H693">
        <v>33</v>
      </c>
      <c r="I693">
        <v>18264</v>
      </c>
      <c r="J693" t="s">
        <v>50</v>
      </c>
      <c r="K693" t="s">
        <v>50</v>
      </c>
      <c r="L693" t="s">
        <v>159</v>
      </c>
      <c r="M693" t="s">
        <v>51</v>
      </c>
      <c r="N693" t="s">
        <v>92</v>
      </c>
      <c r="O693" s="1">
        <v>41335</v>
      </c>
      <c r="P693" t="s">
        <v>84</v>
      </c>
      <c r="Q693">
        <v>1</v>
      </c>
      <c r="R693" t="s">
        <v>83</v>
      </c>
      <c r="S693">
        <v>2429.5084940000002</v>
      </c>
      <c r="T693">
        <v>85.203000000000003</v>
      </c>
      <c r="U693">
        <v>207001</v>
      </c>
    </row>
    <row r="694" spans="1:21" x14ac:dyDescent="0.25">
      <c r="A694" s="1">
        <v>44256</v>
      </c>
      <c r="B694" s="1">
        <v>44256</v>
      </c>
      <c r="C694" t="s">
        <v>157</v>
      </c>
      <c r="D694" t="s">
        <v>52</v>
      </c>
      <c r="E694" t="s">
        <v>53</v>
      </c>
      <c r="F694" t="s">
        <v>283</v>
      </c>
      <c r="G694" s="53">
        <v>44294.484247685185</v>
      </c>
      <c r="H694">
        <v>33</v>
      </c>
      <c r="I694">
        <v>18264</v>
      </c>
      <c r="J694" t="s">
        <v>50</v>
      </c>
      <c r="K694" t="s">
        <v>50</v>
      </c>
      <c r="L694" t="s">
        <v>159</v>
      </c>
      <c r="M694" t="s">
        <v>51</v>
      </c>
      <c r="N694" t="s">
        <v>92</v>
      </c>
      <c r="O694" s="1">
        <v>41335</v>
      </c>
      <c r="P694" t="s">
        <v>84</v>
      </c>
      <c r="Q694">
        <v>1</v>
      </c>
      <c r="R694" t="s">
        <v>83</v>
      </c>
      <c r="S694">
        <v>0</v>
      </c>
      <c r="T694">
        <v>1547.9605300000001</v>
      </c>
      <c r="U694">
        <v>1548</v>
      </c>
    </row>
    <row r="695" spans="1:21" x14ac:dyDescent="0.25">
      <c r="A695" s="1">
        <v>44256</v>
      </c>
      <c r="B695" s="1">
        <v>44256</v>
      </c>
      <c r="C695" t="s">
        <v>157</v>
      </c>
      <c r="D695" t="s">
        <v>93</v>
      </c>
      <c r="E695" t="s">
        <v>49</v>
      </c>
      <c r="F695" t="s">
        <v>284</v>
      </c>
      <c r="G695" s="53">
        <v>44327.522789351853</v>
      </c>
      <c r="H695">
        <v>33</v>
      </c>
      <c r="I695" t="s">
        <v>349</v>
      </c>
      <c r="J695" t="s">
        <v>50</v>
      </c>
      <c r="K695" t="s">
        <v>50</v>
      </c>
      <c r="L695" t="s">
        <v>159</v>
      </c>
      <c r="M695" t="s">
        <v>51</v>
      </c>
      <c r="N695" t="s">
        <v>92</v>
      </c>
      <c r="O695" s="1">
        <v>41335</v>
      </c>
      <c r="P695" t="s">
        <v>84</v>
      </c>
      <c r="Q695">
        <v>1</v>
      </c>
      <c r="R695" t="s">
        <v>83</v>
      </c>
      <c r="S695">
        <v>1</v>
      </c>
      <c r="T695">
        <v>1933</v>
      </c>
      <c r="U695">
        <v>1933</v>
      </c>
    </row>
    <row r="696" spans="1:21" x14ac:dyDescent="0.25">
      <c r="A696" s="1">
        <v>44256</v>
      </c>
      <c r="B696" s="1">
        <v>44256</v>
      </c>
      <c r="C696" t="s">
        <v>157</v>
      </c>
      <c r="D696" t="s">
        <v>48</v>
      </c>
      <c r="E696" t="s">
        <v>49</v>
      </c>
      <c r="F696" t="s">
        <v>282</v>
      </c>
      <c r="G696" s="53">
        <v>44294.484247685185</v>
      </c>
      <c r="H696">
        <v>33</v>
      </c>
      <c r="I696">
        <v>18264</v>
      </c>
      <c r="J696" t="s">
        <v>50</v>
      </c>
      <c r="K696" t="s">
        <v>50</v>
      </c>
      <c r="L696" t="s">
        <v>159</v>
      </c>
      <c r="M696" t="s">
        <v>51</v>
      </c>
      <c r="N696" t="s">
        <v>92</v>
      </c>
      <c r="O696" s="1">
        <v>41335</v>
      </c>
      <c r="P696" t="s">
        <v>84</v>
      </c>
      <c r="Q696">
        <v>2</v>
      </c>
      <c r="R696" t="s">
        <v>94</v>
      </c>
      <c r="S696">
        <v>8.2069919999999996</v>
      </c>
      <c r="T696">
        <v>86.819000000000003</v>
      </c>
      <c r="U696">
        <v>713</v>
      </c>
    </row>
    <row r="697" spans="1:21" x14ac:dyDescent="0.25">
      <c r="A697" s="1">
        <v>44256</v>
      </c>
      <c r="B697" s="1">
        <v>44256</v>
      </c>
      <c r="C697" t="s">
        <v>157</v>
      </c>
      <c r="D697" t="s">
        <v>93</v>
      </c>
      <c r="E697" t="s">
        <v>49</v>
      </c>
      <c r="F697" t="s">
        <v>284</v>
      </c>
      <c r="G697" s="53">
        <v>44327.522789351853</v>
      </c>
      <c r="H697">
        <v>33</v>
      </c>
      <c r="I697" t="s">
        <v>349</v>
      </c>
      <c r="J697" t="s">
        <v>50</v>
      </c>
      <c r="K697" t="s">
        <v>50</v>
      </c>
      <c r="L697" t="s">
        <v>159</v>
      </c>
      <c r="M697" t="s">
        <v>51</v>
      </c>
      <c r="N697" t="s">
        <v>92</v>
      </c>
      <c r="O697" s="1">
        <v>41335</v>
      </c>
      <c r="P697" t="s">
        <v>84</v>
      </c>
      <c r="Q697">
        <v>2</v>
      </c>
      <c r="R697" t="s">
        <v>94</v>
      </c>
      <c r="S697">
        <v>1</v>
      </c>
      <c r="T697">
        <v>6</v>
      </c>
      <c r="U697">
        <v>6</v>
      </c>
    </row>
    <row r="698" spans="1:21" x14ac:dyDescent="0.25">
      <c r="A698" s="1">
        <v>44256</v>
      </c>
      <c r="B698" s="1">
        <v>44256</v>
      </c>
      <c r="C698" t="s">
        <v>157</v>
      </c>
      <c r="D698" t="s">
        <v>55</v>
      </c>
      <c r="E698" t="s">
        <v>56</v>
      </c>
      <c r="F698" t="s">
        <v>281</v>
      </c>
      <c r="G698" s="53">
        <v>44294.484247685185</v>
      </c>
      <c r="H698">
        <v>33</v>
      </c>
      <c r="I698">
        <v>18264</v>
      </c>
      <c r="J698" t="s">
        <v>50</v>
      </c>
      <c r="K698" t="s">
        <v>50</v>
      </c>
      <c r="L698" t="s">
        <v>159</v>
      </c>
      <c r="M698" t="s">
        <v>51</v>
      </c>
      <c r="N698" t="s">
        <v>92</v>
      </c>
      <c r="O698" s="1">
        <v>41335</v>
      </c>
      <c r="P698" t="s">
        <v>84</v>
      </c>
      <c r="Q698">
        <v>2</v>
      </c>
      <c r="R698" t="s">
        <v>94</v>
      </c>
      <c r="S698">
        <v>8.2069919999999996</v>
      </c>
      <c r="T698">
        <v>0</v>
      </c>
      <c r="U698">
        <v>0</v>
      </c>
    </row>
    <row r="699" spans="1:21" x14ac:dyDescent="0.25">
      <c r="A699" s="1">
        <v>44256</v>
      </c>
      <c r="B699" s="1">
        <v>44256</v>
      </c>
      <c r="C699" t="s">
        <v>157</v>
      </c>
      <c r="D699" t="s">
        <v>52</v>
      </c>
      <c r="E699" t="s">
        <v>53</v>
      </c>
      <c r="F699" t="s">
        <v>283</v>
      </c>
      <c r="G699" s="53">
        <v>44294.484247685185</v>
      </c>
      <c r="H699">
        <v>33</v>
      </c>
      <c r="I699">
        <v>18264</v>
      </c>
      <c r="J699" t="s">
        <v>50</v>
      </c>
      <c r="K699" t="s">
        <v>50</v>
      </c>
      <c r="L699" t="s">
        <v>159</v>
      </c>
      <c r="M699" t="s">
        <v>51</v>
      </c>
      <c r="N699" t="s">
        <v>92</v>
      </c>
      <c r="O699" s="1">
        <v>41335</v>
      </c>
      <c r="P699" t="s">
        <v>84</v>
      </c>
      <c r="Q699">
        <v>2</v>
      </c>
      <c r="R699" t="s">
        <v>94</v>
      </c>
      <c r="S699">
        <v>0</v>
      </c>
      <c r="T699">
        <v>0</v>
      </c>
      <c r="U699">
        <v>0</v>
      </c>
    </row>
    <row r="700" spans="1:21" x14ac:dyDescent="0.25">
      <c r="A700" s="1">
        <v>44256</v>
      </c>
      <c r="B700" s="1">
        <v>44256</v>
      </c>
      <c r="C700" t="s">
        <v>157</v>
      </c>
      <c r="D700" t="s">
        <v>54</v>
      </c>
      <c r="E700" t="s">
        <v>21</v>
      </c>
      <c r="F700" t="s">
        <v>280</v>
      </c>
      <c r="G700" s="53">
        <v>44294.484247685185</v>
      </c>
      <c r="H700">
        <v>33</v>
      </c>
      <c r="I700">
        <v>18264</v>
      </c>
      <c r="J700" t="s">
        <v>50</v>
      </c>
      <c r="K700" t="s">
        <v>50</v>
      </c>
      <c r="L700" t="s">
        <v>159</v>
      </c>
      <c r="M700" t="s">
        <v>51</v>
      </c>
      <c r="N700" t="s">
        <v>92</v>
      </c>
      <c r="O700" s="1">
        <v>41335</v>
      </c>
      <c r="P700" t="s">
        <v>84</v>
      </c>
      <c r="Q700">
        <v>2</v>
      </c>
      <c r="R700" t="s">
        <v>94</v>
      </c>
      <c r="S700">
        <v>0</v>
      </c>
      <c r="T700">
        <v>6007.3739999999998</v>
      </c>
      <c r="U700">
        <v>0</v>
      </c>
    </row>
    <row r="701" spans="1:21" x14ac:dyDescent="0.25">
      <c r="A701" s="1">
        <v>44256</v>
      </c>
      <c r="B701" s="1">
        <v>44256</v>
      </c>
      <c r="C701" t="s">
        <v>157</v>
      </c>
      <c r="D701" t="s">
        <v>52</v>
      </c>
      <c r="E701" t="s">
        <v>53</v>
      </c>
      <c r="F701" t="s">
        <v>283</v>
      </c>
      <c r="G701" s="53">
        <v>44294.484247685185</v>
      </c>
      <c r="H701">
        <v>33</v>
      </c>
      <c r="I701">
        <v>18264</v>
      </c>
      <c r="J701" t="s">
        <v>50</v>
      </c>
      <c r="K701" t="s">
        <v>50</v>
      </c>
      <c r="L701" t="s">
        <v>159</v>
      </c>
      <c r="M701" t="s">
        <v>51</v>
      </c>
      <c r="N701" t="s">
        <v>92</v>
      </c>
      <c r="O701" s="1">
        <v>41335</v>
      </c>
      <c r="P701" t="s">
        <v>84</v>
      </c>
      <c r="Q701">
        <v>3</v>
      </c>
      <c r="R701" t="s">
        <v>81</v>
      </c>
      <c r="S701">
        <v>0</v>
      </c>
      <c r="T701">
        <v>0</v>
      </c>
      <c r="U701">
        <v>0</v>
      </c>
    </row>
    <row r="702" spans="1:21" x14ac:dyDescent="0.25">
      <c r="A702" s="1">
        <v>44256</v>
      </c>
      <c r="B702" s="1">
        <v>44256</v>
      </c>
      <c r="C702" t="s">
        <v>157</v>
      </c>
      <c r="D702" t="s">
        <v>48</v>
      </c>
      <c r="E702" t="s">
        <v>49</v>
      </c>
      <c r="F702" t="s">
        <v>282</v>
      </c>
      <c r="G702" s="53">
        <v>44294.484247685185</v>
      </c>
      <c r="H702">
        <v>33</v>
      </c>
      <c r="I702">
        <v>18264</v>
      </c>
      <c r="J702" t="s">
        <v>50</v>
      </c>
      <c r="K702" t="s">
        <v>50</v>
      </c>
      <c r="L702" t="s">
        <v>159</v>
      </c>
      <c r="M702" t="s">
        <v>51</v>
      </c>
      <c r="N702" t="s">
        <v>92</v>
      </c>
      <c r="O702" s="1">
        <v>41335</v>
      </c>
      <c r="P702" t="s">
        <v>84</v>
      </c>
      <c r="Q702">
        <v>3</v>
      </c>
      <c r="R702" t="s">
        <v>81</v>
      </c>
      <c r="S702">
        <v>266.55027999999999</v>
      </c>
      <c r="T702">
        <v>78.597999999999999</v>
      </c>
      <c r="U702">
        <v>20950</v>
      </c>
    </row>
    <row r="703" spans="1:21" x14ac:dyDescent="0.25">
      <c r="A703" s="1">
        <v>44256</v>
      </c>
      <c r="B703" s="1">
        <v>44256</v>
      </c>
      <c r="C703" t="s">
        <v>157</v>
      </c>
      <c r="D703" t="s">
        <v>93</v>
      </c>
      <c r="E703" t="s">
        <v>49</v>
      </c>
      <c r="F703" t="s">
        <v>284</v>
      </c>
      <c r="G703" s="53">
        <v>44327.522789351853</v>
      </c>
      <c r="H703">
        <v>33</v>
      </c>
      <c r="I703" t="s">
        <v>349</v>
      </c>
      <c r="J703" t="s">
        <v>50</v>
      </c>
      <c r="K703" t="s">
        <v>50</v>
      </c>
      <c r="L703" t="s">
        <v>159</v>
      </c>
      <c r="M703" t="s">
        <v>51</v>
      </c>
      <c r="N703" t="s">
        <v>92</v>
      </c>
      <c r="O703" s="1">
        <v>41335</v>
      </c>
      <c r="P703" t="s">
        <v>84</v>
      </c>
      <c r="Q703">
        <v>3</v>
      </c>
      <c r="R703" t="s">
        <v>81</v>
      </c>
      <c r="S703">
        <v>1</v>
      </c>
      <c r="T703">
        <v>196</v>
      </c>
      <c r="U703">
        <v>196</v>
      </c>
    </row>
    <row r="704" spans="1:21" x14ac:dyDescent="0.25">
      <c r="A704" s="1">
        <v>44256</v>
      </c>
      <c r="B704" s="1">
        <v>44256</v>
      </c>
      <c r="C704" t="s">
        <v>157</v>
      </c>
      <c r="D704" t="s">
        <v>54</v>
      </c>
      <c r="E704" t="s">
        <v>21</v>
      </c>
      <c r="F704" t="s">
        <v>280</v>
      </c>
      <c r="G704" s="53">
        <v>44294.484247685185</v>
      </c>
      <c r="H704">
        <v>33</v>
      </c>
      <c r="I704">
        <v>18264</v>
      </c>
      <c r="J704" t="s">
        <v>50</v>
      </c>
      <c r="K704" t="s">
        <v>50</v>
      </c>
      <c r="L704" t="s">
        <v>159</v>
      </c>
      <c r="M704" t="s">
        <v>51</v>
      </c>
      <c r="N704" t="s">
        <v>92</v>
      </c>
      <c r="O704" s="1">
        <v>41335</v>
      </c>
      <c r="P704" t="s">
        <v>84</v>
      </c>
      <c r="Q704">
        <v>3</v>
      </c>
      <c r="R704" t="s">
        <v>81</v>
      </c>
      <c r="S704">
        <v>0</v>
      </c>
      <c r="T704">
        <v>5302.482</v>
      </c>
      <c r="U704">
        <v>0</v>
      </c>
    </row>
    <row r="705" spans="1:21" x14ac:dyDescent="0.25">
      <c r="A705" s="1">
        <v>44256</v>
      </c>
      <c r="B705" s="1">
        <v>44256</v>
      </c>
      <c r="C705" t="s">
        <v>157</v>
      </c>
      <c r="D705" t="s">
        <v>55</v>
      </c>
      <c r="E705" t="s">
        <v>56</v>
      </c>
      <c r="F705" t="s">
        <v>281</v>
      </c>
      <c r="G705" s="53">
        <v>44294.484247685185</v>
      </c>
      <c r="H705">
        <v>33</v>
      </c>
      <c r="I705">
        <v>18264</v>
      </c>
      <c r="J705" t="s">
        <v>50</v>
      </c>
      <c r="K705" t="s">
        <v>50</v>
      </c>
      <c r="L705" t="s">
        <v>159</v>
      </c>
      <c r="M705" t="s">
        <v>51</v>
      </c>
      <c r="N705" t="s">
        <v>92</v>
      </c>
      <c r="O705" s="1">
        <v>41335</v>
      </c>
      <c r="P705" t="s">
        <v>84</v>
      </c>
      <c r="Q705">
        <v>3</v>
      </c>
      <c r="R705" t="s">
        <v>81</v>
      </c>
      <c r="S705">
        <v>266.55027999999999</v>
      </c>
      <c r="T705">
        <v>0</v>
      </c>
      <c r="U705">
        <v>0</v>
      </c>
    </row>
    <row r="706" spans="1:21" x14ac:dyDescent="0.25">
      <c r="A706" s="1">
        <v>44256</v>
      </c>
      <c r="B706" s="1">
        <v>44256</v>
      </c>
      <c r="C706" t="s">
        <v>157</v>
      </c>
      <c r="D706" t="s">
        <v>52</v>
      </c>
      <c r="E706" t="s">
        <v>53</v>
      </c>
      <c r="F706" t="s">
        <v>283</v>
      </c>
      <c r="G706" s="53">
        <v>44294.484247685185</v>
      </c>
      <c r="H706">
        <v>33</v>
      </c>
      <c r="I706">
        <v>18264</v>
      </c>
      <c r="J706" t="s">
        <v>50</v>
      </c>
      <c r="K706" t="s">
        <v>50</v>
      </c>
      <c r="L706" t="s">
        <v>159</v>
      </c>
      <c r="M706" t="s">
        <v>51</v>
      </c>
      <c r="N706" t="s">
        <v>92</v>
      </c>
      <c r="O706" s="1">
        <v>41335</v>
      </c>
      <c r="P706" t="s">
        <v>84</v>
      </c>
      <c r="Q706">
        <v>4</v>
      </c>
      <c r="R706" t="s">
        <v>27</v>
      </c>
      <c r="S706">
        <v>0</v>
      </c>
      <c r="T706">
        <v>0</v>
      </c>
      <c r="U706">
        <v>0</v>
      </c>
    </row>
    <row r="707" spans="1:21" x14ac:dyDescent="0.25">
      <c r="A707" s="1">
        <v>44256</v>
      </c>
      <c r="B707" s="1">
        <v>44256</v>
      </c>
      <c r="C707" t="s">
        <v>157</v>
      </c>
      <c r="D707" t="s">
        <v>55</v>
      </c>
      <c r="E707" t="s">
        <v>56</v>
      </c>
      <c r="F707" t="s">
        <v>281</v>
      </c>
      <c r="G707" s="53">
        <v>44294.484247685185</v>
      </c>
      <c r="H707">
        <v>33</v>
      </c>
      <c r="I707">
        <v>18264</v>
      </c>
      <c r="J707" t="s">
        <v>50</v>
      </c>
      <c r="K707" t="s">
        <v>50</v>
      </c>
      <c r="L707" t="s">
        <v>159</v>
      </c>
      <c r="M707" t="s">
        <v>51</v>
      </c>
      <c r="N707" t="s">
        <v>92</v>
      </c>
      <c r="O707" s="1">
        <v>41335</v>
      </c>
      <c r="P707" t="s">
        <v>84</v>
      </c>
      <c r="Q707">
        <v>4</v>
      </c>
      <c r="R707" t="s">
        <v>27</v>
      </c>
      <c r="S707">
        <v>3026.9486430000002</v>
      </c>
      <c r="T707">
        <v>0</v>
      </c>
      <c r="U707">
        <v>0</v>
      </c>
    </row>
    <row r="708" spans="1:21" x14ac:dyDescent="0.25">
      <c r="A708" s="1">
        <v>44256</v>
      </c>
      <c r="B708" s="1">
        <v>44256</v>
      </c>
      <c r="C708" t="s">
        <v>157</v>
      </c>
      <c r="D708" t="s">
        <v>93</v>
      </c>
      <c r="E708" t="s">
        <v>49</v>
      </c>
      <c r="F708" t="s">
        <v>284</v>
      </c>
      <c r="G708" s="53">
        <v>44327.522789351853</v>
      </c>
      <c r="H708">
        <v>33</v>
      </c>
      <c r="I708" t="s">
        <v>349</v>
      </c>
      <c r="J708" t="s">
        <v>50</v>
      </c>
      <c r="K708" t="s">
        <v>50</v>
      </c>
      <c r="L708" t="s">
        <v>159</v>
      </c>
      <c r="M708" t="s">
        <v>51</v>
      </c>
      <c r="N708" t="s">
        <v>92</v>
      </c>
      <c r="O708" s="1">
        <v>41335</v>
      </c>
      <c r="P708" t="s">
        <v>84</v>
      </c>
      <c r="Q708">
        <v>4</v>
      </c>
      <c r="R708" t="s">
        <v>27</v>
      </c>
      <c r="S708">
        <v>1</v>
      </c>
      <c r="T708">
        <v>2266</v>
      </c>
      <c r="U708">
        <v>2266</v>
      </c>
    </row>
    <row r="709" spans="1:21" x14ac:dyDescent="0.25">
      <c r="A709" s="1">
        <v>44256</v>
      </c>
      <c r="B709" s="1">
        <v>44256</v>
      </c>
      <c r="C709" t="s">
        <v>157</v>
      </c>
      <c r="D709" t="s">
        <v>48</v>
      </c>
      <c r="E709" t="s">
        <v>49</v>
      </c>
      <c r="F709" t="s">
        <v>282</v>
      </c>
      <c r="G709" s="53">
        <v>44294.484247685185</v>
      </c>
      <c r="H709">
        <v>33</v>
      </c>
      <c r="I709">
        <v>18264</v>
      </c>
      <c r="J709" t="s">
        <v>50</v>
      </c>
      <c r="K709" t="s">
        <v>50</v>
      </c>
      <c r="L709" t="s">
        <v>159</v>
      </c>
      <c r="M709" t="s">
        <v>51</v>
      </c>
      <c r="N709" t="s">
        <v>92</v>
      </c>
      <c r="O709" s="1">
        <v>41335</v>
      </c>
      <c r="P709" t="s">
        <v>84</v>
      </c>
      <c r="Q709">
        <v>4</v>
      </c>
      <c r="R709" t="s">
        <v>27</v>
      </c>
      <c r="S709">
        <v>3026.9486430000002</v>
      </c>
      <c r="T709">
        <v>80.213999999999999</v>
      </c>
      <c r="U709">
        <v>242804</v>
      </c>
    </row>
    <row r="710" spans="1:21" x14ac:dyDescent="0.25">
      <c r="A710" s="1">
        <v>44256</v>
      </c>
      <c r="B710" s="1">
        <v>44256</v>
      </c>
      <c r="C710" t="s">
        <v>157</v>
      </c>
      <c r="D710" t="s">
        <v>54</v>
      </c>
      <c r="E710" t="s">
        <v>21</v>
      </c>
      <c r="F710" t="s">
        <v>280</v>
      </c>
      <c r="G710" s="53">
        <v>44294.484247685185</v>
      </c>
      <c r="H710">
        <v>33</v>
      </c>
      <c r="I710">
        <v>18264</v>
      </c>
      <c r="J710" t="s">
        <v>50</v>
      </c>
      <c r="K710" t="s">
        <v>50</v>
      </c>
      <c r="L710" t="s">
        <v>159</v>
      </c>
      <c r="M710" t="s">
        <v>51</v>
      </c>
      <c r="N710" t="s">
        <v>92</v>
      </c>
      <c r="O710" s="1">
        <v>41335</v>
      </c>
      <c r="P710" t="s">
        <v>84</v>
      </c>
      <c r="Q710">
        <v>4</v>
      </c>
      <c r="R710" t="s">
        <v>27</v>
      </c>
      <c r="S710">
        <v>0</v>
      </c>
      <c r="T710">
        <v>5512.8180000000002</v>
      </c>
      <c r="U710">
        <v>0</v>
      </c>
    </row>
    <row r="711" spans="1:21" x14ac:dyDescent="0.25">
      <c r="A711" s="1">
        <v>44256</v>
      </c>
      <c r="B711" s="1">
        <v>44256</v>
      </c>
      <c r="C711" t="s">
        <v>157</v>
      </c>
      <c r="D711" t="s">
        <v>48</v>
      </c>
      <c r="E711" t="s">
        <v>49</v>
      </c>
      <c r="F711" t="s">
        <v>282</v>
      </c>
      <c r="G711" s="53">
        <v>44294.484247685185</v>
      </c>
      <c r="H711">
        <v>33</v>
      </c>
      <c r="I711">
        <v>18264</v>
      </c>
      <c r="J711" t="s">
        <v>50</v>
      </c>
      <c r="K711" t="s">
        <v>50</v>
      </c>
      <c r="L711" t="s">
        <v>159</v>
      </c>
      <c r="M711" t="s">
        <v>51</v>
      </c>
      <c r="N711" t="s">
        <v>92</v>
      </c>
      <c r="O711" s="1">
        <v>41335</v>
      </c>
      <c r="P711" t="s">
        <v>84</v>
      </c>
      <c r="Q711">
        <v>5</v>
      </c>
      <c r="R711" t="s">
        <v>28</v>
      </c>
      <c r="S711">
        <v>8.8766890000000007</v>
      </c>
      <c r="T711">
        <v>86.617999999999995</v>
      </c>
      <c r="U711">
        <v>769</v>
      </c>
    </row>
    <row r="712" spans="1:21" x14ac:dyDescent="0.25">
      <c r="A712" s="1">
        <v>44256</v>
      </c>
      <c r="B712" s="1">
        <v>44256</v>
      </c>
      <c r="C712" t="s">
        <v>157</v>
      </c>
      <c r="D712" t="s">
        <v>52</v>
      </c>
      <c r="E712" t="s">
        <v>53</v>
      </c>
      <c r="F712" t="s">
        <v>283</v>
      </c>
      <c r="G712" s="53">
        <v>44294.484247685185</v>
      </c>
      <c r="H712">
        <v>33</v>
      </c>
      <c r="I712">
        <v>18264</v>
      </c>
      <c r="J712" t="s">
        <v>50</v>
      </c>
      <c r="K712" t="s">
        <v>50</v>
      </c>
      <c r="L712" t="s">
        <v>159</v>
      </c>
      <c r="M712" t="s">
        <v>51</v>
      </c>
      <c r="N712" t="s">
        <v>92</v>
      </c>
      <c r="O712" s="1">
        <v>41335</v>
      </c>
      <c r="P712" t="s">
        <v>84</v>
      </c>
      <c r="Q712">
        <v>5</v>
      </c>
      <c r="R712" t="s">
        <v>28</v>
      </c>
      <c r="S712">
        <v>0</v>
      </c>
      <c r="T712">
        <v>0</v>
      </c>
      <c r="U712">
        <v>0</v>
      </c>
    </row>
    <row r="713" spans="1:21" x14ac:dyDescent="0.25">
      <c r="A713" s="1">
        <v>44256</v>
      </c>
      <c r="B713" s="1">
        <v>44256</v>
      </c>
      <c r="C713" t="s">
        <v>157</v>
      </c>
      <c r="D713" t="s">
        <v>54</v>
      </c>
      <c r="E713" t="s">
        <v>21</v>
      </c>
      <c r="F713" t="s">
        <v>280</v>
      </c>
      <c r="G713" s="53">
        <v>44294.484247685185</v>
      </c>
      <c r="H713">
        <v>33</v>
      </c>
      <c r="I713">
        <v>18264</v>
      </c>
      <c r="J713" t="s">
        <v>50</v>
      </c>
      <c r="K713" t="s">
        <v>50</v>
      </c>
      <c r="L713" t="s">
        <v>159</v>
      </c>
      <c r="M713" t="s">
        <v>51</v>
      </c>
      <c r="N713" t="s">
        <v>92</v>
      </c>
      <c r="O713" s="1">
        <v>41335</v>
      </c>
      <c r="P713" t="s">
        <v>84</v>
      </c>
      <c r="Q713">
        <v>5</v>
      </c>
      <c r="R713" t="s">
        <v>28</v>
      </c>
      <c r="S713">
        <v>0</v>
      </c>
      <c r="T713">
        <v>5963.2809999999999</v>
      </c>
      <c r="U713">
        <v>0</v>
      </c>
    </row>
    <row r="714" spans="1:21" x14ac:dyDescent="0.25">
      <c r="A714" s="1">
        <v>44256</v>
      </c>
      <c r="B714" s="1">
        <v>44256</v>
      </c>
      <c r="C714" t="s">
        <v>157</v>
      </c>
      <c r="D714" t="s">
        <v>55</v>
      </c>
      <c r="E714" t="s">
        <v>56</v>
      </c>
      <c r="F714" t="s">
        <v>281</v>
      </c>
      <c r="G714" s="53">
        <v>44294.484247685185</v>
      </c>
      <c r="H714">
        <v>33</v>
      </c>
      <c r="I714">
        <v>18264</v>
      </c>
      <c r="J714" t="s">
        <v>50</v>
      </c>
      <c r="K714" t="s">
        <v>50</v>
      </c>
      <c r="L714" t="s">
        <v>159</v>
      </c>
      <c r="M714" t="s">
        <v>51</v>
      </c>
      <c r="N714" t="s">
        <v>92</v>
      </c>
      <c r="O714" s="1">
        <v>41335</v>
      </c>
      <c r="P714" t="s">
        <v>84</v>
      </c>
      <c r="Q714">
        <v>5</v>
      </c>
      <c r="R714" t="s">
        <v>28</v>
      </c>
      <c r="S714">
        <v>8.8766890000000007</v>
      </c>
      <c r="T714">
        <v>0</v>
      </c>
      <c r="U714">
        <v>0</v>
      </c>
    </row>
    <row r="715" spans="1:21" x14ac:dyDescent="0.25">
      <c r="A715" s="1">
        <v>44256</v>
      </c>
      <c r="B715" s="1">
        <v>44256</v>
      </c>
      <c r="C715" t="s">
        <v>157</v>
      </c>
      <c r="D715" t="s">
        <v>93</v>
      </c>
      <c r="E715" t="s">
        <v>49</v>
      </c>
      <c r="F715" t="s">
        <v>284</v>
      </c>
      <c r="G715" s="53">
        <v>44327.522789351853</v>
      </c>
      <c r="H715">
        <v>33</v>
      </c>
      <c r="I715" t="s">
        <v>349</v>
      </c>
      <c r="J715" t="s">
        <v>50</v>
      </c>
      <c r="K715" t="s">
        <v>50</v>
      </c>
      <c r="L715" t="s">
        <v>159</v>
      </c>
      <c r="M715" t="s">
        <v>51</v>
      </c>
      <c r="N715" t="s">
        <v>92</v>
      </c>
      <c r="O715" s="1">
        <v>41335</v>
      </c>
      <c r="P715" t="s">
        <v>84</v>
      </c>
      <c r="Q715">
        <v>5</v>
      </c>
      <c r="R715" t="s">
        <v>28</v>
      </c>
      <c r="S715">
        <v>1</v>
      </c>
      <c r="T715">
        <v>7</v>
      </c>
      <c r="U715">
        <v>7</v>
      </c>
    </row>
    <row r="716" spans="1:21" x14ac:dyDescent="0.25">
      <c r="A716" s="1">
        <v>44287</v>
      </c>
      <c r="B716" s="1">
        <v>44287</v>
      </c>
      <c r="C716" t="s">
        <v>157</v>
      </c>
      <c r="D716" t="s">
        <v>54</v>
      </c>
      <c r="E716" t="s">
        <v>21</v>
      </c>
      <c r="F716" t="s">
        <v>285</v>
      </c>
      <c r="G716" s="53">
        <v>44323.702997685185</v>
      </c>
      <c r="H716">
        <v>33</v>
      </c>
      <c r="I716">
        <v>18700</v>
      </c>
      <c r="J716" t="s">
        <v>50</v>
      </c>
      <c r="K716" t="s">
        <v>50</v>
      </c>
      <c r="L716" t="s">
        <v>159</v>
      </c>
      <c r="M716" t="s">
        <v>51</v>
      </c>
      <c r="N716" t="s">
        <v>92</v>
      </c>
      <c r="O716" s="1">
        <v>41335</v>
      </c>
      <c r="P716" t="s">
        <v>84</v>
      </c>
      <c r="Q716">
        <v>1</v>
      </c>
      <c r="R716" t="s">
        <v>83</v>
      </c>
      <c r="S716">
        <v>0</v>
      </c>
      <c r="T716">
        <v>5914.4219999999996</v>
      </c>
      <c r="U716">
        <v>0</v>
      </c>
    </row>
    <row r="717" spans="1:21" x14ac:dyDescent="0.25">
      <c r="A717" s="1">
        <v>44287</v>
      </c>
      <c r="B717" s="1">
        <v>44287</v>
      </c>
      <c r="C717" t="s">
        <v>157</v>
      </c>
      <c r="D717" t="s">
        <v>48</v>
      </c>
      <c r="E717" t="s">
        <v>49</v>
      </c>
      <c r="F717" t="s">
        <v>286</v>
      </c>
      <c r="G717" s="53">
        <v>44323.702997685185</v>
      </c>
      <c r="H717">
        <v>33</v>
      </c>
      <c r="I717">
        <v>18700</v>
      </c>
      <c r="J717" t="s">
        <v>50</v>
      </c>
      <c r="K717" t="s">
        <v>50</v>
      </c>
      <c r="L717" t="s">
        <v>159</v>
      </c>
      <c r="M717" t="s">
        <v>51</v>
      </c>
      <c r="N717" t="s">
        <v>92</v>
      </c>
      <c r="O717" s="1">
        <v>41335</v>
      </c>
      <c r="P717" t="s">
        <v>84</v>
      </c>
      <c r="Q717">
        <v>1</v>
      </c>
      <c r="R717" t="s">
        <v>83</v>
      </c>
      <c r="S717">
        <v>1898.22228</v>
      </c>
      <c r="T717">
        <v>85.203000000000003</v>
      </c>
      <c r="U717">
        <v>161734</v>
      </c>
    </row>
    <row r="718" spans="1:21" x14ac:dyDescent="0.25">
      <c r="A718" s="1">
        <v>44287</v>
      </c>
      <c r="B718" s="1">
        <v>44287</v>
      </c>
      <c r="C718" t="s">
        <v>157</v>
      </c>
      <c r="D718" t="s">
        <v>55</v>
      </c>
      <c r="E718" t="s">
        <v>56</v>
      </c>
      <c r="F718" t="s">
        <v>287</v>
      </c>
      <c r="G718" s="53">
        <v>44323.702997685185</v>
      </c>
      <c r="H718">
        <v>33</v>
      </c>
      <c r="I718">
        <v>18700</v>
      </c>
      <c r="J718" t="s">
        <v>50</v>
      </c>
      <c r="K718" t="s">
        <v>50</v>
      </c>
      <c r="L718" t="s">
        <v>159</v>
      </c>
      <c r="M718" t="s">
        <v>51</v>
      </c>
      <c r="N718" t="s">
        <v>92</v>
      </c>
      <c r="O718" s="1">
        <v>41335</v>
      </c>
      <c r="P718" t="s">
        <v>84</v>
      </c>
      <c r="Q718">
        <v>1</v>
      </c>
      <c r="R718" t="s">
        <v>83</v>
      </c>
      <c r="S718">
        <v>1898.22228</v>
      </c>
      <c r="T718">
        <v>0</v>
      </c>
      <c r="U718">
        <v>0</v>
      </c>
    </row>
    <row r="719" spans="1:21" x14ac:dyDescent="0.25">
      <c r="A719" s="1">
        <v>44287</v>
      </c>
      <c r="B719" s="1">
        <v>44287</v>
      </c>
      <c r="C719" t="s">
        <v>157</v>
      </c>
      <c r="D719" t="s">
        <v>52</v>
      </c>
      <c r="E719" t="s">
        <v>53</v>
      </c>
      <c r="F719" t="s">
        <v>288</v>
      </c>
      <c r="G719" s="53">
        <v>44323.702997685185</v>
      </c>
      <c r="H719">
        <v>33</v>
      </c>
      <c r="I719">
        <v>18700</v>
      </c>
      <c r="J719" t="s">
        <v>50</v>
      </c>
      <c r="K719" t="s">
        <v>50</v>
      </c>
      <c r="L719" t="s">
        <v>159</v>
      </c>
      <c r="M719" t="s">
        <v>51</v>
      </c>
      <c r="N719" t="s">
        <v>92</v>
      </c>
      <c r="O719" s="1">
        <v>41335</v>
      </c>
      <c r="P719" t="s">
        <v>84</v>
      </c>
      <c r="Q719">
        <v>1</v>
      </c>
      <c r="R719" t="s">
        <v>83</v>
      </c>
      <c r="S719">
        <v>0</v>
      </c>
      <c r="T719">
        <v>28.577739999999999</v>
      </c>
      <c r="U719">
        <v>29</v>
      </c>
    </row>
    <row r="720" spans="1:21" x14ac:dyDescent="0.25">
      <c r="A720" s="1">
        <v>44287</v>
      </c>
      <c r="B720" s="1">
        <v>44287</v>
      </c>
      <c r="C720" t="s">
        <v>157</v>
      </c>
      <c r="D720" t="s">
        <v>48</v>
      </c>
      <c r="E720" t="s">
        <v>49</v>
      </c>
      <c r="F720" t="s">
        <v>286</v>
      </c>
      <c r="G720" s="53">
        <v>44323.702997685185</v>
      </c>
      <c r="H720">
        <v>33</v>
      </c>
      <c r="I720">
        <v>18700</v>
      </c>
      <c r="J720" t="s">
        <v>50</v>
      </c>
      <c r="K720" t="s">
        <v>50</v>
      </c>
      <c r="L720" t="s">
        <v>159</v>
      </c>
      <c r="M720" t="s">
        <v>51</v>
      </c>
      <c r="N720" t="s">
        <v>92</v>
      </c>
      <c r="O720" s="1">
        <v>41335</v>
      </c>
      <c r="P720" t="s">
        <v>84</v>
      </c>
      <c r="Q720">
        <v>2</v>
      </c>
      <c r="R720" t="s">
        <v>94</v>
      </c>
      <c r="S720">
        <v>6.7238790000000002</v>
      </c>
      <c r="T720">
        <v>86.819000000000003</v>
      </c>
      <c r="U720">
        <v>584</v>
      </c>
    </row>
    <row r="721" spans="1:21" x14ac:dyDescent="0.25">
      <c r="A721" s="1">
        <v>44287</v>
      </c>
      <c r="B721" s="1">
        <v>44287</v>
      </c>
      <c r="C721" t="s">
        <v>157</v>
      </c>
      <c r="D721" t="s">
        <v>55</v>
      </c>
      <c r="E721" t="s">
        <v>56</v>
      </c>
      <c r="F721" t="s">
        <v>287</v>
      </c>
      <c r="G721" s="53">
        <v>44323.702997685185</v>
      </c>
      <c r="H721">
        <v>33</v>
      </c>
      <c r="I721">
        <v>18700</v>
      </c>
      <c r="J721" t="s">
        <v>50</v>
      </c>
      <c r="K721" t="s">
        <v>50</v>
      </c>
      <c r="L721" t="s">
        <v>159</v>
      </c>
      <c r="M721" t="s">
        <v>51</v>
      </c>
      <c r="N721" t="s">
        <v>92</v>
      </c>
      <c r="O721" s="1">
        <v>41335</v>
      </c>
      <c r="P721" t="s">
        <v>84</v>
      </c>
      <c r="Q721">
        <v>2</v>
      </c>
      <c r="R721" t="s">
        <v>94</v>
      </c>
      <c r="S721">
        <v>6.7238790000000002</v>
      </c>
      <c r="T721">
        <v>0</v>
      </c>
      <c r="U721">
        <v>0</v>
      </c>
    </row>
    <row r="722" spans="1:21" x14ac:dyDescent="0.25">
      <c r="A722" s="1">
        <v>44287</v>
      </c>
      <c r="B722" s="1">
        <v>44287</v>
      </c>
      <c r="C722" t="s">
        <v>157</v>
      </c>
      <c r="D722" t="s">
        <v>52</v>
      </c>
      <c r="E722" t="s">
        <v>53</v>
      </c>
      <c r="F722" t="s">
        <v>288</v>
      </c>
      <c r="G722" s="53">
        <v>44323.702997685185</v>
      </c>
      <c r="H722">
        <v>33</v>
      </c>
      <c r="I722">
        <v>18700</v>
      </c>
      <c r="J722" t="s">
        <v>50</v>
      </c>
      <c r="K722" t="s">
        <v>50</v>
      </c>
      <c r="L722" t="s">
        <v>159</v>
      </c>
      <c r="M722" t="s">
        <v>51</v>
      </c>
      <c r="N722" t="s">
        <v>92</v>
      </c>
      <c r="O722" s="1">
        <v>41335</v>
      </c>
      <c r="P722" t="s">
        <v>84</v>
      </c>
      <c r="Q722">
        <v>2</v>
      </c>
      <c r="R722" t="s">
        <v>94</v>
      </c>
      <c r="S722">
        <v>0</v>
      </c>
      <c r="T722">
        <v>0</v>
      </c>
      <c r="U722">
        <v>0</v>
      </c>
    </row>
    <row r="723" spans="1:21" x14ac:dyDescent="0.25">
      <c r="A723" s="1">
        <v>44287</v>
      </c>
      <c r="B723" s="1">
        <v>44287</v>
      </c>
      <c r="C723" t="s">
        <v>157</v>
      </c>
      <c r="D723" t="s">
        <v>54</v>
      </c>
      <c r="E723" t="s">
        <v>21</v>
      </c>
      <c r="F723" t="s">
        <v>285</v>
      </c>
      <c r="G723" s="53">
        <v>44323.702997685185</v>
      </c>
      <c r="H723">
        <v>33</v>
      </c>
      <c r="I723">
        <v>18700</v>
      </c>
      <c r="J723" t="s">
        <v>50</v>
      </c>
      <c r="K723" t="s">
        <v>50</v>
      </c>
      <c r="L723" t="s">
        <v>159</v>
      </c>
      <c r="M723" t="s">
        <v>51</v>
      </c>
      <c r="N723" t="s">
        <v>92</v>
      </c>
      <c r="O723" s="1">
        <v>41335</v>
      </c>
      <c r="P723" t="s">
        <v>84</v>
      </c>
      <c r="Q723">
        <v>2</v>
      </c>
      <c r="R723" t="s">
        <v>94</v>
      </c>
      <c r="S723">
        <v>0</v>
      </c>
      <c r="T723">
        <v>6007.3739999999998</v>
      </c>
      <c r="U723">
        <v>0</v>
      </c>
    </row>
    <row r="724" spans="1:21" x14ac:dyDescent="0.25">
      <c r="A724" s="1">
        <v>44287</v>
      </c>
      <c r="B724" s="1">
        <v>44287</v>
      </c>
      <c r="C724" t="s">
        <v>157</v>
      </c>
      <c r="D724" t="s">
        <v>52</v>
      </c>
      <c r="E724" t="s">
        <v>53</v>
      </c>
      <c r="F724" t="s">
        <v>288</v>
      </c>
      <c r="G724" s="53">
        <v>44323.702997685185</v>
      </c>
      <c r="H724">
        <v>33</v>
      </c>
      <c r="I724">
        <v>18700</v>
      </c>
      <c r="J724" t="s">
        <v>50</v>
      </c>
      <c r="K724" t="s">
        <v>50</v>
      </c>
      <c r="L724" t="s">
        <v>159</v>
      </c>
      <c r="M724" t="s">
        <v>51</v>
      </c>
      <c r="N724" t="s">
        <v>92</v>
      </c>
      <c r="O724" s="1">
        <v>41335</v>
      </c>
      <c r="P724" t="s">
        <v>84</v>
      </c>
      <c r="Q724">
        <v>3</v>
      </c>
      <c r="R724" t="s">
        <v>81</v>
      </c>
      <c r="S724">
        <v>0</v>
      </c>
      <c r="T724">
        <v>0</v>
      </c>
      <c r="U724">
        <v>0</v>
      </c>
    </row>
    <row r="725" spans="1:21" x14ac:dyDescent="0.25">
      <c r="A725" s="1">
        <v>44287</v>
      </c>
      <c r="B725" s="1">
        <v>44287</v>
      </c>
      <c r="C725" t="s">
        <v>157</v>
      </c>
      <c r="D725" t="s">
        <v>48</v>
      </c>
      <c r="E725" t="s">
        <v>49</v>
      </c>
      <c r="F725" t="s">
        <v>286</v>
      </c>
      <c r="G725" s="53">
        <v>44323.702997685185</v>
      </c>
      <c r="H725">
        <v>33</v>
      </c>
      <c r="I725">
        <v>18700</v>
      </c>
      <c r="J725" t="s">
        <v>50</v>
      </c>
      <c r="K725" t="s">
        <v>50</v>
      </c>
      <c r="L725" t="s">
        <v>159</v>
      </c>
      <c r="M725" t="s">
        <v>51</v>
      </c>
      <c r="N725" t="s">
        <v>92</v>
      </c>
      <c r="O725" s="1">
        <v>41335</v>
      </c>
      <c r="P725" t="s">
        <v>84</v>
      </c>
      <c r="Q725">
        <v>3</v>
      </c>
      <c r="R725" t="s">
        <v>81</v>
      </c>
      <c r="S725">
        <v>210.80923799999999</v>
      </c>
      <c r="T725">
        <v>78.597999999999999</v>
      </c>
      <c r="U725">
        <v>16569</v>
      </c>
    </row>
    <row r="726" spans="1:21" x14ac:dyDescent="0.25">
      <c r="A726" s="1">
        <v>44287</v>
      </c>
      <c r="B726" s="1">
        <v>44287</v>
      </c>
      <c r="C726" t="s">
        <v>157</v>
      </c>
      <c r="D726" t="s">
        <v>54</v>
      </c>
      <c r="E726" t="s">
        <v>21</v>
      </c>
      <c r="F726" t="s">
        <v>285</v>
      </c>
      <c r="G726" s="53">
        <v>44323.702997685185</v>
      </c>
      <c r="H726">
        <v>33</v>
      </c>
      <c r="I726">
        <v>18700</v>
      </c>
      <c r="J726" t="s">
        <v>50</v>
      </c>
      <c r="K726" t="s">
        <v>50</v>
      </c>
      <c r="L726" t="s">
        <v>159</v>
      </c>
      <c r="M726" t="s">
        <v>51</v>
      </c>
      <c r="N726" t="s">
        <v>92</v>
      </c>
      <c r="O726" s="1">
        <v>41335</v>
      </c>
      <c r="P726" t="s">
        <v>84</v>
      </c>
      <c r="Q726">
        <v>3</v>
      </c>
      <c r="R726" t="s">
        <v>81</v>
      </c>
      <c r="S726">
        <v>0</v>
      </c>
      <c r="T726">
        <v>5302.482</v>
      </c>
      <c r="U726">
        <v>0</v>
      </c>
    </row>
    <row r="727" spans="1:21" x14ac:dyDescent="0.25">
      <c r="A727" s="1">
        <v>44287</v>
      </c>
      <c r="B727" s="1">
        <v>44287</v>
      </c>
      <c r="C727" t="s">
        <v>157</v>
      </c>
      <c r="D727" t="s">
        <v>55</v>
      </c>
      <c r="E727" t="s">
        <v>56</v>
      </c>
      <c r="F727" t="s">
        <v>287</v>
      </c>
      <c r="G727" s="53">
        <v>44323.702997685185</v>
      </c>
      <c r="H727">
        <v>33</v>
      </c>
      <c r="I727">
        <v>18700</v>
      </c>
      <c r="J727" t="s">
        <v>50</v>
      </c>
      <c r="K727" t="s">
        <v>50</v>
      </c>
      <c r="L727" t="s">
        <v>159</v>
      </c>
      <c r="M727" t="s">
        <v>51</v>
      </c>
      <c r="N727" t="s">
        <v>92</v>
      </c>
      <c r="O727" s="1">
        <v>41335</v>
      </c>
      <c r="P727" t="s">
        <v>84</v>
      </c>
      <c r="Q727">
        <v>3</v>
      </c>
      <c r="R727" t="s">
        <v>81</v>
      </c>
      <c r="S727">
        <v>210.80923799999999</v>
      </c>
      <c r="T727">
        <v>0</v>
      </c>
      <c r="U727">
        <v>0</v>
      </c>
    </row>
    <row r="728" spans="1:21" x14ac:dyDescent="0.25">
      <c r="A728" s="1">
        <v>44287</v>
      </c>
      <c r="B728" s="1">
        <v>44287</v>
      </c>
      <c r="C728" t="s">
        <v>157</v>
      </c>
      <c r="D728" t="s">
        <v>55</v>
      </c>
      <c r="E728" t="s">
        <v>56</v>
      </c>
      <c r="F728" t="s">
        <v>287</v>
      </c>
      <c r="G728" s="53">
        <v>44323.702997685185</v>
      </c>
      <c r="H728">
        <v>33</v>
      </c>
      <c r="I728">
        <v>18700</v>
      </c>
      <c r="J728" t="s">
        <v>50</v>
      </c>
      <c r="K728" t="s">
        <v>50</v>
      </c>
      <c r="L728" t="s">
        <v>159</v>
      </c>
      <c r="M728" t="s">
        <v>51</v>
      </c>
      <c r="N728" t="s">
        <v>92</v>
      </c>
      <c r="O728" s="1">
        <v>41335</v>
      </c>
      <c r="P728" t="s">
        <v>84</v>
      </c>
      <c r="Q728">
        <v>4</v>
      </c>
      <c r="R728" t="s">
        <v>27</v>
      </c>
      <c r="S728">
        <v>2386.3591110000002</v>
      </c>
      <c r="T728">
        <v>0</v>
      </c>
      <c r="U728">
        <v>0</v>
      </c>
    </row>
    <row r="729" spans="1:21" x14ac:dyDescent="0.25">
      <c r="A729" s="1">
        <v>44287</v>
      </c>
      <c r="B729" s="1">
        <v>44287</v>
      </c>
      <c r="C729" t="s">
        <v>157</v>
      </c>
      <c r="D729" t="s">
        <v>48</v>
      </c>
      <c r="E729" t="s">
        <v>49</v>
      </c>
      <c r="F729" t="s">
        <v>286</v>
      </c>
      <c r="G729" s="53">
        <v>44323.702997685185</v>
      </c>
      <c r="H729">
        <v>33</v>
      </c>
      <c r="I729">
        <v>18700</v>
      </c>
      <c r="J729" t="s">
        <v>50</v>
      </c>
      <c r="K729" t="s">
        <v>50</v>
      </c>
      <c r="L729" t="s">
        <v>159</v>
      </c>
      <c r="M729" t="s">
        <v>51</v>
      </c>
      <c r="N729" t="s">
        <v>92</v>
      </c>
      <c r="O729" s="1">
        <v>41335</v>
      </c>
      <c r="P729" t="s">
        <v>84</v>
      </c>
      <c r="Q729">
        <v>4</v>
      </c>
      <c r="R729" t="s">
        <v>27</v>
      </c>
      <c r="S729">
        <v>2386.3591110000002</v>
      </c>
      <c r="T729">
        <v>80.213999999999999</v>
      </c>
      <c r="U729">
        <v>191419</v>
      </c>
    </row>
    <row r="730" spans="1:21" x14ac:dyDescent="0.25">
      <c r="A730" s="1">
        <v>44287</v>
      </c>
      <c r="B730" s="1">
        <v>44287</v>
      </c>
      <c r="C730" t="s">
        <v>157</v>
      </c>
      <c r="D730" t="s">
        <v>54</v>
      </c>
      <c r="E730" t="s">
        <v>21</v>
      </c>
      <c r="F730" t="s">
        <v>285</v>
      </c>
      <c r="G730" s="53">
        <v>44323.702997685185</v>
      </c>
      <c r="H730">
        <v>33</v>
      </c>
      <c r="I730">
        <v>18700</v>
      </c>
      <c r="J730" t="s">
        <v>50</v>
      </c>
      <c r="K730" t="s">
        <v>50</v>
      </c>
      <c r="L730" t="s">
        <v>159</v>
      </c>
      <c r="M730" t="s">
        <v>51</v>
      </c>
      <c r="N730" t="s">
        <v>92</v>
      </c>
      <c r="O730" s="1">
        <v>41335</v>
      </c>
      <c r="P730" t="s">
        <v>84</v>
      </c>
      <c r="Q730">
        <v>4</v>
      </c>
      <c r="R730" t="s">
        <v>27</v>
      </c>
      <c r="S730">
        <v>0</v>
      </c>
      <c r="T730">
        <v>5512.8180000000002</v>
      </c>
      <c r="U730">
        <v>0</v>
      </c>
    </row>
    <row r="731" spans="1:21" x14ac:dyDescent="0.25">
      <c r="A731" s="1">
        <v>44287</v>
      </c>
      <c r="B731" s="1">
        <v>44287</v>
      </c>
      <c r="C731" t="s">
        <v>157</v>
      </c>
      <c r="D731" t="s">
        <v>52</v>
      </c>
      <c r="E731" t="s">
        <v>53</v>
      </c>
      <c r="F731" t="s">
        <v>288</v>
      </c>
      <c r="G731" s="53">
        <v>44323.702997685185</v>
      </c>
      <c r="H731">
        <v>33</v>
      </c>
      <c r="I731">
        <v>18700</v>
      </c>
      <c r="J731" t="s">
        <v>50</v>
      </c>
      <c r="K731" t="s">
        <v>50</v>
      </c>
      <c r="L731" t="s">
        <v>159</v>
      </c>
      <c r="M731" t="s">
        <v>51</v>
      </c>
      <c r="N731" t="s">
        <v>92</v>
      </c>
      <c r="O731" s="1">
        <v>41335</v>
      </c>
      <c r="P731" t="s">
        <v>84</v>
      </c>
      <c r="Q731">
        <v>4</v>
      </c>
      <c r="R731" t="s">
        <v>27</v>
      </c>
      <c r="S731">
        <v>0</v>
      </c>
      <c r="T731">
        <v>0</v>
      </c>
      <c r="U731">
        <v>0</v>
      </c>
    </row>
    <row r="732" spans="1:21" x14ac:dyDescent="0.25">
      <c r="A732" s="1">
        <v>44287</v>
      </c>
      <c r="B732" s="1">
        <v>44287</v>
      </c>
      <c r="C732" t="s">
        <v>157</v>
      </c>
      <c r="D732" t="s">
        <v>52</v>
      </c>
      <c r="E732" t="s">
        <v>53</v>
      </c>
      <c r="F732" t="s">
        <v>288</v>
      </c>
      <c r="G732" s="53">
        <v>44323.702997685185</v>
      </c>
      <c r="H732">
        <v>33</v>
      </c>
      <c r="I732">
        <v>18700</v>
      </c>
      <c r="J732" t="s">
        <v>50</v>
      </c>
      <c r="K732" t="s">
        <v>50</v>
      </c>
      <c r="L732" t="s">
        <v>159</v>
      </c>
      <c r="M732" t="s">
        <v>51</v>
      </c>
      <c r="N732" t="s">
        <v>92</v>
      </c>
      <c r="O732" s="1">
        <v>41335</v>
      </c>
      <c r="P732" t="s">
        <v>84</v>
      </c>
      <c r="Q732">
        <v>5</v>
      </c>
      <c r="R732" t="s">
        <v>28</v>
      </c>
      <c r="S732">
        <v>0</v>
      </c>
      <c r="T732">
        <v>0</v>
      </c>
      <c r="U732">
        <v>0</v>
      </c>
    </row>
    <row r="733" spans="1:21" x14ac:dyDescent="0.25">
      <c r="A733" s="1">
        <v>44287</v>
      </c>
      <c r="B733" s="1">
        <v>44287</v>
      </c>
      <c r="C733" t="s">
        <v>157</v>
      </c>
      <c r="D733" t="s">
        <v>55</v>
      </c>
      <c r="E733" t="s">
        <v>56</v>
      </c>
      <c r="F733" t="s">
        <v>287</v>
      </c>
      <c r="G733" s="53">
        <v>44323.702997685185</v>
      </c>
      <c r="H733">
        <v>33</v>
      </c>
      <c r="I733">
        <v>18700</v>
      </c>
      <c r="J733" t="s">
        <v>50</v>
      </c>
      <c r="K733" t="s">
        <v>50</v>
      </c>
      <c r="L733" t="s">
        <v>159</v>
      </c>
      <c r="M733" t="s">
        <v>51</v>
      </c>
      <c r="N733" t="s">
        <v>92</v>
      </c>
      <c r="O733" s="1">
        <v>41335</v>
      </c>
      <c r="P733" t="s">
        <v>84</v>
      </c>
      <c r="Q733">
        <v>5</v>
      </c>
      <c r="R733" t="s">
        <v>28</v>
      </c>
      <c r="S733">
        <v>7.1214380000000004</v>
      </c>
      <c r="T733">
        <v>0</v>
      </c>
      <c r="U733">
        <v>0</v>
      </c>
    </row>
    <row r="734" spans="1:21" x14ac:dyDescent="0.25">
      <c r="A734" s="1">
        <v>44287</v>
      </c>
      <c r="B734" s="1">
        <v>44287</v>
      </c>
      <c r="C734" t="s">
        <v>157</v>
      </c>
      <c r="D734" t="s">
        <v>54</v>
      </c>
      <c r="E734" t="s">
        <v>21</v>
      </c>
      <c r="F734" t="s">
        <v>285</v>
      </c>
      <c r="G734" s="53">
        <v>44323.702997685185</v>
      </c>
      <c r="H734">
        <v>33</v>
      </c>
      <c r="I734">
        <v>18700</v>
      </c>
      <c r="J734" t="s">
        <v>50</v>
      </c>
      <c r="K734" t="s">
        <v>50</v>
      </c>
      <c r="L734" t="s">
        <v>159</v>
      </c>
      <c r="M734" t="s">
        <v>51</v>
      </c>
      <c r="N734" t="s">
        <v>92</v>
      </c>
      <c r="O734" s="1">
        <v>41335</v>
      </c>
      <c r="P734" t="s">
        <v>84</v>
      </c>
      <c r="Q734">
        <v>5</v>
      </c>
      <c r="R734" t="s">
        <v>28</v>
      </c>
      <c r="S734">
        <v>0</v>
      </c>
      <c r="T734">
        <v>5963.2809999999999</v>
      </c>
      <c r="U734">
        <v>0</v>
      </c>
    </row>
    <row r="735" spans="1:21" x14ac:dyDescent="0.25">
      <c r="A735" s="1">
        <v>44287</v>
      </c>
      <c r="B735" s="1">
        <v>44287</v>
      </c>
      <c r="C735" t="s">
        <v>157</v>
      </c>
      <c r="D735" t="s">
        <v>48</v>
      </c>
      <c r="E735" t="s">
        <v>49</v>
      </c>
      <c r="F735" t="s">
        <v>286</v>
      </c>
      <c r="G735" s="53">
        <v>44323.702997685185</v>
      </c>
      <c r="H735">
        <v>33</v>
      </c>
      <c r="I735">
        <v>18700</v>
      </c>
      <c r="J735" t="s">
        <v>50</v>
      </c>
      <c r="K735" t="s">
        <v>50</v>
      </c>
      <c r="L735" t="s">
        <v>159</v>
      </c>
      <c r="M735" t="s">
        <v>51</v>
      </c>
      <c r="N735" t="s">
        <v>92</v>
      </c>
      <c r="O735" s="1">
        <v>41335</v>
      </c>
      <c r="P735" t="s">
        <v>84</v>
      </c>
      <c r="Q735">
        <v>5</v>
      </c>
      <c r="R735" t="s">
        <v>28</v>
      </c>
      <c r="S735">
        <v>7.1214380000000004</v>
      </c>
      <c r="T735">
        <v>86.617999999999995</v>
      </c>
      <c r="U735">
        <v>617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W735"/>
  <sheetViews>
    <sheetView zoomScale="60" zoomScaleNormal="60" workbookViewId="0">
      <selection activeCell="S1" sqref="S1:S1048576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7.28515625" bestFit="1" customWidth="1"/>
    <col min="5" max="5" width="15.85546875" bestFit="1" customWidth="1"/>
    <col min="6" max="6" width="64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4" t="s">
        <v>29</v>
      </c>
      <c r="B1" s="34" t="s">
        <v>1</v>
      </c>
      <c r="C1" s="34" t="s">
        <v>30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4" t="s">
        <v>39</v>
      </c>
      <c r="J1" s="34" t="s">
        <v>40</v>
      </c>
      <c r="K1" s="34" t="s">
        <v>41</v>
      </c>
      <c r="L1" s="34" t="s">
        <v>42</v>
      </c>
      <c r="M1" s="34" t="s">
        <v>43</v>
      </c>
      <c r="N1" s="34" t="s">
        <v>44</v>
      </c>
      <c r="O1" s="34" t="s">
        <v>45</v>
      </c>
      <c r="P1" s="34" t="s">
        <v>46</v>
      </c>
      <c r="Q1" s="34" t="s">
        <v>31</v>
      </c>
      <c r="R1" s="34" t="s">
        <v>32</v>
      </c>
      <c r="S1" s="34" t="s">
        <v>18</v>
      </c>
      <c r="T1" s="34" t="s">
        <v>19</v>
      </c>
      <c r="U1" s="34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3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349</v>
      </c>
      <c r="V2" t="s">
        <v>349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3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349</v>
      </c>
      <c r="V3" t="s">
        <v>349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3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349</v>
      </c>
      <c r="V4" t="s">
        <v>349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3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349</v>
      </c>
      <c r="V5" t="s">
        <v>349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3">
        <v>43539</v>
      </c>
      <c r="H6">
        <v>33</v>
      </c>
      <c r="I6" t="s">
        <v>349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349</v>
      </c>
      <c r="V6" t="s">
        <v>349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3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349</v>
      </c>
      <c r="V7" t="s">
        <v>349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3">
        <v>43539</v>
      </c>
      <c r="H8">
        <v>33</v>
      </c>
      <c r="I8" t="s">
        <v>349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349</v>
      </c>
      <c r="V8" t="s">
        <v>349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3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349</v>
      </c>
      <c r="V9" t="s">
        <v>349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3">
        <v>43539</v>
      </c>
      <c r="H10">
        <v>33</v>
      </c>
      <c r="I10" t="s">
        <v>349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349</v>
      </c>
      <c r="V10" t="s">
        <v>349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3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349</v>
      </c>
      <c r="V11" t="s">
        <v>349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3">
        <v>43539</v>
      </c>
      <c r="H12">
        <v>33</v>
      </c>
      <c r="I12" t="s">
        <v>349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349</v>
      </c>
      <c r="V12" t="s">
        <v>349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3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349</v>
      </c>
      <c r="V13" t="s">
        <v>349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3">
        <v>43539</v>
      </c>
      <c r="H14">
        <v>33</v>
      </c>
      <c r="I14" t="s">
        <v>349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349</v>
      </c>
      <c r="V14" t="s">
        <v>349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3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349</v>
      </c>
      <c r="V15" t="s">
        <v>349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3">
        <v>43564</v>
      </c>
      <c r="H16">
        <v>61</v>
      </c>
      <c r="I16" t="s">
        <v>349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349</v>
      </c>
      <c r="V16" t="s">
        <v>349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3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349</v>
      </c>
      <c r="V17" t="s">
        <v>349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3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349</v>
      </c>
      <c r="V18" t="s">
        <v>349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3">
        <v>43564</v>
      </c>
      <c r="H19">
        <v>61</v>
      </c>
      <c r="I19" t="s">
        <v>349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349</v>
      </c>
      <c r="V19" t="s">
        <v>349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3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349</v>
      </c>
      <c r="V20" t="s">
        <v>349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3">
        <v>43564</v>
      </c>
      <c r="H21">
        <v>61</v>
      </c>
      <c r="I21" t="s">
        <v>349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349</v>
      </c>
      <c r="V21" t="s">
        <v>349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3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349</v>
      </c>
      <c r="V22" t="s">
        <v>349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3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349</v>
      </c>
      <c r="V23" t="s">
        <v>349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3">
        <v>43598</v>
      </c>
      <c r="H24">
        <v>33</v>
      </c>
      <c r="I24" t="s">
        <v>349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349</v>
      </c>
      <c r="V24" t="s">
        <v>349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3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349</v>
      </c>
      <c r="V25" t="s">
        <v>349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3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349</v>
      </c>
      <c r="V26" t="s">
        <v>349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3">
        <v>43598</v>
      </c>
      <c r="H27">
        <v>33</v>
      </c>
      <c r="I27" t="s">
        <v>349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349</v>
      </c>
      <c r="V27" t="s">
        <v>349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3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349</v>
      </c>
      <c r="V28" t="s">
        <v>349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3">
        <v>43598</v>
      </c>
      <c r="H29">
        <v>33</v>
      </c>
      <c r="I29" t="s">
        <v>349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349</v>
      </c>
      <c r="V29" t="s">
        <v>349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3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349</v>
      </c>
      <c r="V30" t="s">
        <v>349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3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349</v>
      </c>
      <c r="V31" t="s">
        <v>349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93</v>
      </c>
      <c r="E32" t="s">
        <v>49</v>
      </c>
      <c r="F32" t="s">
        <v>169</v>
      </c>
      <c r="G32" s="53">
        <v>43913.49763888889</v>
      </c>
      <c r="H32">
        <v>61</v>
      </c>
      <c r="I32" t="s">
        <v>349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>
        <v>1</v>
      </c>
      <c r="T32">
        <v>-1091</v>
      </c>
      <c r="U32" t="s">
        <v>349</v>
      </c>
      <c r="V32" t="s">
        <v>349</v>
      </c>
      <c r="W32">
        <v>-1091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48</v>
      </c>
      <c r="E33" t="s">
        <v>49</v>
      </c>
      <c r="F33" t="s">
        <v>171</v>
      </c>
      <c r="G33" s="53">
        <v>43598</v>
      </c>
      <c r="H33">
        <v>33</v>
      </c>
      <c r="I33">
        <v>8451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897.96509900000001</v>
      </c>
      <c r="T33">
        <v>66.900000000000006</v>
      </c>
      <c r="U33" t="s">
        <v>349</v>
      </c>
      <c r="V33" t="s">
        <v>349</v>
      </c>
      <c r="W33">
        <v>60074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93</v>
      </c>
      <c r="E34" t="s">
        <v>49</v>
      </c>
      <c r="F34" t="s">
        <v>169</v>
      </c>
      <c r="G34" s="53">
        <v>43913.49763888889</v>
      </c>
      <c r="H34">
        <v>61</v>
      </c>
      <c r="I34" t="s">
        <v>349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2</v>
      </c>
      <c r="R34" t="s">
        <v>94</v>
      </c>
      <c r="S34">
        <v>1</v>
      </c>
      <c r="T34">
        <v>-8</v>
      </c>
      <c r="U34" t="s">
        <v>349</v>
      </c>
      <c r="V34" t="s">
        <v>349</v>
      </c>
      <c r="W34">
        <v>-8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48</v>
      </c>
      <c r="E35" t="s">
        <v>49</v>
      </c>
      <c r="F35" t="s">
        <v>171</v>
      </c>
      <c r="G35" s="53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>
        <v>5.9124509999999999</v>
      </c>
      <c r="T35">
        <v>69.013999999999996</v>
      </c>
      <c r="U35" t="s">
        <v>349</v>
      </c>
      <c r="V35" t="s">
        <v>349</v>
      </c>
      <c r="W35">
        <v>408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3">
        <v>43913.49763888889</v>
      </c>
      <c r="H36">
        <v>61</v>
      </c>
      <c r="I36" t="s">
        <v>349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3</v>
      </c>
      <c r="R36" t="s">
        <v>81</v>
      </c>
      <c r="S36">
        <v>1</v>
      </c>
      <c r="T36">
        <v>-327</v>
      </c>
      <c r="U36" t="s">
        <v>349</v>
      </c>
      <c r="V36" t="s">
        <v>349</v>
      </c>
      <c r="W36">
        <v>-327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3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3</v>
      </c>
      <c r="R37" t="s">
        <v>81</v>
      </c>
      <c r="S37">
        <v>278.37088999999997</v>
      </c>
      <c r="T37">
        <v>63.27</v>
      </c>
      <c r="U37" t="s">
        <v>349</v>
      </c>
      <c r="V37" t="s">
        <v>349</v>
      </c>
      <c r="W37">
        <v>17613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93</v>
      </c>
      <c r="E38" t="s">
        <v>49</v>
      </c>
      <c r="F38" t="s">
        <v>169</v>
      </c>
      <c r="G38" s="53">
        <v>43913.49763888889</v>
      </c>
      <c r="H38">
        <v>61</v>
      </c>
      <c r="I38" t="s">
        <v>349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4</v>
      </c>
      <c r="R38" t="s">
        <v>27</v>
      </c>
      <c r="S38">
        <v>1</v>
      </c>
      <c r="T38">
        <v>-1638</v>
      </c>
      <c r="U38" t="s">
        <v>349</v>
      </c>
      <c r="V38" t="s">
        <v>349</v>
      </c>
      <c r="W38">
        <v>-1638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48</v>
      </c>
      <c r="E39" t="s">
        <v>49</v>
      </c>
      <c r="F39" t="s">
        <v>171</v>
      </c>
      <c r="G39" s="53">
        <v>43598</v>
      </c>
      <c r="H39">
        <v>33</v>
      </c>
      <c r="I39">
        <v>8451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4</v>
      </c>
      <c r="R39" t="s">
        <v>27</v>
      </c>
      <c r="S39">
        <v>1366.2586240000001</v>
      </c>
      <c r="T39">
        <v>65.349000000000004</v>
      </c>
      <c r="U39" t="s">
        <v>349</v>
      </c>
      <c r="V39" t="s">
        <v>349</v>
      </c>
      <c r="W39">
        <v>89284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93</v>
      </c>
      <c r="E40" t="s">
        <v>49</v>
      </c>
      <c r="F40" t="s">
        <v>169</v>
      </c>
      <c r="G40" s="53">
        <v>43913.49763888889</v>
      </c>
      <c r="H40">
        <v>61</v>
      </c>
      <c r="I40" t="s">
        <v>349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5</v>
      </c>
      <c r="R40" t="s">
        <v>28</v>
      </c>
      <c r="S40">
        <v>1</v>
      </c>
      <c r="T40">
        <v>-7</v>
      </c>
      <c r="U40" t="s">
        <v>349</v>
      </c>
      <c r="V40" t="s">
        <v>349</v>
      </c>
      <c r="W40">
        <v>-7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48</v>
      </c>
      <c r="E41" t="s">
        <v>49</v>
      </c>
      <c r="F41" t="s">
        <v>171</v>
      </c>
      <c r="G41" s="53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5</v>
      </c>
      <c r="R41" t="s">
        <v>28</v>
      </c>
      <c r="S41">
        <v>5.4320240000000002</v>
      </c>
      <c r="T41">
        <v>69.367999999999995</v>
      </c>
      <c r="U41" t="s">
        <v>349</v>
      </c>
      <c r="V41" t="s">
        <v>349</v>
      </c>
      <c r="W41">
        <v>377</v>
      </c>
    </row>
    <row r="42" spans="1:23" x14ac:dyDescent="0.25">
      <c r="A42" s="1">
        <v>43586</v>
      </c>
      <c r="B42" s="1">
        <v>43586</v>
      </c>
      <c r="C42" t="s">
        <v>157</v>
      </c>
      <c r="D42" t="s">
        <v>93</v>
      </c>
      <c r="E42" t="s">
        <v>49</v>
      </c>
      <c r="F42" t="s">
        <v>172</v>
      </c>
      <c r="G42" s="53">
        <v>43915.631481481483</v>
      </c>
      <c r="H42">
        <v>61</v>
      </c>
      <c r="I42" t="s">
        <v>349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1</v>
      </c>
      <c r="R42" t="s">
        <v>83</v>
      </c>
      <c r="S42">
        <v>1</v>
      </c>
      <c r="T42">
        <v>-337</v>
      </c>
      <c r="U42" t="s">
        <v>349</v>
      </c>
      <c r="V42" t="s">
        <v>349</v>
      </c>
      <c r="W42">
        <v>-337</v>
      </c>
    </row>
    <row r="43" spans="1:23" x14ac:dyDescent="0.25">
      <c r="A43" s="1">
        <v>43586</v>
      </c>
      <c r="B43" s="1">
        <v>43586</v>
      </c>
      <c r="C43" t="s">
        <v>157</v>
      </c>
      <c r="D43" t="s">
        <v>48</v>
      </c>
      <c r="E43" t="s">
        <v>49</v>
      </c>
      <c r="F43" t="s">
        <v>174</v>
      </c>
      <c r="G43" s="53">
        <v>43627</v>
      </c>
      <c r="H43">
        <v>33</v>
      </c>
      <c r="I43">
        <v>8768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1</v>
      </c>
      <c r="R43" t="s">
        <v>83</v>
      </c>
      <c r="S43">
        <v>885.88966900000003</v>
      </c>
      <c r="T43">
        <v>74.400999999999996</v>
      </c>
      <c r="U43" t="s">
        <v>349</v>
      </c>
      <c r="V43" t="s">
        <v>349</v>
      </c>
      <c r="W43">
        <v>65911</v>
      </c>
    </row>
    <row r="44" spans="1:23" x14ac:dyDescent="0.25">
      <c r="A44" s="1">
        <v>43586</v>
      </c>
      <c r="B44" s="1">
        <v>43586</v>
      </c>
      <c r="C44" t="s">
        <v>157</v>
      </c>
      <c r="D44" t="s">
        <v>93</v>
      </c>
      <c r="E44" t="s">
        <v>49</v>
      </c>
      <c r="F44" t="s">
        <v>172</v>
      </c>
      <c r="G44" s="53">
        <v>43915.631481481483</v>
      </c>
      <c r="H44">
        <v>61</v>
      </c>
      <c r="I44" t="s">
        <v>349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2</v>
      </c>
      <c r="R44" t="s">
        <v>94</v>
      </c>
      <c r="S44">
        <v>1</v>
      </c>
      <c r="T44">
        <v>-2</v>
      </c>
      <c r="U44" t="s">
        <v>349</v>
      </c>
      <c r="V44" t="s">
        <v>349</v>
      </c>
      <c r="W44">
        <v>-2</v>
      </c>
    </row>
    <row r="45" spans="1:23" x14ac:dyDescent="0.25">
      <c r="A45" s="1">
        <v>43586</v>
      </c>
      <c r="B45" s="1">
        <v>43586</v>
      </c>
      <c r="C45" t="s">
        <v>157</v>
      </c>
      <c r="D45" t="s">
        <v>48</v>
      </c>
      <c r="E45" t="s">
        <v>49</v>
      </c>
      <c r="F45" t="s">
        <v>174</v>
      </c>
      <c r="G45" s="53">
        <v>43627</v>
      </c>
      <c r="H45">
        <v>33</v>
      </c>
      <c r="I45">
        <v>8768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2</v>
      </c>
      <c r="R45" t="s">
        <v>94</v>
      </c>
      <c r="S45">
        <v>5.7284470000000001</v>
      </c>
      <c r="T45">
        <v>75.736999999999995</v>
      </c>
      <c r="U45" t="s">
        <v>349</v>
      </c>
      <c r="V45" t="s">
        <v>349</v>
      </c>
      <c r="W45">
        <v>434</v>
      </c>
    </row>
    <row r="46" spans="1:23" x14ac:dyDescent="0.25">
      <c r="A46" s="1">
        <v>43586</v>
      </c>
      <c r="B46" s="1">
        <v>43586</v>
      </c>
      <c r="C46" t="s">
        <v>157</v>
      </c>
      <c r="D46" t="s">
        <v>93</v>
      </c>
      <c r="E46" t="s">
        <v>49</v>
      </c>
      <c r="F46" t="s">
        <v>172</v>
      </c>
      <c r="G46" s="53">
        <v>43915.631481481483</v>
      </c>
      <c r="H46">
        <v>61</v>
      </c>
      <c r="I46" t="s">
        <v>349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3</v>
      </c>
      <c r="R46" t="s">
        <v>81</v>
      </c>
      <c r="S46">
        <v>1</v>
      </c>
      <c r="T46">
        <v>-99</v>
      </c>
      <c r="U46" t="s">
        <v>349</v>
      </c>
      <c r="V46" t="s">
        <v>349</v>
      </c>
      <c r="W46">
        <v>-99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48</v>
      </c>
      <c r="E47" t="s">
        <v>49</v>
      </c>
      <c r="F47" t="s">
        <v>174</v>
      </c>
      <c r="G47" s="53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3</v>
      </c>
      <c r="R47" t="s">
        <v>81</v>
      </c>
      <c r="S47">
        <v>273.818037</v>
      </c>
      <c r="T47">
        <v>70.436999999999998</v>
      </c>
      <c r="U47" t="s">
        <v>349</v>
      </c>
      <c r="V47" t="s">
        <v>349</v>
      </c>
      <c r="W47">
        <v>19287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3">
        <v>43915.631481481483</v>
      </c>
      <c r="H48">
        <v>61</v>
      </c>
      <c r="I48" t="s">
        <v>349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4</v>
      </c>
      <c r="R48" t="s">
        <v>27</v>
      </c>
      <c r="S48">
        <v>1</v>
      </c>
      <c r="T48">
        <v>-494</v>
      </c>
      <c r="U48" t="s">
        <v>349</v>
      </c>
      <c r="V48" t="s">
        <v>349</v>
      </c>
      <c r="W48">
        <v>-494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3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4</v>
      </c>
      <c r="R49" t="s">
        <v>27</v>
      </c>
      <c r="S49">
        <v>1341.725692</v>
      </c>
      <c r="T49">
        <v>71.983999999999995</v>
      </c>
      <c r="U49" t="s">
        <v>349</v>
      </c>
      <c r="V49" t="s">
        <v>349</v>
      </c>
      <c r="W49">
        <v>96583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93</v>
      </c>
      <c r="E50" t="s">
        <v>49</v>
      </c>
      <c r="F50" t="s">
        <v>172</v>
      </c>
      <c r="G50" s="53">
        <v>43915.631481481483</v>
      </c>
      <c r="H50">
        <v>61</v>
      </c>
      <c r="I50" t="s">
        <v>349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5</v>
      </c>
      <c r="R50" t="s">
        <v>28</v>
      </c>
      <c r="S50">
        <v>1</v>
      </c>
      <c r="T50">
        <v>-2</v>
      </c>
      <c r="U50" t="s">
        <v>349</v>
      </c>
      <c r="V50" t="s">
        <v>349</v>
      </c>
      <c r="W50">
        <v>-2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48</v>
      </c>
      <c r="E51" t="s">
        <v>49</v>
      </c>
      <c r="F51" t="s">
        <v>174</v>
      </c>
      <c r="G51" s="53">
        <v>43627</v>
      </c>
      <c r="H51">
        <v>33</v>
      </c>
      <c r="I51">
        <v>8768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>
        <v>5.2645299999999997</v>
      </c>
      <c r="T51">
        <v>75.617000000000004</v>
      </c>
      <c r="U51" t="s">
        <v>349</v>
      </c>
      <c r="V51" t="s">
        <v>349</v>
      </c>
      <c r="W51">
        <v>398</v>
      </c>
    </row>
    <row r="52" spans="1:23" x14ac:dyDescent="0.25">
      <c r="A52" s="1">
        <v>43617</v>
      </c>
      <c r="B52" s="1">
        <v>43617</v>
      </c>
      <c r="C52" t="s">
        <v>157</v>
      </c>
      <c r="D52" t="s">
        <v>93</v>
      </c>
      <c r="E52" t="s">
        <v>49</v>
      </c>
      <c r="F52" t="s">
        <v>176</v>
      </c>
      <c r="G52" s="53">
        <v>43693</v>
      </c>
      <c r="H52">
        <v>33</v>
      </c>
      <c r="I52" t="s">
        <v>349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>
        <v>1.7759450000000001</v>
      </c>
      <c r="T52">
        <v>74.400999999999996</v>
      </c>
      <c r="U52" t="s">
        <v>349</v>
      </c>
      <c r="V52" t="s">
        <v>349</v>
      </c>
      <c r="W52">
        <v>132</v>
      </c>
    </row>
    <row r="53" spans="1:23" x14ac:dyDescent="0.25">
      <c r="A53" s="1">
        <v>43617</v>
      </c>
      <c r="B53" s="1">
        <v>43617</v>
      </c>
      <c r="C53" t="s">
        <v>157</v>
      </c>
      <c r="D53" t="s">
        <v>48</v>
      </c>
      <c r="E53" t="s">
        <v>49</v>
      </c>
      <c r="F53" t="s">
        <v>177</v>
      </c>
      <c r="G53" s="53">
        <v>43655</v>
      </c>
      <c r="H53">
        <v>33</v>
      </c>
      <c r="I53">
        <v>9022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1</v>
      </c>
      <c r="R53" t="s">
        <v>83</v>
      </c>
      <c r="S53">
        <v>790.40862500000003</v>
      </c>
      <c r="T53">
        <v>74.400999999999996</v>
      </c>
      <c r="U53" t="s">
        <v>349</v>
      </c>
      <c r="V53" t="s">
        <v>349</v>
      </c>
      <c r="W53">
        <v>58807</v>
      </c>
    </row>
    <row r="54" spans="1:23" x14ac:dyDescent="0.25">
      <c r="A54" s="1">
        <v>43617</v>
      </c>
      <c r="B54" s="1">
        <v>43617</v>
      </c>
      <c r="C54" t="s">
        <v>157</v>
      </c>
      <c r="D54" t="s">
        <v>93</v>
      </c>
      <c r="E54" t="s">
        <v>49</v>
      </c>
      <c r="F54" t="s">
        <v>176</v>
      </c>
      <c r="G54" s="53">
        <v>43693</v>
      </c>
      <c r="H54">
        <v>33</v>
      </c>
      <c r="I54" t="s">
        <v>349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2</v>
      </c>
      <c r="R54" t="s">
        <v>94</v>
      </c>
      <c r="S54">
        <v>1.1665999999999999E-2</v>
      </c>
      <c r="T54">
        <v>75.736999999999995</v>
      </c>
      <c r="U54" t="s">
        <v>349</v>
      </c>
      <c r="V54" t="s">
        <v>349</v>
      </c>
      <c r="W54">
        <v>1</v>
      </c>
    </row>
    <row r="55" spans="1:23" x14ac:dyDescent="0.25">
      <c r="A55" s="1">
        <v>43617</v>
      </c>
      <c r="B55" s="1">
        <v>43617</v>
      </c>
      <c r="C55" t="s">
        <v>157</v>
      </c>
      <c r="D55" t="s">
        <v>48</v>
      </c>
      <c r="E55" t="s">
        <v>49</v>
      </c>
      <c r="F55" t="s">
        <v>177</v>
      </c>
      <c r="G55" s="53">
        <v>43655</v>
      </c>
      <c r="H55">
        <v>33</v>
      </c>
      <c r="I55">
        <v>9022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2</v>
      </c>
      <c r="R55" t="s">
        <v>94</v>
      </c>
      <c r="S55">
        <v>5.1920700000000002</v>
      </c>
      <c r="T55">
        <v>75.736999999999995</v>
      </c>
      <c r="U55" t="s">
        <v>349</v>
      </c>
      <c r="V55" t="s">
        <v>349</v>
      </c>
      <c r="W55">
        <v>393</v>
      </c>
    </row>
    <row r="56" spans="1:23" x14ac:dyDescent="0.25">
      <c r="A56" s="1">
        <v>43617</v>
      </c>
      <c r="B56" s="1">
        <v>43617</v>
      </c>
      <c r="C56" t="s">
        <v>157</v>
      </c>
      <c r="D56" t="s">
        <v>93</v>
      </c>
      <c r="E56" t="s">
        <v>49</v>
      </c>
      <c r="F56" t="s">
        <v>176</v>
      </c>
      <c r="G56" s="53">
        <v>43693</v>
      </c>
      <c r="H56">
        <v>33</v>
      </c>
      <c r="I56" t="s">
        <v>349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3</v>
      </c>
      <c r="R56" t="s">
        <v>81</v>
      </c>
      <c r="S56">
        <v>0.55193199999999998</v>
      </c>
      <c r="T56">
        <v>70.436999999999998</v>
      </c>
      <c r="U56" t="s">
        <v>349</v>
      </c>
      <c r="V56" t="s">
        <v>349</v>
      </c>
      <c r="W56">
        <v>39</v>
      </c>
    </row>
    <row r="57" spans="1:23" x14ac:dyDescent="0.25">
      <c r="A57" s="1">
        <v>43617</v>
      </c>
      <c r="B57" s="1">
        <v>43617</v>
      </c>
      <c r="C57" t="s">
        <v>157</v>
      </c>
      <c r="D57" t="s">
        <v>48</v>
      </c>
      <c r="E57" t="s">
        <v>49</v>
      </c>
      <c r="F57" t="s">
        <v>177</v>
      </c>
      <c r="G57" s="53">
        <v>43655</v>
      </c>
      <c r="H57">
        <v>33</v>
      </c>
      <c r="I57">
        <v>9022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3</v>
      </c>
      <c r="R57" t="s">
        <v>81</v>
      </c>
      <c r="S57">
        <v>245.64497900000001</v>
      </c>
      <c r="T57">
        <v>70.436999999999998</v>
      </c>
      <c r="U57" t="s">
        <v>349</v>
      </c>
      <c r="V57" t="s">
        <v>349</v>
      </c>
      <c r="W57">
        <v>17302</v>
      </c>
    </row>
    <row r="58" spans="1:23" x14ac:dyDescent="0.25">
      <c r="A58" s="1">
        <v>43617</v>
      </c>
      <c r="B58" s="1">
        <v>43617</v>
      </c>
      <c r="C58" t="s">
        <v>157</v>
      </c>
      <c r="D58" t="s">
        <v>93</v>
      </c>
      <c r="E58" t="s">
        <v>49</v>
      </c>
      <c r="F58" t="s">
        <v>176</v>
      </c>
      <c r="G58" s="53">
        <v>43693</v>
      </c>
      <c r="H58">
        <v>33</v>
      </c>
      <c r="I58" t="s">
        <v>349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2.701975</v>
      </c>
      <c r="T58">
        <v>71.983999999999995</v>
      </c>
      <c r="U58" t="s">
        <v>349</v>
      </c>
      <c r="V58" t="s">
        <v>349</v>
      </c>
      <c r="W58">
        <v>194</v>
      </c>
    </row>
    <row r="59" spans="1:23" x14ac:dyDescent="0.25">
      <c r="A59" s="1">
        <v>43617</v>
      </c>
      <c r="B59" s="1">
        <v>43617</v>
      </c>
      <c r="C59" t="s">
        <v>157</v>
      </c>
      <c r="D59" t="s">
        <v>48</v>
      </c>
      <c r="E59" t="s">
        <v>49</v>
      </c>
      <c r="F59" t="s">
        <v>177</v>
      </c>
      <c r="G59" s="53">
        <v>43655</v>
      </c>
      <c r="H59">
        <v>33</v>
      </c>
      <c r="I59">
        <v>9022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4</v>
      </c>
      <c r="R59" t="s">
        <v>27</v>
      </c>
      <c r="S59">
        <v>1202.550551</v>
      </c>
      <c r="T59">
        <v>71.983999999999995</v>
      </c>
      <c r="U59" t="s">
        <v>349</v>
      </c>
      <c r="V59" t="s">
        <v>349</v>
      </c>
      <c r="W59">
        <v>86564</v>
      </c>
    </row>
    <row r="60" spans="1:23" x14ac:dyDescent="0.25">
      <c r="A60" s="1">
        <v>43617</v>
      </c>
      <c r="B60" s="1">
        <v>43617</v>
      </c>
      <c r="C60" t="s">
        <v>157</v>
      </c>
      <c r="D60" t="s">
        <v>93</v>
      </c>
      <c r="E60" t="s">
        <v>49</v>
      </c>
      <c r="F60" t="s">
        <v>176</v>
      </c>
      <c r="G60" s="53">
        <v>43693</v>
      </c>
      <c r="H60">
        <v>33</v>
      </c>
      <c r="I60" t="s">
        <v>349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1.0723999999999999E-2</v>
      </c>
      <c r="T60">
        <v>75.617000000000004</v>
      </c>
      <c r="U60" t="s">
        <v>349</v>
      </c>
      <c r="V60" t="s">
        <v>349</v>
      </c>
      <c r="W60">
        <v>1</v>
      </c>
    </row>
    <row r="61" spans="1:23" x14ac:dyDescent="0.25">
      <c r="A61" s="1">
        <v>43617</v>
      </c>
      <c r="B61" s="1">
        <v>43617</v>
      </c>
      <c r="C61" t="s">
        <v>157</v>
      </c>
      <c r="D61" t="s">
        <v>48</v>
      </c>
      <c r="E61" t="s">
        <v>49</v>
      </c>
      <c r="F61" t="s">
        <v>177</v>
      </c>
      <c r="G61" s="53">
        <v>43655</v>
      </c>
      <c r="H61">
        <v>33</v>
      </c>
      <c r="I61">
        <v>9022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4.7729540000000004</v>
      </c>
      <c r="T61">
        <v>75.617000000000004</v>
      </c>
      <c r="U61" t="s">
        <v>349</v>
      </c>
      <c r="V61" t="s">
        <v>349</v>
      </c>
      <c r="W61">
        <v>361</v>
      </c>
    </row>
    <row r="62" spans="1:23" x14ac:dyDescent="0.25">
      <c r="A62" s="1">
        <v>43647</v>
      </c>
      <c r="B62" s="1">
        <v>43647</v>
      </c>
      <c r="C62" t="s">
        <v>157</v>
      </c>
      <c r="D62" t="s">
        <v>93</v>
      </c>
      <c r="E62" t="s">
        <v>49</v>
      </c>
      <c r="F62" t="s">
        <v>179</v>
      </c>
      <c r="G62" s="53">
        <v>43914.908402777779</v>
      </c>
      <c r="H62">
        <v>61</v>
      </c>
      <c r="I62" t="s">
        <v>349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>
        <v>1</v>
      </c>
      <c r="T62">
        <v>-19</v>
      </c>
      <c r="U62" t="s">
        <v>349</v>
      </c>
      <c r="V62" t="s">
        <v>349</v>
      </c>
      <c r="W62">
        <v>-19</v>
      </c>
    </row>
    <row r="63" spans="1:23" x14ac:dyDescent="0.25">
      <c r="A63" s="1">
        <v>43647</v>
      </c>
      <c r="B63" s="1">
        <v>43647</v>
      </c>
      <c r="C63" t="s">
        <v>157</v>
      </c>
      <c r="D63" t="s">
        <v>48</v>
      </c>
      <c r="E63" t="s">
        <v>49</v>
      </c>
      <c r="F63" t="s">
        <v>178</v>
      </c>
      <c r="G63" s="53">
        <v>43686</v>
      </c>
      <c r="H63">
        <v>33</v>
      </c>
      <c r="I63">
        <v>9466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842.75503100000003</v>
      </c>
      <c r="T63">
        <v>74.400999999999996</v>
      </c>
      <c r="U63" t="s">
        <v>349</v>
      </c>
      <c r="V63" t="s">
        <v>349</v>
      </c>
      <c r="W63">
        <v>62702</v>
      </c>
    </row>
    <row r="64" spans="1:23" x14ac:dyDescent="0.25">
      <c r="A64" s="1">
        <v>43647</v>
      </c>
      <c r="B64" s="1">
        <v>43647</v>
      </c>
      <c r="C64" t="s">
        <v>157</v>
      </c>
      <c r="D64" t="s">
        <v>48</v>
      </c>
      <c r="E64" t="s">
        <v>49</v>
      </c>
      <c r="F64" t="s">
        <v>178</v>
      </c>
      <c r="G64" s="53">
        <v>43686</v>
      </c>
      <c r="H64">
        <v>33</v>
      </c>
      <c r="I64">
        <v>9466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2</v>
      </c>
      <c r="R64" t="s">
        <v>94</v>
      </c>
      <c r="S64">
        <v>3.6725080000000001</v>
      </c>
      <c r="T64">
        <v>75.736999999999995</v>
      </c>
      <c r="U64" t="s">
        <v>349</v>
      </c>
      <c r="V64" t="s">
        <v>349</v>
      </c>
      <c r="W64">
        <v>278</v>
      </c>
    </row>
    <row r="65" spans="1:23" x14ac:dyDescent="0.25">
      <c r="A65" s="1">
        <v>43647</v>
      </c>
      <c r="B65" s="1">
        <v>43647</v>
      </c>
      <c r="C65" t="s">
        <v>157</v>
      </c>
      <c r="D65" t="s">
        <v>93</v>
      </c>
      <c r="E65" t="s">
        <v>49</v>
      </c>
      <c r="F65" t="s">
        <v>179</v>
      </c>
      <c r="G65" s="53">
        <v>43914.908402777779</v>
      </c>
      <c r="H65">
        <v>61</v>
      </c>
      <c r="I65" t="s">
        <v>349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3</v>
      </c>
      <c r="R65" t="s">
        <v>81</v>
      </c>
      <c r="S65">
        <v>1</v>
      </c>
      <c r="T65">
        <v>-3</v>
      </c>
      <c r="U65" t="s">
        <v>349</v>
      </c>
      <c r="V65" t="s">
        <v>349</v>
      </c>
      <c r="W65">
        <v>-3</v>
      </c>
    </row>
    <row r="66" spans="1:23" x14ac:dyDescent="0.25">
      <c r="A66" s="1">
        <v>43647</v>
      </c>
      <c r="B66" s="1">
        <v>43647</v>
      </c>
      <c r="C66" t="s">
        <v>157</v>
      </c>
      <c r="D66" t="s">
        <v>48</v>
      </c>
      <c r="E66" t="s">
        <v>49</v>
      </c>
      <c r="F66" t="s">
        <v>178</v>
      </c>
      <c r="G66" s="53">
        <v>43686</v>
      </c>
      <c r="H66">
        <v>33</v>
      </c>
      <c r="I66">
        <v>9466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3</v>
      </c>
      <c r="R66" t="s">
        <v>81</v>
      </c>
      <c r="S66">
        <v>171.56035499999999</v>
      </c>
      <c r="T66">
        <v>70.436999999999998</v>
      </c>
      <c r="U66" t="s">
        <v>349</v>
      </c>
      <c r="V66" t="s">
        <v>349</v>
      </c>
      <c r="W66">
        <v>12084</v>
      </c>
    </row>
    <row r="67" spans="1:23" x14ac:dyDescent="0.25">
      <c r="A67" s="1">
        <v>43647</v>
      </c>
      <c r="B67" s="1">
        <v>43647</v>
      </c>
      <c r="C67" t="s">
        <v>157</v>
      </c>
      <c r="D67" t="s">
        <v>93</v>
      </c>
      <c r="E67" t="s">
        <v>49</v>
      </c>
      <c r="F67" t="s">
        <v>179</v>
      </c>
      <c r="G67" s="53">
        <v>43914.908402777779</v>
      </c>
      <c r="H67">
        <v>61</v>
      </c>
      <c r="I67" t="s">
        <v>349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4</v>
      </c>
      <c r="R67" t="s">
        <v>27</v>
      </c>
      <c r="S67">
        <v>1</v>
      </c>
      <c r="T67">
        <v>-25</v>
      </c>
      <c r="U67" t="s">
        <v>349</v>
      </c>
      <c r="V67" t="s">
        <v>349</v>
      </c>
      <c r="W67">
        <v>-25</v>
      </c>
    </row>
    <row r="68" spans="1:23" x14ac:dyDescent="0.25">
      <c r="A68" s="1">
        <v>43647</v>
      </c>
      <c r="B68" s="1">
        <v>43647</v>
      </c>
      <c r="C68" t="s">
        <v>157</v>
      </c>
      <c r="D68" t="s">
        <v>48</v>
      </c>
      <c r="E68" t="s">
        <v>49</v>
      </c>
      <c r="F68" t="s">
        <v>178</v>
      </c>
      <c r="G68" s="53">
        <v>43686</v>
      </c>
      <c r="H68">
        <v>33</v>
      </c>
      <c r="I68">
        <v>9466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4</v>
      </c>
      <c r="R68" t="s">
        <v>27</v>
      </c>
      <c r="S68">
        <v>1210.3736879999999</v>
      </c>
      <c r="T68">
        <v>71.983999999999995</v>
      </c>
      <c r="U68" t="s">
        <v>349</v>
      </c>
      <c r="V68" t="s">
        <v>349</v>
      </c>
      <c r="W68">
        <v>87128</v>
      </c>
    </row>
    <row r="69" spans="1:23" x14ac:dyDescent="0.25">
      <c r="A69" s="1">
        <v>43647</v>
      </c>
      <c r="B69" s="1">
        <v>43647</v>
      </c>
      <c r="C69" t="s">
        <v>157</v>
      </c>
      <c r="D69" t="s">
        <v>48</v>
      </c>
      <c r="E69" t="s">
        <v>49</v>
      </c>
      <c r="F69" t="s">
        <v>178</v>
      </c>
      <c r="G69" s="53">
        <v>43686</v>
      </c>
      <c r="H69">
        <v>33</v>
      </c>
      <c r="I69">
        <v>9466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5</v>
      </c>
      <c r="R69" t="s">
        <v>28</v>
      </c>
      <c r="S69">
        <v>3.7772670000000002</v>
      </c>
      <c r="T69">
        <v>75.617000000000004</v>
      </c>
      <c r="U69" t="s">
        <v>349</v>
      </c>
      <c r="V69" t="s">
        <v>349</v>
      </c>
      <c r="W69">
        <v>286</v>
      </c>
    </row>
    <row r="70" spans="1:23" x14ac:dyDescent="0.25">
      <c r="A70" s="1">
        <v>43678</v>
      </c>
      <c r="B70" s="1">
        <v>43678</v>
      </c>
      <c r="C70" t="s">
        <v>157</v>
      </c>
      <c r="D70" t="s">
        <v>93</v>
      </c>
      <c r="E70" t="s">
        <v>49</v>
      </c>
      <c r="F70" t="s">
        <v>182</v>
      </c>
      <c r="G70" s="53">
        <v>43915.393750000003</v>
      </c>
      <c r="H70">
        <v>61</v>
      </c>
      <c r="I70" t="s">
        <v>349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1</v>
      </c>
      <c r="R70" t="s">
        <v>83</v>
      </c>
      <c r="S70">
        <v>1</v>
      </c>
      <c r="T70">
        <v>-415</v>
      </c>
      <c r="U70" t="s">
        <v>349</v>
      </c>
      <c r="V70" t="s">
        <v>349</v>
      </c>
      <c r="W70">
        <v>-415</v>
      </c>
    </row>
    <row r="71" spans="1:23" x14ac:dyDescent="0.25">
      <c r="A71" s="1">
        <v>43678</v>
      </c>
      <c r="B71" s="1">
        <v>43678</v>
      </c>
      <c r="C71" t="s">
        <v>157</v>
      </c>
      <c r="D71" t="s">
        <v>48</v>
      </c>
      <c r="E71" t="s">
        <v>49</v>
      </c>
      <c r="F71" t="s">
        <v>181</v>
      </c>
      <c r="G71" s="53">
        <v>43719</v>
      </c>
      <c r="H71">
        <v>33</v>
      </c>
      <c r="I71">
        <v>9996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1</v>
      </c>
      <c r="R71" t="s">
        <v>83</v>
      </c>
      <c r="S71">
        <v>797.16753600000004</v>
      </c>
      <c r="T71">
        <v>74.400999999999996</v>
      </c>
      <c r="U71" t="s">
        <v>349</v>
      </c>
      <c r="V71" t="s">
        <v>349</v>
      </c>
      <c r="W71">
        <v>59310</v>
      </c>
    </row>
    <row r="72" spans="1:23" x14ac:dyDescent="0.25">
      <c r="A72" s="1">
        <v>43678</v>
      </c>
      <c r="B72" s="1">
        <v>43678</v>
      </c>
      <c r="C72" t="s">
        <v>157</v>
      </c>
      <c r="D72" t="s">
        <v>93</v>
      </c>
      <c r="E72" t="s">
        <v>49</v>
      </c>
      <c r="F72" t="s">
        <v>182</v>
      </c>
      <c r="G72" s="53">
        <v>43915.393750000003</v>
      </c>
      <c r="H72">
        <v>61</v>
      </c>
      <c r="I72" t="s">
        <v>349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2</v>
      </c>
      <c r="R72" t="s">
        <v>94</v>
      </c>
      <c r="S72">
        <v>1</v>
      </c>
      <c r="T72">
        <v>-2</v>
      </c>
      <c r="U72" t="s">
        <v>349</v>
      </c>
      <c r="V72" t="s">
        <v>349</v>
      </c>
      <c r="W72">
        <v>-2</v>
      </c>
    </row>
    <row r="73" spans="1:23" x14ac:dyDescent="0.25">
      <c r="A73" s="1">
        <v>43678</v>
      </c>
      <c r="B73" s="1">
        <v>43678</v>
      </c>
      <c r="C73" t="s">
        <v>157</v>
      </c>
      <c r="D73" t="s">
        <v>48</v>
      </c>
      <c r="E73" t="s">
        <v>49</v>
      </c>
      <c r="F73" t="s">
        <v>181</v>
      </c>
      <c r="G73" s="53">
        <v>43719</v>
      </c>
      <c r="H73">
        <v>33</v>
      </c>
      <c r="I73">
        <v>9996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>
        <v>3.3512949999999999</v>
      </c>
      <c r="T73">
        <v>75.736999999999995</v>
      </c>
      <c r="U73" t="s">
        <v>349</v>
      </c>
      <c r="V73" t="s">
        <v>349</v>
      </c>
      <c r="W73">
        <v>254</v>
      </c>
    </row>
    <row r="74" spans="1:23" x14ac:dyDescent="0.25">
      <c r="A74" s="1">
        <v>43678</v>
      </c>
      <c r="B74" s="1">
        <v>43678</v>
      </c>
      <c r="C74" t="s">
        <v>157</v>
      </c>
      <c r="D74" t="s">
        <v>93</v>
      </c>
      <c r="E74" t="s">
        <v>49</v>
      </c>
      <c r="F74" t="s">
        <v>182</v>
      </c>
      <c r="G74" s="53">
        <v>43915.393750000003</v>
      </c>
      <c r="H74">
        <v>61</v>
      </c>
      <c r="I74" t="s">
        <v>349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>
        <v>1</v>
      </c>
      <c r="T74">
        <v>-80</v>
      </c>
      <c r="U74" t="s">
        <v>349</v>
      </c>
      <c r="V74" t="s">
        <v>349</v>
      </c>
      <c r="W74">
        <v>-80</v>
      </c>
    </row>
    <row r="75" spans="1:23" x14ac:dyDescent="0.25">
      <c r="A75" s="1">
        <v>43678</v>
      </c>
      <c r="B75" s="1">
        <v>43678</v>
      </c>
      <c r="C75" t="s">
        <v>157</v>
      </c>
      <c r="D75" t="s">
        <v>48</v>
      </c>
      <c r="E75" t="s">
        <v>49</v>
      </c>
      <c r="F75" t="s">
        <v>181</v>
      </c>
      <c r="G75" s="53">
        <v>43719</v>
      </c>
      <c r="H75">
        <v>33</v>
      </c>
      <c r="I75">
        <v>9996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3</v>
      </c>
      <c r="R75" t="s">
        <v>81</v>
      </c>
      <c r="S75">
        <v>162.116804</v>
      </c>
      <c r="T75">
        <v>70.436999999999998</v>
      </c>
      <c r="U75" t="s">
        <v>349</v>
      </c>
      <c r="V75" t="s">
        <v>349</v>
      </c>
      <c r="W75">
        <v>11419</v>
      </c>
    </row>
    <row r="76" spans="1:23" x14ac:dyDescent="0.25">
      <c r="A76" s="1">
        <v>43678</v>
      </c>
      <c r="B76" s="1">
        <v>43678</v>
      </c>
      <c r="C76" t="s">
        <v>157</v>
      </c>
      <c r="D76" t="s">
        <v>93</v>
      </c>
      <c r="E76" t="s">
        <v>49</v>
      </c>
      <c r="F76" t="s">
        <v>182</v>
      </c>
      <c r="G76" s="53">
        <v>43915.393750000003</v>
      </c>
      <c r="H76">
        <v>61</v>
      </c>
      <c r="I76" t="s">
        <v>349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4</v>
      </c>
      <c r="R76" t="s">
        <v>27</v>
      </c>
      <c r="S76">
        <v>1</v>
      </c>
      <c r="T76">
        <v>-572</v>
      </c>
      <c r="U76" t="s">
        <v>349</v>
      </c>
      <c r="V76" t="s">
        <v>349</v>
      </c>
      <c r="W76">
        <v>-572</v>
      </c>
    </row>
    <row r="77" spans="1:23" x14ac:dyDescent="0.25">
      <c r="A77" s="1">
        <v>43678</v>
      </c>
      <c r="B77" s="1">
        <v>43678</v>
      </c>
      <c r="C77" t="s">
        <v>157</v>
      </c>
      <c r="D77" t="s">
        <v>48</v>
      </c>
      <c r="E77" t="s">
        <v>49</v>
      </c>
      <c r="F77" t="s">
        <v>181</v>
      </c>
      <c r="G77" s="53">
        <v>43719</v>
      </c>
      <c r="H77">
        <v>33</v>
      </c>
      <c r="I77">
        <v>9996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4</v>
      </c>
      <c r="R77" t="s">
        <v>27</v>
      </c>
      <c r="S77">
        <v>1136.702366</v>
      </c>
      <c r="T77">
        <v>71.983999999999995</v>
      </c>
      <c r="U77" t="s">
        <v>349</v>
      </c>
      <c r="V77" t="s">
        <v>349</v>
      </c>
      <c r="W77">
        <v>81824</v>
      </c>
    </row>
    <row r="78" spans="1:23" x14ac:dyDescent="0.25">
      <c r="A78" s="1">
        <v>43678</v>
      </c>
      <c r="B78" s="1">
        <v>43678</v>
      </c>
      <c r="C78" t="s">
        <v>157</v>
      </c>
      <c r="D78" t="s">
        <v>93</v>
      </c>
      <c r="E78" t="s">
        <v>49</v>
      </c>
      <c r="F78" t="s">
        <v>182</v>
      </c>
      <c r="G78" s="53">
        <v>43915.393750000003</v>
      </c>
      <c r="H78">
        <v>61</v>
      </c>
      <c r="I78" t="s">
        <v>349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5</v>
      </c>
      <c r="R78" t="s">
        <v>28</v>
      </c>
      <c r="S78">
        <v>1</v>
      </c>
      <c r="T78">
        <v>-2</v>
      </c>
      <c r="U78" t="s">
        <v>349</v>
      </c>
      <c r="V78" t="s">
        <v>349</v>
      </c>
      <c r="W78">
        <v>-2</v>
      </c>
    </row>
    <row r="79" spans="1:23" x14ac:dyDescent="0.25">
      <c r="A79" s="1">
        <v>43678</v>
      </c>
      <c r="B79" s="1">
        <v>43678</v>
      </c>
      <c r="C79" t="s">
        <v>157</v>
      </c>
      <c r="D79" t="s">
        <v>48</v>
      </c>
      <c r="E79" t="s">
        <v>49</v>
      </c>
      <c r="F79" t="s">
        <v>181</v>
      </c>
      <c r="G79" s="53">
        <v>43719</v>
      </c>
      <c r="H79">
        <v>33</v>
      </c>
      <c r="I79">
        <v>9996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5</v>
      </c>
      <c r="R79" t="s">
        <v>28</v>
      </c>
      <c r="S79">
        <v>3.471597</v>
      </c>
      <c r="T79">
        <v>75.617000000000004</v>
      </c>
      <c r="U79" t="s">
        <v>349</v>
      </c>
      <c r="V79" t="s">
        <v>349</v>
      </c>
      <c r="W79">
        <v>263</v>
      </c>
    </row>
    <row r="80" spans="1:23" x14ac:dyDescent="0.25">
      <c r="A80" s="1">
        <v>43709</v>
      </c>
      <c r="B80" s="1">
        <v>43709</v>
      </c>
      <c r="C80" t="s">
        <v>157</v>
      </c>
      <c r="D80" t="s">
        <v>48</v>
      </c>
      <c r="E80" t="s">
        <v>49</v>
      </c>
      <c r="F80" t="s">
        <v>184</v>
      </c>
      <c r="G80" s="53">
        <v>43748</v>
      </c>
      <c r="H80">
        <v>33</v>
      </c>
      <c r="I80">
        <v>10390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1</v>
      </c>
      <c r="R80" t="s">
        <v>83</v>
      </c>
      <c r="S80">
        <v>755.96651699999995</v>
      </c>
      <c r="T80">
        <v>77.384</v>
      </c>
      <c r="U80" t="s">
        <v>349</v>
      </c>
      <c r="V80" t="s">
        <v>349</v>
      </c>
      <c r="W80">
        <v>58500</v>
      </c>
    </row>
    <row r="81" spans="1:23" x14ac:dyDescent="0.25">
      <c r="A81" s="1">
        <v>43709</v>
      </c>
      <c r="B81" s="1">
        <v>43709</v>
      </c>
      <c r="C81" t="s">
        <v>157</v>
      </c>
      <c r="D81" t="s">
        <v>48</v>
      </c>
      <c r="E81" t="s">
        <v>49</v>
      </c>
      <c r="F81" t="s">
        <v>184</v>
      </c>
      <c r="G81" s="53">
        <v>43748</v>
      </c>
      <c r="H81">
        <v>33</v>
      </c>
      <c r="I81">
        <v>10390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3.2400500000000001</v>
      </c>
      <c r="T81">
        <v>79.429000000000002</v>
      </c>
      <c r="U81" t="s">
        <v>349</v>
      </c>
      <c r="V81" t="s">
        <v>349</v>
      </c>
      <c r="W81">
        <v>257</v>
      </c>
    </row>
    <row r="82" spans="1:23" x14ac:dyDescent="0.25">
      <c r="A82" s="1">
        <v>43709</v>
      </c>
      <c r="B82" s="1">
        <v>43709</v>
      </c>
      <c r="C82" t="s">
        <v>157</v>
      </c>
      <c r="D82" t="s">
        <v>48</v>
      </c>
      <c r="E82" t="s">
        <v>49</v>
      </c>
      <c r="F82" t="s">
        <v>184</v>
      </c>
      <c r="G82" s="53">
        <v>43748</v>
      </c>
      <c r="H82">
        <v>33</v>
      </c>
      <c r="I82">
        <v>10390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>
        <v>154.713278</v>
      </c>
      <c r="T82">
        <v>72.400000000000006</v>
      </c>
      <c r="U82" t="s">
        <v>349</v>
      </c>
      <c r="V82" t="s">
        <v>349</v>
      </c>
      <c r="W82">
        <v>11201</v>
      </c>
    </row>
    <row r="83" spans="1:23" x14ac:dyDescent="0.25">
      <c r="A83" s="1">
        <v>43709</v>
      </c>
      <c r="B83" s="1">
        <v>43709</v>
      </c>
      <c r="C83" t="s">
        <v>157</v>
      </c>
      <c r="D83" t="s">
        <v>48</v>
      </c>
      <c r="E83" t="s">
        <v>49</v>
      </c>
      <c r="F83" t="s">
        <v>184</v>
      </c>
      <c r="G83" s="53">
        <v>43748</v>
      </c>
      <c r="H83">
        <v>33</v>
      </c>
      <c r="I83">
        <v>10390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4</v>
      </c>
      <c r="R83" t="s">
        <v>27</v>
      </c>
      <c r="S83">
        <v>1084.175843</v>
      </c>
      <c r="T83">
        <v>74.936000000000007</v>
      </c>
      <c r="U83" t="s">
        <v>349</v>
      </c>
      <c r="V83" t="s">
        <v>349</v>
      </c>
      <c r="W83">
        <v>81244</v>
      </c>
    </row>
    <row r="84" spans="1:23" x14ac:dyDescent="0.25">
      <c r="A84" s="1">
        <v>43709</v>
      </c>
      <c r="B84" s="1">
        <v>43709</v>
      </c>
      <c r="C84" t="s">
        <v>157</v>
      </c>
      <c r="D84" t="s">
        <v>48</v>
      </c>
      <c r="E84" t="s">
        <v>49</v>
      </c>
      <c r="F84" t="s">
        <v>184</v>
      </c>
      <c r="G84" s="53">
        <v>43748</v>
      </c>
      <c r="H84">
        <v>33</v>
      </c>
      <c r="I84">
        <v>10390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5</v>
      </c>
      <c r="R84" t="s">
        <v>28</v>
      </c>
      <c r="S84">
        <v>3.3587340000000001</v>
      </c>
      <c r="T84">
        <v>75.665000000000006</v>
      </c>
      <c r="U84" t="s">
        <v>349</v>
      </c>
      <c r="V84" t="s">
        <v>349</v>
      </c>
      <c r="W84">
        <v>254</v>
      </c>
    </row>
    <row r="85" spans="1:23" x14ac:dyDescent="0.25">
      <c r="A85" s="1">
        <v>43739</v>
      </c>
      <c r="B85" s="1">
        <v>43709</v>
      </c>
      <c r="C85" t="s">
        <v>157</v>
      </c>
      <c r="D85" t="s">
        <v>57</v>
      </c>
      <c r="E85" t="s">
        <v>49</v>
      </c>
      <c r="F85" t="s">
        <v>185</v>
      </c>
      <c r="G85" s="53">
        <v>43944.47278935185</v>
      </c>
      <c r="H85">
        <v>61</v>
      </c>
      <c r="I85" t="s">
        <v>349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1</v>
      </c>
      <c r="R85" t="s">
        <v>83</v>
      </c>
      <c r="S85">
        <v>-755.96651699999995</v>
      </c>
      <c r="T85">
        <v>77.384</v>
      </c>
      <c r="U85" t="s">
        <v>349</v>
      </c>
      <c r="V85" t="s">
        <v>349</v>
      </c>
      <c r="W85">
        <v>-58500</v>
      </c>
    </row>
    <row r="86" spans="1:23" x14ac:dyDescent="0.25">
      <c r="A86" s="1">
        <v>43739</v>
      </c>
      <c r="B86" s="1">
        <v>43709</v>
      </c>
      <c r="C86" t="s">
        <v>157</v>
      </c>
      <c r="D86" t="s">
        <v>57</v>
      </c>
      <c r="E86" t="s">
        <v>49</v>
      </c>
      <c r="F86" t="s">
        <v>188</v>
      </c>
      <c r="G86" s="53">
        <v>43944.47278935185</v>
      </c>
      <c r="H86">
        <v>61</v>
      </c>
      <c r="I86" t="s">
        <v>349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1</v>
      </c>
      <c r="R86" t="s">
        <v>83</v>
      </c>
      <c r="S86">
        <v>764.87856799999997</v>
      </c>
      <c r="T86">
        <v>74.400999999999996</v>
      </c>
      <c r="U86" t="s">
        <v>349</v>
      </c>
      <c r="V86" t="s">
        <v>349</v>
      </c>
      <c r="W86">
        <v>56908</v>
      </c>
    </row>
    <row r="87" spans="1:23" x14ac:dyDescent="0.25">
      <c r="A87" s="1">
        <v>43739</v>
      </c>
      <c r="B87" s="1">
        <v>43739</v>
      </c>
      <c r="C87" t="s">
        <v>157</v>
      </c>
      <c r="D87" t="s">
        <v>93</v>
      </c>
      <c r="E87" t="s">
        <v>49</v>
      </c>
      <c r="F87" t="s">
        <v>187</v>
      </c>
      <c r="G87" s="53">
        <v>43812</v>
      </c>
      <c r="H87">
        <v>61</v>
      </c>
      <c r="I87" t="s">
        <v>349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>
        <v>1</v>
      </c>
      <c r="T87">
        <v>-194</v>
      </c>
      <c r="U87" t="s">
        <v>349</v>
      </c>
      <c r="V87" t="s">
        <v>349</v>
      </c>
      <c r="W87">
        <v>-194</v>
      </c>
    </row>
    <row r="88" spans="1:23" x14ac:dyDescent="0.25">
      <c r="A88" s="1">
        <v>43739</v>
      </c>
      <c r="B88" s="1">
        <v>43739</v>
      </c>
      <c r="C88" t="s">
        <v>157</v>
      </c>
      <c r="D88" t="s">
        <v>48</v>
      </c>
      <c r="E88" t="s">
        <v>49</v>
      </c>
      <c r="F88" t="s">
        <v>189</v>
      </c>
      <c r="G88" s="53">
        <v>43781</v>
      </c>
      <c r="H88">
        <v>33</v>
      </c>
      <c r="I88">
        <v>10809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1</v>
      </c>
      <c r="R88" t="s">
        <v>83</v>
      </c>
      <c r="S88">
        <v>910.42412200000001</v>
      </c>
      <c r="T88">
        <v>74.400999999999996</v>
      </c>
      <c r="U88" t="s">
        <v>349</v>
      </c>
      <c r="V88" t="s">
        <v>349</v>
      </c>
      <c r="W88">
        <v>67736</v>
      </c>
    </row>
    <row r="89" spans="1:23" x14ac:dyDescent="0.25">
      <c r="A89" s="1">
        <v>43739</v>
      </c>
      <c r="B89" s="1">
        <v>43709</v>
      </c>
      <c r="C89" t="s">
        <v>157</v>
      </c>
      <c r="D89" t="s">
        <v>57</v>
      </c>
      <c r="E89" t="s">
        <v>49</v>
      </c>
      <c r="F89" t="s">
        <v>185</v>
      </c>
      <c r="G89" s="53">
        <v>43944.47278935185</v>
      </c>
      <c r="H89">
        <v>61</v>
      </c>
      <c r="I89" t="s">
        <v>349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2</v>
      </c>
      <c r="R89" t="s">
        <v>94</v>
      </c>
      <c r="S89">
        <v>-3.2400500000000001</v>
      </c>
      <c r="T89">
        <v>79.429000000000002</v>
      </c>
      <c r="U89" t="s">
        <v>349</v>
      </c>
      <c r="V89" t="s">
        <v>349</v>
      </c>
      <c r="W89">
        <v>-257</v>
      </c>
    </row>
    <row r="90" spans="1:23" x14ac:dyDescent="0.25">
      <c r="A90" s="1">
        <v>43739</v>
      </c>
      <c r="B90" s="1">
        <v>43709</v>
      </c>
      <c r="C90" t="s">
        <v>157</v>
      </c>
      <c r="D90" t="s">
        <v>57</v>
      </c>
      <c r="E90" t="s">
        <v>49</v>
      </c>
      <c r="F90" t="s">
        <v>188</v>
      </c>
      <c r="G90" s="53">
        <v>43944.47278935185</v>
      </c>
      <c r="H90">
        <v>61</v>
      </c>
      <c r="I90" t="s">
        <v>349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2</v>
      </c>
      <c r="R90" t="s">
        <v>94</v>
      </c>
      <c r="S90">
        <v>3.2782469999999999</v>
      </c>
      <c r="T90">
        <v>75.736999999999995</v>
      </c>
      <c r="U90" t="s">
        <v>349</v>
      </c>
      <c r="V90" t="s">
        <v>349</v>
      </c>
      <c r="W90">
        <v>248</v>
      </c>
    </row>
    <row r="91" spans="1:23" x14ac:dyDescent="0.25">
      <c r="A91" s="1">
        <v>43739</v>
      </c>
      <c r="B91" s="1">
        <v>43739</v>
      </c>
      <c r="C91" t="s">
        <v>157</v>
      </c>
      <c r="D91" t="s">
        <v>93</v>
      </c>
      <c r="E91" t="s">
        <v>49</v>
      </c>
      <c r="F91" t="s">
        <v>187</v>
      </c>
      <c r="G91" s="53">
        <v>43812</v>
      </c>
      <c r="H91">
        <v>61</v>
      </c>
      <c r="I91" t="s">
        <v>349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2</v>
      </c>
      <c r="R91" t="s">
        <v>94</v>
      </c>
      <c r="S91">
        <v>1</v>
      </c>
      <c r="T91">
        <v>-1</v>
      </c>
      <c r="U91" t="s">
        <v>349</v>
      </c>
      <c r="V91" t="s">
        <v>349</v>
      </c>
      <c r="W91">
        <v>-1</v>
      </c>
    </row>
    <row r="92" spans="1:23" x14ac:dyDescent="0.25">
      <c r="A92" s="1">
        <v>43739</v>
      </c>
      <c r="B92" s="1">
        <v>43739</v>
      </c>
      <c r="C92" t="s">
        <v>157</v>
      </c>
      <c r="D92" t="s">
        <v>48</v>
      </c>
      <c r="E92" t="s">
        <v>49</v>
      </c>
      <c r="F92" t="s">
        <v>189</v>
      </c>
      <c r="G92" s="53">
        <v>43781</v>
      </c>
      <c r="H92">
        <v>33</v>
      </c>
      <c r="I92">
        <v>10809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2</v>
      </c>
      <c r="R92" t="s">
        <v>94</v>
      </c>
      <c r="S92">
        <v>3.9241600000000001</v>
      </c>
      <c r="T92">
        <v>75.736999999999995</v>
      </c>
      <c r="U92" t="s">
        <v>349</v>
      </c>
      <c r="V92" t="s">
        <v>349</v>
      </c>
      <c r="W92">
        <v>297</v>
      </c>
    </row>
    <row r="93" spans="1:23" x14ac:dyDescent="0.25">
      <c r="A93" s="1">
        <v>43739</v>
      </c>
      <c r="B93" s="1">
        <v>43709</v>
      </c>
      <c r="C93" t="s">
        <v>157</v>
      </c>
      <c r="D93" t="s">
        <v>57</v>
      </c>
      <c r="E93" t="s">
        <v>49</v>
      </c>
      <c r="F93" t="s">
        <v>185</v>
      </c>
      <c r="G93" s="53">
        <v>43944.47278935185</v>
      </c>
      <c r="H93">
        <v>61</v>
      </c>
      <c r="I93" t="s">
        <v>349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3</v>
      </c>
      <c r="R93" t="s">
        <v>81</v>
      </c>
      <c r="S93">
        <v>-154.713278</v>
      </c>
      <c r="T93">
        <v>72.400000000000006</v>
      </c>
      <c r="U93" t="s">
        <v>349</v>
      </c>
      <c r="V93" t="s">
        <v>349</v>
      </c>
      <c r="W93">
        <v>-11201</v>
      </c>
    </row>
    <row r="94" spans="1:23" x14ac:dyDescent="0.25">
      <c r="A94" s="1">
        <v>43739</v>
      </c>
      <c r="B94" s="1">
        <v>43709</v>
      </c>
      <c r="C94" t="s">
        <v>157</v>
      </c>
      <c r="D94" t="s">
        <v>57</v>
      </c>
      <c r="E94" t="s">
        <v>49</v>
      </c>
      <c r="F94" t="s">
        <v>188</v>
      </c>
      <c r="G94" s="53">
        <v>43944.47278935185</v>
      </c>
      <c r="H94">
        <v>61</v>
      </c>
      <c r="I94" t="s">
        <v>349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>
        <v>156.53718499999999</v>
      </c>
      <c r="T94">
        <v>70.436999999999998</v>
      </c>
      <c r="U94" t="s">
        <v>349</v>
      </c>
      <c r="V94" t="s">
        <v>349</v>
      </c>
      <c r="W94">
        <v>11026</v>
      </c>
    </row>
    <row r="95" spans="1:23" x14ac:dyDescent="0.25">
      <c r="A95" s="1">
        <v>43739</v>
      </c>
      <c r="B95" s="1">
        <v>43739</v>
      </c>
      <c r="C95" t="s">
        <v>157</v>
      </c>
      <c r="D95" t="s">
        <v>93</v>
      </c>
      <c r="E95" t="s">
        <v>49</v>
      </c>
      <c r="F95" t="s">
        <v>187</v>
      </c>
      <c r="G95" s="53">
        <v>43812</v>
      </c>
      <c r="H95">
        <v>61</v>
      </c>
      <c r="I95" t="s">
        <v>349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3</v>
      </c>
      <c r="R95" t="s">
        <v>81</v>
      </c>
      <c r="S95">
        <v>1</v>
      </c>
      <c r="T95">
        <v>-38</v>
      </c>
      <c r="U95" t="s">
        <v>349</v>
      </c>
      <c r="V95" t="s">
        <v>349</v>
      </c>
      <c r="W95">
        <v>-38</v>
      </c>
    </row>
    <row r="96" spans="1:23" x14ac:dyDescent="0.25">
      <c r="A96" s="1">
        <v>43739</v>
      </c>
      <c r="B96" s="1">
        <v>43739</v>
      </c>
      <c r="C96" t="s">
        <v>157</v>
      </c>
      <c r="D96" t="s">
        <v>48</v>
      </c>
      <c r="E96" t="s">
        <v>49</v>
      </c>
      <c r="F96" t="s">
        <v>189</v>
      </c>
      <c r="G96" s="53">
        <v>43781</v>
      </c>
      <c r="H96">
        <v>33</v>
      </c>
      <c r="I96">
        <v>10809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188.286708</v>
      </c>
      <c r="T96">
        <v>70.436999999999998</v>
      </c>
      <c r="U96" t="s">
        <v>349</v>
      </c>
      <c r="V96" t="s">
        <v>349</v>
      </c>
      <c r="W96">
        <v>13262</v>
      </c>
    </row>
    <row r="97" spans="1:23" x14ac:dyDescent="0.25">
      <c r="A97" s="1">
        <v>43739</v>
      </c>
      <c r="B97" s="1">
        <v>43709</v>
      </c>
      <c r="C97" t="s">
        <v>157</v>
      </c>
      <c r="D97" t="s">
        <v>57</v>
      </c>
      <c r="E97" t="s">
        <v>49</v>
      </c>
      <c r="F97" t="s">
        <v>185</v>
      </c>
      <c r="G97" s="53">
        <v>43944.47278935185</v>
      </c>
      <c r="H97">
        <v>61</v>
      </c>
      <c r="I97" t="s">
        <v>349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4</v>
      </c>
      <c r="R97" t="s">
        <v>27</v>
      </c>
      <c r="S97">
        <v>-1084.175843</v>
      </c>
      <c r="T97">
        <v>74.936000000000007</v>
      </c>
      <c r="U97" t="s">
        <v>349</v>
      </c>
      <c r="V97" t="s">
        <v>349</v>
      </c>
      <c r="W97">
        <v>-81244</v>
      </c>
    </row>
    <row r="98" spans="1:23" x14ac:dyDescent="0.25">
      <c r="A98" s="1">
        <v>43739</v>
      </c>
      <c r="B98" s="1">
        <v>43709</v>
      </c>
      <c r="C98" t="s">
        <v>157</v>
      </c>
      <c r="D98" t="s">
        <v>57</v>
      </c>
      <c r="E98" t="s">
        <v>49</v>
      </c>
      <c r="F98" t="s">
        <v>188</v>
      </c>
      <c r="G98" s="53">
        <v>43944.47278935185</v>
      </c>
      <c r="H98">
        <v>61</v>
      </c>
      <c r="I98" t="s">
        <v>349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4</v>
      </c>
      <c r="R98" t="s">
        <v>27</v>
      </c>
      <c r="S98">
        <v>1096.9571370000001</v>
      </c>
      <c r="T98">
        <v>71.983999999999995</v>
      </c>
      <c r="U98" t="s">
        <v>349</v>
      </c>
      <c r="V98" t="s">
        <v>349</v>
      </c>
      <c r="W98">
        <v>78963</v>
      </c>
    </row>
    <row r="99" spans="1:23" x14ac:dyDescent="0.25">
      <c r="A99" s="1">
        <v>43739</v>
      </c>
      <c r="B99" s="1">
        <v>43739</v>
      </c>
      <c r="C99" t="s">
        <v>157</v>
      </c>
      <c r="D99" t="s">
        <v>93</v>
      </c>
      <c r="E99" t="s">
        <v>49</v>
      </c>
      <c r="F99" t="s">
        <v>187</v>
      </c>
      <c r="G99" s="53">
        <v>43812</v>
      </c>
      <c r="H99">
        <v>61</v>
      </c>
      <c r="I99" t="s">
        <v>349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-270</v>
      </c>
      <c r="U99" t="s">
        <v>349</v>
      </c>
      <c r="V99" t="s">
        <v>349</v>
      </c>
      <c r="W99">
        <v>-270</v>
      </c>
    </row>
    <row r="100" spans="1:23" x14ac:dyDescent="0.25">
      <c r="A100" s="1">
        <v>43739</v>
      </c>
      <c r="B100" s="1">
        <v>43739</v>
      </c>
      <c r="C100" t="s">
        <v>157</v>
      </c>
      <c r="D100" t="s">
        <v>48</v>
      </c>
      <c r="E100" t="s">
        <v>49</v>
      </c>
      <c r="F100" t="s">
        <v>189</v>
      </c>
      <c r="G100" s="53">
        <v>43781</v>
      </c>
      <c r="H100">
        <v>33</v>
      </c>
      <c r="I100">
        <v>10809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1311.6713199999999</v>
      </c>
      <c r="T100">
        <v>71.983999999999995</v>
      </c>
      <c r="U100" t="s">
        <v>349</v>
      </c>
      <c r="V100" t="s">
        <v>349</v>
      </c>
      <c r="W100">
        <v>94419</v>
      </c>
    </row>
    <row r="101" spans="1:23" x14ac:dyDescent="0.25">
      <c r="A101" s="1">
        <v>43739</v>
      </c>
      <c r="B101" s="1">
        <v>43709</v>
      </c>
      <c r="C101" t="s">
        <v>157</v>
      </c>
      <c r="D101" t="s">
        <v>57</v>
      </c>
      <c r="E101" t="s">
        <v>49</v>
      </c>
      <c r="F101" t="s">
        <v>185</v>
      </c>
      <c r="G101" s="53">
        <v>43944.47278935185</v>
      </c>
      <c r="H101">
        <v>61</v>
      </c>
      <c r="I101" t="s">
        <v>349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>
        <v>-3.3587340000000001</v>
      </c>
      <c r="T101">
        <v>75.665000000000006</v>
      </c>
      <c r="U101" t="s">
        <v>349</v>
      </c>
      <c r="V101" t="s">
        <v>349</v>
      </c>
      <c r="W101">
        <v>-254</v>
      </c>
    </row>
    <row r="102" spans="1:23" x14ac:dyDescent="0.25">
      <c r="A102" s="1">
        <v>43739</v>
      </c>
      <c r="B102" s="1">
        <v>43709</v>
      </c>
      <c r="C102" t="s">
        <v>157</v>
      </c>
      <c r="D102" t="s">
        <v>57</v>
      </c>
      <c r="E102" t="s">
        <v>49</v>
      </c>
      <c r="F102" t="s">
        <v>188</v>
      </c>
      <c r="G102" s="53">
        <v>43944.47278935185</v>
      </c>
      <c r="H102">
        <v>61</v>
      </c>
      <c r="I102" t="s">
        <v>349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3.3983300000000001</v>
      </c>
      <c r="T102">
        <v>75.617000000000004</v>
      </c>
      <c r="U102" t="s">
        <v>349</v>
      </c>
      <c r="V102" t="s">
        <v>349</v>
      </c>
      <c r="W102">
        <v>257</v>
      </c>
    </row>
    <row r="103" spans="1:23" x14ac:dyDescent="0.25">
      <c r="A103" s="1">
        <v>43739</v>
      </c>
      <c r="B103" s="1">
        <v>43739</v>
      </c>
      <c r="C103" t="s">
        <v>157</v>
      </c>
      <c r="D103" t="s">
        <v>93</v>
      </c>
      <c r="E103" t="s">
        <v>49</v>
      </c>
      <c r="F103" t="s">
        <v>187</v>
      </c>
      <c r="G103" s="53">
        <v>43812</v>
      </c>
      <c r="H103">
        <v>61</v>
      </c>
      <c r="I103" t="s">
        <v>349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1</v>
      </c>
      <c r="T103">
        <v>-1</v>
      </c>
      <c r="U103" t="s">
        <v>349</v>
      </c>
      <c r="V103" t="s">
        <v>349</v>
      </c>
      <c r="W103">
        <v>-1</v>
      </c>
    </row>
    <row r="104" spans="1:23" x14ac:dyDescent="0.25">
      <c r="A104" s="1">
        <v>43739</v>
      </c>
      <c r="B104" s="1">
        <v>43739</v>
      </c>
      <c r="C104" t="s">
        <v>157</v>
      </c>
      <c r="D104" t="s">
        <v>48</v>
      </c>
      <c r="E104" t="s">
        <v>49</v>
      </c>
      <c r="F104" t="s">
        <v>189</v>
      </c>
      <c r="G104" s="53">
        <v>43781</v>
      </c>
      <c r="H104">
        <v>33</v>
      </c>
      <c r="I104">
        <v>10809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>
        <v>4.0964470000000004</v>
      </c>
      <c r="T104">
        <v>75.617000000000004</v>
      </c>
      <c r="U104" t="s">
        <v>349</v>
      </c>
      <c r="V104" t="s">
        <v>349</v>
      </c>
      <c r="W104">
        <v>310</v>
      </c>
    </row>
    <row r="105" spans="1:23" x14ac:dyDescent="0.25">
      <c r="A105" s="1">
        <v>43770</v>
      </c>
      <c r="B105" s="1">
        <v>43770</v>
      </c>
      <c r="C105" t="s">
        <v>157</v>
      </c>
      <c r="D105" t="s">
        <v>93</v>
      </c>
      <c r="E105" t="s">
        <v>49</v>
      </c>
      <c r="F105" t="s">
        <v>192</v>
      </c>
      <c r="G105" s="53">
        <v>43837</v>
      </c>
      <c r="H105">
        <v>61</v>
      </c>
      <c r="I105" t="s">
        <v>349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1</v>
      </c>
      <c r="T105">
        <v>-130</v>
      </c>
      <c r="U105" t="s">
        <v>349</v>
      </c>
      <c r="V105" t="s">
        <v>349</v>
      </c>
      <c r="W105">
        <v>-130</v>
      </c>
    </row>
    <row r="106" spans="1:23" x14ac:dyDescent="0.25">
      <c r="A106" s="1">
        <v>43770</v>
      </c>
      <c r="B106" s="1">
        <v>43770</v>
      </c>
      <c r="C106" t="s">
        <v>157</v>
      </c>
      <c r="D106" t="s">
        <v>48</v>
      </c>
      <c r="E106" t="s">
        <v>49</v>
      </c>
      <c r="F106" t="s">
        <v>193</v>
      </c>
      <c r="G106" s="53">
        <v>43805</v>
      </c>
      <c r="H106">
        <v>33</v>
      </c>
      <c r="I106">
        <v>11167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>
        <v>1175.9684259999999</v>
      </c>
      <c r="T106">
        <v>74.400999999999996</v>
      </c>
      <c r="U106" t="s">
        <v>349</v>
      </c>
      <c r="V106" t="s">
        <v>349</v>
      </c>
      <c r="W106">
        <v>87493</v>
      </c>
    </row>
    <row r="107" spans="1:23" x14ac:dyDescent="0.25">
      <c r="A107" s="1">
        <v>43770</v>
      </c>
      <c r="B107" s="1">
        <v>43770</v>
      </c>
      <c r="C107" t="s">
        <v>157</v>
      </c>
      <c r="D107" t="s">
        <v>48</v>
      </c>
      <c r="E107" t="s">
        <v>49</v>
      </c>
      <c r="F107" t="s">
        <v>193</v>
      </c>
      <c r="G107" s="53">
        <v>43805</v>
      </c>
      <c r="H107">
        <v>33</v>
      </c>
      <c r="I107">
        <v>11167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4.4374760000000002</v>
      </c>
      <c r="T107">
        <v>75.736999999999995</v>
      </c>
      <c r="U107" t="s">
        <v>349</v>
      </c>
      <c r="V107" t="s">
        <v>349</v>
      </c>
      <c r="W107">
        <v>336</v>
      </c>
    </row>
    <row r="108" spans="1:23" x14ac:dyDescent="0.25">
      <c r="A108" s="1">
        <v>43770</v>
      </c>
      <c r="B108" s="1">
        <v>43770</v>
      </c>
      <c r="C108" t="s">
        <v>157</v>
      </c>
      <c r="D108" t="s">
        <v>93</v>
      </c>
      <c r="E108" t="s">
        <v>49</v>
      </c>
      <c r="F108" t="s">
        <v>192</v>
      </c>
      <c r="G108" s="53">
        <v>43837</v>
      </c>
      <c r="H108">
        <v>61</v>
      </c>
      <c r="I108" t="s">
        <v>349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3</v>
      </c>
      <c r="R108" t="s">
        <v>81</v>
      </c>
      <c r="S108">
        <v>1</v>
      </c>
      <c r="T108">
        <v>-25</v>
      </c>
      <c r="U108" t="s">
        <v>349</v>
      </c>
      <c r="V108" t="s">
        <v>349</v>
      </c>
      <c r="W108">
        <v>-25</v>
      </c>
    </row>
    <row r="109" spans="1:23" x14ac:dyDescent="0.25">
      <c r="A109" s="1">
        <v>43770</v>
      </c>
      <c r="B109" s="1">
        <v>43770</v>
      </c>
      <c r="C109" t="s">
        <v>157</v>
      </c>
      <c r="D109" t="s">
        <v>48</v>
      </c>
      <c r="E109" t="s">
        <v>49</v>
      </c>
      <c r="F109" t="s">
        <v>193</v>
      </c>
      <c r="G109" s="53">
        <v>43805</v>
      </c>
      <c r="H109">
        <v>33</v>
      </c>
      <c r="I109">
        <v>11167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237.000969</v>
      </c>
      <c r="T109">
        <v>70.436999999999998</v>
      </c>
      <c r="U109" t="s">
        <v>349</v>
      </c>
      <c r="V109" t="s">
        <v>349</v>
      </c>
      <c r="W109">
        <v>16694</v>
      </c>
    </row>
    <row r="110" spans="1:23" x14ac:dyDescent="0.25">
      <c r="A110" s="1">
        <v>43770</v>
      </c>
      <c r="B110" s="1">
        <v>43770</v>
      </c>
      <c r="C110" t="s">
        <v>157</v>
      </c>
      <c r="D110" t="s">
        <v>93</v>
      </c>
      <c r="E110" t="s">
        <v>49</v>
      </c>
      <c r="F110" t="s">
        <v>192</v>
      </c>
      <c r="G110" s="53">
        <v>43837</v>
      </c>
      <c r="H110">
        <v>61</v>
      </c>
      <c r="I110" t="s">
        <v>349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>
        <v>1</v>
      </c>
      <c r="T110">
        <v>-176</v>
      </c>
      <c r="U110" t="s">
        <v>349</v>
      </c>
      <c r="V110" t="s">
        <v>349</v>
      </c>
      <c r="W110">
        <v>-176</v>
      </c>
    </row>
    <row r="111" spans="1:23" x14ac:dyDescent="0.25">
      <c r="A111" s="1">
        <v>43770</v>
      </c>
      <c r="B111" s="1">
        <v>43770</v>
      </c>
      <c r="C111" t="s">
        <v>157</v>
      </c>
      <c r="D111" t="s">
        <v>48</v>
      </c>
      <c r="E111" t="s">
        <v>49</v>
      </c>
      <c r="F111" t="s">
        <v>193</v>
      </c>
      <c r="G111" s="53">
        <v>43805</v>
      </c>
      <c r="H111">
        <v>33</v>
      </c>
      <c r="I111">
        <v>11167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1639.539798</v>
      </c>
      <c r="T111">
        <v>71.983999999999995</v>
      </c>
      <c r="U111" t="s">
        <v>349</v>
      </c>
      <c r="V111" t="s">
        <v>349</v>
      </c>
      <c r="W111">
        <v>118021</v>
      </c>
    </row>
    <row r="112" spans="1:23" x14ac:dyDescent="0.25">
      <c r="A112" s="1">
        <v>43770</v>
      </c>
      <c r="B112" s="1">
        <v>43770</v>
      </c>
      <c r="C112" t="s">
        <v>157</v>
      </c>
      <c r="D112" t="s">
        <v>93</v>
      </c>
      <c r="E112" t="s">
        <v>49</v>
      </c>
      <c r="F112" t="s">
        <v>192</v>
      </c>
      <c r="G112" s="53">
        <v>43837</v>
      </c>
      <c r="H112">
        <v>61</v>
      </c>
      <c r="I112" t="s">
        <v>349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5</v>
      </c>
      <c r="R112" t="s">
        <v>28</v>
      </c>
      <c r="S112">
        <v>1</v>
      </c>
      <c r="T112">
        <v>-1</v>
      </c>
      <c r="U112" t="s">
        <v>349</v>
      </c>
      <c r="V112" t="s">
        <v>349</v>
      </c>
      <c r="W112">
        <v>-1</v>
      </c>
    </row>
    <row r="113" spans="1:23" x14ac:dyDescent="0.25">
      <c r="A113" s="1">
        <v>43770</v>
      </c>
      <c r="B113" s="1">
        <v>43770</v>
      </c>
      <c r="C113" t="s">
        <v>157</v>
      </c>
      <c r="D113" t="s">
        <v>48</v>
      </c>
      <c r="E113" t="s">
        <v>49</v>
      </c>
      <c r="F113" t="s">
        <v>193</v>
      </c>
      <c r="G113" s="53">
        <v>43805</v>
      </c>
      <c r="H113">
        <v>33</v>
      </c>
      <c r="I113">
        <v>11167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4.6772220000000004</v>
      </c>
      <c r="T113">
        <v>75.617000000000004</v>
      </c>
      <c r="U113" t="s">
        <v>349</v>
      </c>
      <c r="V113" t="s">
        <v>349</v>
      </c>
      <c r="W113">
        <v>354</v>
      </c>
    </row>
    <row r="114" spans="1:23" x14ac:dyDescent="0.25">
      <c r="A114" s="1">
        <v>43800</v>
      </c>
      <c r="B114" s="1">
        <v>43800</v>
      </c>
      <c r="C114" t="s">
        <v>157</v>
      </c>
      <c r="D114" t="s">
        <v>93</v>
      </c>
      <c r="E114" t="s">
        <v>49</v>
      </c>
      <c r="F114" t="s">
        <v>194</v>
      </c>
      <c r="G114" s="53">
        <v>43928.729247685187</v>
      </c>
      <c r="H114">
        <v>33</v>
      </c>
      <c r="I114" t="s">
        <v>349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1</v>
      </c>
      <c r="R114" t="s">
        <v>83</v>
      </c>
      <c r="S114">
        <v>1</v>
      </c>
      <c r="T114">
        <v>598</v>
      </c>
      <c r="U114" t="s">
        <v>349</v>
      </c>
      <c r="V114" t="s">
        <v>349</v>
      </c>
      <c r="W114">
        <v>598</v>
      </c>
    </row>
    <row r="115" spans="1:23" x14ac:dyDescent="0.25">
      <c r="A115" s="1">
        <v>43800</v>
      </c>
      <c r="B115" s="1">
        <v>43800</v>
      </c>
      <c r="C115" t="s">
        <v>157</v>
      </c>
      <c r="D115" t="s">
        <v>48</v>
      </c>
      <c r="E115" t="s">
        <v>49</v>
      </c>
      <c r="F115" t="s">
        <v>196</v>
      </c>
      <c r="G115" s="53">
        <v>43837</v>
      </c>
      <c r="H115">
        <v>33</v>
      </c>
      <c r="I115">
        <v>11902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1541.900316</v>
      </c>
      <c r="T115">
        <v>74.400999999999996</v>
      </c>
      <c r="U115" t="s">
        <v>349</v>
      </c>
      <c r="V115" t="s">
        <v>349</v>
      </c>
      <c r="W115">
        <v>114719</v>
      </c>
    </row>
    <row r="116" spans="1:23" x14ac:dyDescent="0.25">
      <c r="A116" s="1">
        <v>43800</v>
      </c>
      <c r="B116" s="1">
        <v>43800</v>
      </c>
      <c r="C116" t="s">
        <v>157</v>
      </c>
      <c r="D116" t="s">
        <v>93</v>
      </c>
      <c r="E116" t="s">
        <v>49</v>
      </c>
      <c r="F116" t="s">
        <v>194</v>
      </c>
      <c r="G116" s="53">
        <v>43928.729247685187</v>
      </c>
      <c r="H116">
        <v>33</v>
      </c>
      <c r="I116" t="s">
        <v>349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2</v>
      </c>
      <c r="R116" t="s">
        <v>94</v>
      </c>
      <c r="S116">
        <v>1</v>
      </c>
      <c r="T116">
        <v>2</v>
      </c>
      <c r="U116" t="s">
        <v>349</v>
      </c>
      <c r="V116" t="s">
        <v>349</v>
      </c>
      <c r="W116">
        <v>2</v>
      </c>
    </row>
    <row r="117" spans="1:23" x14ac:dyDescent="0.25">
      <c r="A117" s="1">
        <v>43800</v>
      </c>
      <c r="B117" s="1">
        <v>43800</v>
      </c>
      <c r="C117" t="s">
        <v>157</v>
      </c>
      <c r="D117" t="s">
        <v>48</v>
      </c>
      <c r="E117" t="s">
        <v>49</v>
      </c>
      <c r="F117" t="s">
        <v>196</v>
      </c>
      <c r="G117" s="53">
        <v>43837</v>
      </c>
      <c r="H117">
        <v>33</v>
      </c>
      <c r="I117">
        <v>11902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2</v>
      </c>
      <c r="R117" t="s">
        <v>94</v>
      </c>
      <c r="S117">
        <v>4.9920920000000004</v>
      </c>
      <c r="T117">
        <v>75.736999999999995</v>
      </c>
      <c r="U117" t="s">
        <v>349</v>
      </c>
      <c r="V117" t="s">
        <v>349</v>
      </c>
      <c r="W117">
        <v>378</v>
      </c>
    </row>
    <row r="118" spans="1:23" x14ac:dyDescent="0.25">
      <c r="A118" s="1">
        <v>43800</v>
      </c>
      <c r="B118" s="1">
        <v>43800</v>
      </c>
      <c r="C118" t="s">
        <v>157</v>
      </c>
      <c r="D118" t="s">
        <v>93</v>
      </c>
      <c r="E118" t="s">
        <v>49</v>
      </c>
      <c r="F118" t="s">
        <v>194</v>
      </c>
      <c r="G118" s="53">
        <v>43928.729247685187</v>
      </c>
      <c r="H118">
        <v>33</v>
      </c>
      <c r="I118" t="s">
        <v>349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3</v>
      </c>
      <c r="R118" t="s">
        <v>81</v>
      </c>
      <c r="S118">
        <v>1</v>
      </c>
      <c r="T118">
        <v>111</v>
      </c>
      <c r="U118" t="s">
        <v>349</v>
      </c>
      <c r="V118" t="s">
        <v>349</v>
      </c>
      <c r="W118">
        <v>111</v>
      </c>
    </row>
    <row r="119" spans="1:23" x14ac:dyDescent="0.25">
      <c r="A119" s="1">
        <v>43800</v>
      </c>
      <c r="B119" s="1">
        <v>43800</v>
      </c>
      <c r="C119" t="s">
        <v>157</v>
      </c>
      <c r="D119" t="s">
        <v>48</v>
      </c>
      <c r="E119" t="s">
        <v>49</v>
      </c>
      <c r="F119" t="s">
        <v>196</v>
      </c>
      <c r="G119" s="53">
        <v>43837</v>
      </c>
      <c r="H119">
        <v>33</v>
      </c>
      <c r="I119">
        <v>11902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>
        <v>302.289739</v>
      </c>
      <c r="T119">
        <v>70.436999999999998</v>
      </c>
      <c r="U119" t="s">
        <v>349</v>
      </c>
      <c r="V119" t="s">
        <v>349</v>
      </c>
      <c r="W119">
        <v>21292</v>
      </c>
    </row>
    <row r="120" spans="1:23" x14ac:dyDescent="0.25">
      <c r="A120" s="1">
        <v>43800</v>
      </c>
      <c r="B120" s="1">
        <v>43800</v>
      </c>
      <c r="C120" t="s">
        <v>157</v>
      </c>
      <c r="D120" t="s">
        <v>93</v>
      </c>
      <c r="E120" t="s">
        <v>49</v>
      </c>
      <c r="F120" t="s">
        <v>194</v>
      </c>
      <c r="G120" s="53">
        <v>43928.729247685187</v>
      </c>
      <c r="H120">
        <v>33</v>
      </c>
      <c r="I120" t="s">
        <v>349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>
        <v>1</v>
      </c>
      <c r="T120">
        <v>780</v>
      </c>
      <c r="U120" t="s">
        <v>349</v>
      </c>
      <c r="V120" t="s">
        <v>349</v>
      </c>
      <c r="W120">
        <v>780</v>
      </c>
    </row>
    <row r="121" spans="1:23" x14ac:dyDescent="0.25">
      <c r="A121" s="1">
        <v>43800</v>
      </c>
      <c r="B121" s="1">
        <v>43800</v>
      </c>
      <c r="C121" t="s">
        <v>157</v>
      </c>
      <c r="D121" t="s">
        <v>48</v>
      </c>
      <c r="E121" t="s">
        <v>49</v>
      </c>
      <c r="F121" t="s">
        <v>196</v>
      </c>
      <c r="G121" s="53">
        <v>43837</v>
      </c>
      <c r="H121">
        <v>33</v>
      </c>
      <c r="I121">
        <v>11902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4</v>
      </c>
      <c r="R121" t="s">
        <v>27</v>
      </c>
      <c r="S121">
        <v>2077.3259159999998</v>
      </c>
      <c r="T121">
        <v>71.983999999999995</v>
      </c>
      <c r="U121" t="s">
        <v>349</v>
      </c>
      <c r="V121" t="s">
        <v>349</v>
      </c>
      <c r="W121">
        <v>149534</v>
      </c>
    </row>
    <row r="122" spans="1:23" x14ac:dyDescent="0.25">
      <c r="A122" s="1">
        <v>43800</v>
      </c>
      <c r="B122" s="1">
        <v>43800</v>
      </c>
      <c r="C122" t="s">
        <v>157</v>
      </c>
      <c r="D122" t="s">
        <v>93</v>
      </c>
      <c r="E122" t="s">
        <v>49</v>
      </c>
      <c r="F122" t="s">
        <v>194</v>
      </c>
      <c r="G122" s="53">
        <v>43928.729247685187</v>
      </c>
      <c r="H122">
        <v>33</v>
      </c>
      <c r="I122" t="s">
        <v>349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5</v>
      </c>
      <c r="R122" t="s">
        <v>28</v>
      </c>
      <c r="S122">
        <v>1</v>
      </c>
      <c r="T122">
        <v>4</v>
      </c>
      <c r="U122" t="s">
        <v>349</v>
      </c>
      <c r="V122" t="s">
        <v>349</v>
      </c>
      <c r="W122">
        <v>4</v>
      </c>
    </row>
    <row r="123" spans="1:23" x14ac:dyDescent="0.25">
      <c r="A123" s="1">
        <v>43800</v>
      </c>
      <c r="B123" s="1">
        <v>43800</v>
      </c>
      <c r="C123" t="s">
        <v>157</v>
      </c>
      <c r="D123" t="s">
        <v>48</v>
      </c>
      <c r="E123" t="s">
        <v>49</v>
      </c>
      <c r="F123" t="s">
        <v>196</v>
      </c>
      <c r="G123" s="53">
        <v>43837</v>
      </c>
      <c r="H123">
        <v>33</v>
      </c>
      <c r="I123">
        <v>11902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5</v>
      </c>
      <c r="R123" t="s">
        <v>28</v>
      </c>
      <c r="S123">
        <v>5.3231200000000003</v>
      </c>
      <c r="T123">
        <v>75.617000000000004</v>
      </c>
      <c r="U123" t="s">
        <v>349</v>
      </c>
      <c r="V123" t="s">
        <v>349</v>
      </c>
      <c r="W123">
        <v>403</v>
      </c>
    </row>
    <row r="124" spans="1:23" x14ac:dyDescent="0.25">
      <c r="A124" s="1">
        <v>43831</v>
      </c>
      <c r="B124" s="1">
        <v>43831</v>
      </c>
      <c r="C124" t="s">
        <v>157</v>
      </c>
      <c r="D124" t="s">
        <v>93</v>
      </c>
      <c r="E124" t="s">
        <v>49</v>
      </c>
      <c r="F124" t="s">
        <v>198</v>
      </c>
      <c r="G124" s="53">
        <v>43917.77002314815</v>
      </c>
      <c r="H124">
        <v>33</v>
      </c>
      <c r="I124">
        <v>13702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1</v>
      </c>
      <c r="R124" t="s">
        <v>83</v>
      </c>
      <c r="S124">
        <v>1</v>
      </c>
      <c r="T124">
        <v>29633</v>
      </c>
      <c r="U124" t="s">
        <v>349</v>
      </c>
      <c r="V124" t="s">
        <v>349</v>
      </c>
      <c r="W124">
        <v>29633</v>
      </c>
    </row>
    <row r="125" spans="1:23" x14ac:dyDescent="0.25">
      <c r="A125" s="1">
        <v>43831</v>
      </c>
      <c r="B125" s="1">
        <v>43831</v>
      </c>
      <c r="C125" t="s">
        <v>157</v>
      </c>
      <c r="D125" t="s">
        <v>48</v>
      </c>
      <c r="E125" t="s">
        <v>49</v>
      </c>
      <c r="F125" t="s">
        <v>200</v>
      </c>
      <c r="G125" s="53">
        <v>43910.518553240741</v>
      </c>
      <c r="H125">
        <v>33</v>
      </c>
      <c r="I125">
        <v>13159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1</v>
      </c>
      <c r="R125" t="s">
        <v>83</v>
      </c>
      <c r="S125">
        <v>4352.0722839999999</v>
      </c>
      <c r="T125">
        <v>62.720154999999998</v>
      </c>
      <c r="U125" t="s">
        <v>349</v>
      </c>
      <c r="V125" t="s">
        <v>349</v>
      </c>
      <c r="W125">
        <v>272963</v>
      </c>
    </row>
    <row r="126" spans="1:23" x14ac:dyDescent="0.25">
      <c r="A126" s="1">
        <v>43831</v>
      </c>
      <c r="B126" s="1">
        <v>43831</v>
      </c>
      <c r="C126" t="s">
        <v>157</v>
      </c>
      <c r="D126" t="s">
        <v>93</v>
      </c>
      <c r="E126" t="s">
        <v>49</v>
      </c>
      <c r="F126" t="s">
        <v>198</v>
      </c>
      <c r="G126" s="53">
        <v>43917.77002314815</v>
      </c>
      <c r="H126">
        <v>33</v>
      </c>
      <c r="I126">
        <v>13702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>
        <v>1</v>
      </c>
      <c r="T126">
        <v>68</v>
      </c>
      <c r="U126" t="s">
        <v>349</v>
      </c>
      <c r="V126" t="s">
        <v>349</v>
      </c>
      <c r="W126">
        <v>68</v>
      </c>
    </row>
    <row r="127" spans="1:23" x14ac:dyDescent="0.25">
      <c r="A127" s="1">
        <v>43831</v>
      </c>
      <c r="B127" s="1">
        <v>43831</v>
      </c>
      <c r="C127" t="s">
        <v>157</v>
      </c>
      <c r="D127" t="s">
        <v>48</v>
      </c>
      <c r="E127" t="s">
        <v>49</v>
      </c>
      <c r="F127" t="s">
        <v>200</v>
      </c>
      <c r="G127" s="53">
        <v>43910.518553240741</v>
      </c>
      <c r="H127">
        <v>33</v>
      </c>
      <c r="I127">
        <v>13159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8.3147540000000006</v>
      </c>
      <c r="T127">
        <v>63.846404999999997</v>
      </c>
      <c r="U127" t="s">
        <v>349</v>
      </c>
      <c r="V127" t="s">
        <v>349</v>
      </c>
      <c r="W127">
        <v>531</v>
      </c>
    </row>
    <row r="128" spans="1:23" x14ac:dyDescent="0.25">
      <c r="A128" s="1">
        <v>43831</v>
      </c>
      <c r="B128" s="1">
        <v>43831</v>
      </c>
      <c r="C128" t="s">
        <v>157</v>
      </c>
      <c r="D128" t="s">
        <v>93</v>
      </c>
      <c r="E128" t="s">
        <v>49</v>
      </c>
      <c r="F128" t="s">
        <v>198</v>
      </c>
      <c r="G128" s="53">
        <v>43917.77002314815</v>
      </c>
      <c r="H128">
        <v>33</v>
      </c>
      <c r="I128">
        <v>13702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3</v>
      </c>
      <c r="R128" t="s">
        <v>81</v>
      </c>
      <c r="S128">
        <v>1</v>
      </c>
      <c r="T128">
        <v>4168</v>
      </c>
      <c r="U128" t="s">
        <v>349</v>
      </c>
      <c r="V128" t="s">
        <v>349</v>
      </c>
      <c r="W128">
        <v>4168</v>
      </c>
    </row>
    <row r="129" spans="1:23" x14ac:dyDescent="0.25">
      <c r="A129" s="1">
        <v>43831</v>
      </c>
      <c r="B129" s="1">
        <v>43831</v>
      </c>
      <c r="C129" t="s">
        <v>157</v>
      </c>
      <c r="D129" t="s">
        <v>48</v>
      </c>
      <c r="E129" t="s">
        <v>49</v>
      </c>
      <c r="F129" t="s">
        <v>200</v>
      </c>
      <c r="G129" s="53">
        <v>43910.518553240741</v>
      </c>
      <c r="H129">
        <v>33</v>
      </c>
      <c r="I129">
        <v>13159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615.07463700000005</v>
      </c>
      <c r="T129">
        <v>59.378497000000003</v>
      </c>
      <c r="U129" t="s">
        <v>349</v>
      </c>
      <c r="V129" t="s">
        <v>349</v>
      </c>
      <c r="W129">
        <v>36522</v>
      </c>
    </row>
    <row r="130" spans="1:23" x14ac:dyDescent="0.25">
      <c r="A130" s="1">
        <v>43831</v>
      </c>
      <c r="B130" s="1">
        <v>43831</v>
      </c>
      <c r="C130" t="s">
        <v>157</v>
      </c>
      <c r="D130" t="s">
        <v>93</v>
      </c>
      <c r="E130" t="s">
        <v>49</v>
      </c>
      <c r="F130" t="s">
        <v>198</v>
      </c>
      <c r="G130" s="53">
        <v>43917.77002314815</v>
      </c>
      <c r="H130">
        <v>33</v>
      </c>
      <c r="I130">
        <v>13702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>
        <v>1</v>
      </c>
      <c r="T130">
        <v>25632</v>
      </c>
      <c r="U130" t="s">
        <v>349</v>
      </c>
      <c r="V130" t="s">
        <v>349</v>
      </c>
      <c r="W130">
        <v>25632</v>
      </c>
    </row>
    <row r="131" spans="1:23" x14ac:dyDescent="0.25">
      <c r="A131" s="1">
        <v>43831</v>
      </c>
      <c r="B131" s="1">
        <v>43831</v>
      </c>
      <c r="C131" t="s">
        <v>157</v>
      </c>
      <c r="D131" t="s">
        <v>48</v>
      </c>
      <c r="E131" t="s">
        <v>49</v>
      </c>
      <c r="F131" t="s">
        <v>200</v>
      </c>
      <c r="G131" s="53">
        <v>43910.518553240741</v>
      </c>
      <c r="H131">
        <v>33</v>
      </c>
      <c r="I131">
        <v>13159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4</v>
      </c>
      <c r="R131" t="s">
        <v>27</v>
      </c>
      <c r="S131">
        <v>3772.6657449999998</v>
      </c>
      <c r="T131">
        <v>60.68262</v>
      </c>
      <c r="U131" t="s">
        <v>349</v>
      </c>
      <c r="V131" t="s">
        <v>349</v>
      </c>
      <c r="W131">
        <v>228935</v>
      </c>
    </row>
    <row r="132" spans="1:23" x14ac:dyDescent="0.25">
      <c r="A132" s="1">
        <v>43831</v>
      </c>
      <c r="B132" s="1">
        <v>43831</v>
      </c>
      <c r="C132" t="s">
        <v>157</v>
      </c>
      <c r="D132" t="s">
        <v>93</v>
      </c>
      <c r="E132" t="s">
        <v>49</v>
      </c>
      <c r="F132" t="s">
        <v>198</v>
      </c>
      <c r="G132" s="53">
        <v>43917.77002314815</v>
      </c>
      <c r="H132">
        <v>33</v>
      </c>
      <c r="I132">
        <v>13702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5</v>
      </c>
      <c r="R132" t="s">
        <v>28</v>
      </c>
      <c r="S132">
        <v>1</v>
      </c>
      <c r="T132">
        <v>130</v>
      </c>
      <c r="U132" t="s">
        <v>349</v>
      </c>
      <c r="V132" t="s">
        <v>349</v>
      </c>
      <c r="W132">
        <v>130</v>
      </c>
    </row>
    <row r="133" spans="1:23" x14ac:dyDescent="0.25">
      <c r="A133" s="1">
        <v>43831</v>
      </c>
      <c r="B133" s="1">
        <v>43831</v>
      </c>
      <c r="C133" t="s">
        <v>157</v>
      </c>
      <c r="D133" t="s">
        <v>48</v>
      </c>
      <c r="E133" t="s">
        <v>49</v>
      </c>
      <c r="F133" t="s">
        <v>200</v>
      </c>
      <c r="G133" s="53">
        <v>43910.518553240741</v>
      </c>
      <c r="H133">
        <v>33</v>
      </c>
      <c r="I133">
        <v>13159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5</v>
      </c>
      <c r="R133" t="s">
        <v>28</v>
      </c>
      <c r="S133">
        <v>19.961974999999999</v>
      </c>
      <c r="T133">
        <v>63.745244</v>
      </c>
      <c r="U133" t="s">
        <v>349</v>
      </c>
      <c r="V133" t="s">
        <v>349</v>
      </c>
      <c r="W133">
        <v>1272</v>
      </c>
    </row>
    <row r="134" spans="1:23" x14ac:dyDescent="0.25">
      <c r="A134" s="1">
        <v>43862</v>
      </c>
      <c r="B134" s="1">
        <v>43862</v>
      </c>
      <c r="C134" t="s">
        <v>157</v>
      </c>
      <c r="D134" t="s">
        <v>93</v>
      </c>
      <c r="E134" t="s">
        <v>49</v>
      </c>
      <c r="F134" t="s">
        <v>204</v>
      </c>
      <c r="G134" s="53">
        <v>43928.689675925925</v>
      </c>
      <c r="H134">
        <v>33</v>
      </c>
      <c r="I134">
        <v>13670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1</v>
      </c>
      <c r="R134" t="s">
        <v>83</v>
      </c>
      <c r="S134">
        <v>1</v>
      </c>
      <c r="T134">
        <v>698</v>
      </c>
      <c r="U134" t="s">
        <v>349</v>
      </c>
      <c r="V134" t="s">
        <v>349</v>
      </c>
      <c r="W134">
        <v>698</v>
      </c>
    </row>
    <row r="135" spans="1:23" x14ac:dyDescent="0.25">
      <c r="A135" s="1">
        <v>43862</v>
      </c>
      <c r="B135" s="1">
        <v>43862</v>
      </c>
      <c r="C135" t="s">
        <v>157</v>
      </c>
      <c r="D135" t="s">
        <v>48</v>
      </c>
      <c r="E135" t="s">
        <v>49</v>
      </c>
      <c r="F135" t="s">
        <v>202</v>
      </c>
      <c r="G135" s="53">
        <v>43902.628391203703</v>
      </c>
      <c r="H135">
        <v>33</v>
      </c>
      <c r="I135">
        <v>13209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1</v>
      </c>
      <c r="R135" t="s">
        <v>83</v>
      </c>
      <c r="S135">
        <v>4259.97</v>
      </c>
      <c r="T135">
        <v>69.512</v>
      </c>
      <c r="U135" t="s">
        <v>349</v>
      </c>
      <c r="V135" t="s">
        <v>349</v>
      </c>
      <c r="W135">
        <v>296119</v>
      </c>
    </row>
    <row r="136" spans="1:23" x14ac:dyDescent="0.25">
      <c r="A136" s="1">
        <v>43862</v>
      </c>
      <c r="B136" s="1">
        <v>43862</v>
      </c>
      <c r="C136" t="s">
        <v>157</v>
      </c>
      <c r="D136" t="s">
        <v>93</v>
      </c>
      <c r="E136" t="s">
        <v>49</v>
      </c>
      <c r="F136" t="s">
        <v>204</v>
      </c>
      <c r="G136" s="53">
        <v>43928.689675925925</v>
      </c>
      <c r="H136">
        <v>33</v>
      </c>
      <c r="I136">
        <v>13670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2</v>
      </c>
      <c r="R136" t="s">
        <v>94</v>
      </c>
      <c r="S136">
        <v>1</v>
      </c>
      <c r="T136">
        <v>2</v>
      </c>
      <c r="U136" t="s">
        <v>349</v>
      </c>
      <c r="V136" t="s">
        <v>349</v>
      </c>
      <c r="W136">
        <v>2</v>
      </c>
    </row>
    <row r="137" spans="1:23" x14ac:dyDescent="0.25">
      <c r="A137" s="1">
        <v>43862</v>
      </c>
      <c r="B137" s="1">
        <v>43862</v>
      </c>
      <c r="C137" t="s">
        <v>157</v>
      </c>
      <c r="D137" t="s">
        <v>48</v>
      </c>
      <c r="E137" t="s">
        <v>49</v>
      </c>
      <c r="F137" t="s">
        <v>202</v>
      </c>
      <c r="G137" s="53">
        <v>43902.628391203703</v>
      </c>
      <c r="H137">
        <v>33</v>
      </c>
      <c r="I137">
        <v>13209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2</v>
      </c>
      <c r="R137" t="s">
        <v>94</v>
      </c>
      <c r="S137">
        <v>8.2387359999999994</v>
      </c>
      <c r="T137">
        <v>72.001000000000005</v>
      </c>
      <c r="U137" t="s">
        <v>349</v>
      </c>
      <c r="V137" t="s">
        <v>349</v>
      </c>
      <c r="W137">
        <v>593</v>
      </c>
    </row>
    <row r="138" spans="1:23" x14ac:dyDescent="0.25">
      <c r="A138" s="1">
        <v>43862</v>
      </c>
      <c r="B138" s="1">
        <v>43862</v>
      </c>
      <c r="C138" t="s">
        <v>157</v>
      </c>
      <c r="D138" t="s">
        <v>93</v>
      </c>
      <c r="E138" t="s">
        <v>49</v>
      </c>
      <c r="F138" t="s">
        <v>204</v>
      </c>
      <c r="G138" s="53">
        <v>43928.689675925925</v>
      </c>
      <c r="H138">
        <v>33</v>
      </c>
      <c r="I138">
        <v>13670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3</v>
      </c>
      <c r="R138" t="s">
        <v>81</v>
      </c>
      <c r="S138">
        <v>1</v>
      </c>
      <c r="T138">
        <v>94</v>
      </c>
      <c r="U138" t="s">
        <v>349</v>
      </c>
      <c r="V138" t="s">
        <v>349</v>
      </c>
      <c r="W138">
        <v>94</v>
      </c>
    </row>
    <row r="139" spans="1:23" x14ac:dyDescent="0.25">
      <c r="A139" s="1">
        <v>43862</v>
      </c>
      <c r="B139" s="1">
        <v>43862</v>
      </c>
      <c r="C139" t="s">
        <v>157</v>
      </c>
      <c r="D139" t="s">
        <v>48</v>
      </c>
      <c r="E139" t="s">
        <v>49</v>
      </c>
      <c r="F139" t="s">
        <v>202</v>
      </c>
      <c r="G139" s="53">
        <v>43902.628391203703</v>
      </c>
      <c r="H139">
        <v>33</v>
      </c>
      <c r="I139">
        <v>13209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3</v>
      </c>
      <c r="R139" t="s">
        <v>81</v>
      </c>
      <c r="S139">
        <v>604.49491499999999</v>
      </c>
      <c r="T139">
        <v>66.138000000000005</v>
      </c>
      <c r="U139" t="s">
        <v>349</v>
      </c>
      <c r="V139" t="s">
        <v>349</v>
      </c>
      <c r="W139">
        <v>39980</v>
      </c>
    </row>
    <row r="140" spans="1:23" x14ac:dyDescent="0.25">
      <c r="A140" s="1">
        <v>43862</v>
      </c>
      <c r="B140" s="1">
        <v>43862</v>
      </c>
      <c r="C140" t="s">
        <v>157</v>
      </c>
      <c r="D140" t="s">
        <v>93</v>
      </c>
      <c r="E140" t="s">
        <v>49</v>
      </c>
      <c r="F140" t="s">
        <v>204</v>
      </c>
      <c r="G140" s="53">
        <v>43928.689675925925</v>
      </c>
      <c r="H140">
        <v>33</v>
      </c>
      <c r="I140">
        <v>13670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>
        <v>1</v>
      </c>
      <c r="T140">
        <v>589</v>
      </c>
      <c r="U140" t="s">
        <v>349</v>
      </c>
      <c r="V140" t="s">
        <v>349</v>
      </c>
      <c r="W140">
        <v>589</v>
      </c>
    </row>
    <row r="141" spans="1:23" x14ac:dyDescent="0.25">
      <c r="A141" s="1">
        <v>43862</v>
      </c>
      <c r="B141" s="1">
        <v>43862</v>
      </c>
      <c r="C141" t="s">
        <v>157</v>
      </c>
      <c r="D141" t="s">
        <v>48</v>
      </c>
      <c r="E141" t="s">
        <v>49</v>
      </c>
      <c r="F141" t="s">
        <v>202</v>
      </c>
      <c r="G141" s="53">
        <v>43902.628391203703</v>
      </c>
      <c r="H141">
        <v>33</v>
      </c>
      <c r="I141">
        <v>13209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3695.5145980000002</v>
      </c>
      <c r="T141">
        <v>67.459999999999994</v>
      </c>
      <c r="U141" t="s">
        <v>349</v>
      </c>
      <c r="V141" t="s">
        <v>349</v>
      </c>
      <c r="W141">
        <v>249299</v>
      </c>
    </row>
    <row r="142" spans="1:23" x14ac:dyDescent="0.25">
      <c r="A142" s="1">
        <v>43862</v>
      </c>
      <c r="B142" s="1">
        <v>43862</v>
      </c>
      <c r="C142" t="s">
        <v>157</v>
      </c>
      <c r="D142" t="s">
        <v>93</v>
      </c>
      <c r="E142" t="s">
        <v>49</v>
      </c>
      <c r="F142" t="s">
        <v>204</v>
      </c>
      <c r="G142" s="53">
        <v>43928.689675925925</v>
      </c>
      <c r="H142">
        <v>33</v>
      </c>
      <c r="I142">
        <v>13670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5</v>
      </c>
      <c r="R142" t="s">
        <v>28</v>
      </c>
      <c r="S142">
        <v>1</v>
      </c>
      <c r="T142">
        <v>3</v>
      </c>
      <c r="U142" t="s">
        <v>349</v>
      </c>
      <c r="V142" t="s">
        <v>349</v>
      </c>
      <c r="W142">
        <v>3</v>
      </c>
    </row>
    <row r="143" spans="1:23" x14ac:dyDescent="0.25">
      <c r="A143" s="1">
        <v>43862</v>
      </c>
      <c r="B143" s="1">
        <v>43862</v>
      </c>
      <c r="C143" t="s">
        <v>157</v>
      </c>
      <c r="D143" t="s">
        <v>48</v>
      </c>
      <c r="E143" t="s">
        <v>49</v>
      </c>
      <c r="F143" t="s">
        <v>202</v>
      </c>
      <c r="G143" s="53">
        <v>43902.628391203703</v>
      </c>
      <c r="H143">
        <v>33</v>
      </c>
      <c r="I143">
        <v>13209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19.558841000000001</v>
      </c>
      <c r="T143">
        <v>70.204999999999998</v>
      </c>
      <c r="U143" t="s">
        <v>349</v>
      </c>
      <c r="V143" t="s">
        <v>349</v>
      </c>
      <c r="W143">
        <v>1373</v>
      </c>
    </row>
    <row r="144" spans="1:23" x14ac:dyDescent="0.25">
      <c r="A144" s="1">
        <v>43891</v>
      </c>
      <c r="B144" s="1">
        <v>43891</v>
      </c>
      <c r="C144" t="s">
        <v>157</v>
      </c>
      <c r="D144" t="s">
        <v>93</v>
      </c>
      <c r="E144" t="s">
        <v>49</v>
      </c>
      <c r="F144" t="s">
        <v>207</v>
      </c>
      <c r="G144" s="53">
        <v>43970.737210648149</v>
      </c>
      <c r="H144">
        <v>33</v>
      </c>
      <c r="I144" t="s">
        <v>349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1</v>
      </c>
      <c r="R144" t="s">
        <v>83</v>
      </c>
      <c r="S144">
        <v>1</v>
      </c>
      <c r="T144">
        <v>7163</v>
      </c>
      <c r="U144" t="s">
        <v>349</v>
      </c>
      <c r="V144" t="s">
        <v>349</v>
      </c>
      <c r="W144">
        <v>7163</v>
      </c>
    </row>
    <row r="145" spans="1:23" x14ac:dyDescent="0.25">
      <c r="A145" s="1">
        <v>43891</v>
      </c>
      <c r="B145" s="1">
        <v>43891</v>
      </c>
      <c r="C145" t="s">
        <v>157</v>
      </c>
      <c r="D145" t="s">
        <v>48</v>
      </c>
      <c r="E145" t="s">
        <v>49</v>
      </c>
      <c r="F145" t="s">
        <v>208</v>
      </c>
      <c r="G145" s="53">
        <v>43928.620706018519</v>
      </c>
      <c r="H145">
        <v>33</v>
      </c>
      <c r="I145">
        <v>13219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1</v>
      </c>
      <c r="R145" t="s">
        <v>83</v>
      </c>
      <c r="S145">
        <v>4075.112783</v>
      </c>
      <c r="T145">
        <v>69.512</v>
      </c>
      <c r="U145" t="s">
        <v>349</v>
      </c>
      <c r="V145" t="s">
        <v>349</v>
      </c>
      <c r="W145">
        <v>283269</v>
      </c>
    </row>
    <row r="146" spans="1:23" x14ac:dyDescent="0.25">
      <c r="A146" s="1">
        <v>43891</v>
      </c>
      <c r="B146" s="1">
        <v>43891</v>
      </c>
      <c r="C146" t="s">
        <v>157</v>
      </c>
      <c r="D146" t="s">
        <v>93</v>
      </c>
      <c r="E146" t="s">
        <v>49</v>
      </c>
      <c r="F146" t="s">
        <v>207</v>
      </c>
      <c r="G146" s="53">
        <v>43970.737210648149</v>
      </c>
      <c r="H146">
        <v>33</v>
      </c>
      <c r="I146" t="s">
        <v>349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2</v>
      </c>
      <c r="R146" t="s">
        <v>94</v>
      </c>
      <c r="S146">
        <v>1</v>
      </c>
      <c r="T146">
        <v>14</v>
      </c>
      <c r="U146" t="s">
        <v>349</v>
      </c>
      <c r="V146" t="s">
        <v>349</v>
      </c>
      <c r="W146">
        <v>14</v>
      </c>
    </row>
    <row r="147" spans="1:23" x14ac:dyDescent="0.25">
      <c r="A147" s="1">
        <v>43891</v>
      </c>
      <c r="B147" s="1">
        <v>43891</v>
      </c>
      <c r="C147" t="s">
        <v>157</v>
      </c>
      <c r="D147" t="s">
        <v>48</v>
      </c>
      <c r="E147" t="s">
        <v>49</v>
      </c>
      <c r="F147" t="s">
        <v>208</v>
      </c>
      <c r="G147" s="53">
        <v>43928.620706018519</v>
      </c>
      <c r="H147">
        <v>33</v>
      </c>
      <c r="I147">
        <v>13219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2</v>
      </c>
      <c r="R147" t="s">
        <v>94</v>
      </c>
      <c r="S147">
        <v>7.8423639999999999</v>
      </c>
      <c r="T147">
        <v>72.001000000000005</v>
      </c>
      <c r="U147" t="s">
        <v>349</v>
      </c>
      <c r="V147" t="s">
        <v>349</v>
      </c>
      <c r="W147">
        <v>565</v>
      </c>
    </row>
    <row r="148" spans="1:23" x14ac:dyDescent="0.25">
      <c r="A148" s="1">
        <v>43891</v>
      </c>
      <c r="B148" s="1">
        <v>43891</v>
      </c>
      <c r="C148" t="s">
        <v>157</v>
      </c>
      <c r="D148" t="s">
        <v>93</v>
      </c>
      <c r="E148" t="s">
        <v>49</v>
      </c>
      <c r="F148" t="s">
        <v>207</v>
      </c>
      <c r="G148" s="53">
        <v>43970.737210648149</v>
      </c>
      <c r="H148">
        <v>33</v>
      </c>
      <c r="I148" t="s">
        <v>349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3</v>
      </c>
      <c r="R148" t="s">
        <v>81</v>
      </c>
      <c r="S148">
        <v>1</v>
      </c>
      <c r="T148">
        <v>965</v>
      </c>
      <c r="U148" t="s">
        <v>349</v>
      </c>
      <c r="V148" t="s">
        <v>349</v>
      </c>
      <c r="W148">
        <v>965</v>
      </c>
    </row>
    <row r="149" spans="1:23" x14ac:dyDescent="0.25">
      <c r="A149" s="1">
        <v>43891</v>
      </c>
      <c r="B149" s="1">
        <v>43891</v>
      </c>
      <c r="C149" t="s">
        <v>157</v>
      </c>
      <c r="D149" t="s">
        <v>48</v>
      </c>
      <c r="E149" t="s">
        <v>49</v>
      </c>
      <c r="F149" t="s">
        <v>208</v>
      </c>
      <c r="G149" s="53">
        <v>43928.620706018519</v>
      </c>
      <c r="H149">
        <v>33</v>
      </c>
      <c r="I149">
        <v>13219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3</v>
      </c>
      <c r="R149" t="s">
        <v>81</v>
      </c>
      <c r="S149">
        <v>577.13526899999999</v>
      </c>
      <c r="T149">
        <v>66.138000000000005</v>
      </c>
      <c r="U149" t="s">
        <v>349</v>
      </c>
      <c r="V149" t="s">
        <v>349</v>
      </c>
      <c r="W149">
        <v>38171</v>
      </c>
    </row>
    <row r="150" spans="1:23" x14ac:dyDescent="0.25">
      <c r="A150" s="1">
        <v>43891</v>
      </c>
      <c r="B150" s="1">
        <v>43891</v>
      </c>
      <c r="C150" t="s">
        <v>157</v>
      </c>
      <c r="D150" t="s">
        <v>93</v>
      </c>
      <c r="E150" t="s">
        <v>49</v>
      </c>
      <c r="F150" t="s">
        <v>207</v>
      </c>
      <c r="G150" s="53">
        <v>43970.737210648149</v>
      </c>
      <c r="H150">
        <v>33</v>
      </c>
      <c r="I150" t="s">
        <v>349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4</v>
      </c>
      <c r="R150" t="s">
        <v>27</v>
      </c>
      <c r="S150">
        <v>1</v>
      </c>
      <c r="T150">
        <v>6012</v>
      </c>
      <c r="U150" t="s">
        <v>349</v>
      </c>
      <c r="V150" t="s">
        <v>349</v>
      </c>
      <c r="W150">
        <v>6012</v>
      </c>
    </row>
    <row r="151" spans="1:23" x14ac:dyDescent="0.25">
      <c r="A151" s="1">
        <v>43891</v>
      </c>
      <c r="B151" s="1">
        <v>43891</v>
      </c>
      <c r="C151" t="s">
        <v>157</v>
      </c>
      <c r="D151" t="s">
        <v>48</v>
      </c>
      <c r="E151" t="s">
        <v>49</v>
      </c>
      <c r="F151" t="s">
        <v>208</v>
      </c>
      <c r="G151" s="53">
        <v>43928.620706018519</v>
      </c>
      <c r="H151">
        <v>33</v>
      </c>
      <c r="I151">
        <v>13219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4</v>
      </c>
      <c r="R151" t="s">
        <v>27</v>
      </c>
      <c r="S151">
        <v>3523.8486549999998</v>
      </c>
      <c r="T151">
        <v>67.459999999999994</v>
      </c>
      <c r="U151" t="s">
        <v>349</v>
      </c>
      <c r="V151" t="s">
        <v>349</v>
      </c>
      <c r="W151">
        <v>237719</v>
      </c>
    </row>
    <row r="152" spans="1:23" x14ac:dyDescent="0.25">
      <c r="A152" s="1">
        <v>43891</v>
      </c>
      <c r="B152" s="1">
        <v>43891</v>
      </c>
      <c r="C152" t="s">
        <v>157</v>
      </c>
      <c r="D152" t="s">
        <v>93</v>
      </c>
      <c r="E152" t="s">
        <v>49</v>
      </c>
      <c r="F152" t="s">
        <v>207</v>
      </c>
      <c r="G152" s="53">
        <v>43970.737210648149</v>
      </c>
      <c r="H152">
        <v>33</v>
      </c>
      <c r="I152" t="s">
        <v>349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5</v>
      </c>
      <c r="R152" t="s">
        <v>28</v>
      </c>
      <c r="S152">
        <v>1</v>
      </c>
      <c r="T152">
        <v>33</v>
      </c>
      <c r="U152" t="s">
        <v>349</v>
      </c>
      <c r="V152" t="s">
        <v>349</v>
      </c>
      <c r="W152">
        <v>33</v>
      </c>
    </row>
    <row r="153" spans="1:23" x14ac:dyDescent="0.25">
      <c r="A153" s="1">
        <v>43891</v>
      </c>
      <c r="B153" s="1">
        <v>43891</v>
      </c>
      <c r="C153" t="s">
        <v>157</v>
      </c>
      <c r="D153" t="s">
        <v>48</v>
      </c>
      <c r="E153" t="s">
        <v>49</v>
      </c>
      <c r="F153" t="s">
        <v>208</v>
      </c>
      <c r="G153" s="53">
        <v>43928.620706018519</v>
      </c>
      <c r="H153">
        <v>33</v>
      </c>
      <c r="I153">
        <v>13219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5</v>
      </c>
      <c r="R153" t="s">
        <v>28</v>
      </c>
      <c r="S153">
        <v>18.504829999999998</v>
      </c>
      <c r="T153">
        <v>70.204999999999998</v>
      </c>
      <c r="U153" t="s">
        <v>349</v>
      </c>
      <c r="V153" t="s">
        <v>349</v>
      </c>
      <c r="W153">
        <v>1299</v>
      </c>
    </row>
    <row r="154" spans="1:23" x14ac:dyDescent="0.25">
      <c r="A154" s="1">
        <v>43922</v>
      </c>
      <c r="B154" s="1">
        <v>43922</v>
      </c>
      <c r="C154" t="s">
        <v>157</v>
      </c>
      <c r="D154" t="s">
        <v>93</v>
      </c>
      <c r="E154" t="s">
        <v>49</v>
      </c>
      <c r="F154" t="s">
        <v>211</v>
      </c>
      <c r="G154" s="53">
        <v>43992.659548611111</v>
      </c>
      <c r="H154">
        <v>33</v>
      </c>
      <c r="I154" t="s">
        <v>349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1</v>
      </c>
      <c r="R154" t="s">
        <v>83</v>
      </c>
      <c r="S154">
        <v>1</v>
      </c>
      <c r="T154">
        <v>3814</v>
      </c>
      <c r="U154" t="s">
        <v>349</v>
      </c>
      <c r="V154" t="s">
        <v>349</v>
      </c>
      <c r="W154">
        <v>3814</v>
      </c>
    </row>
    <row r="155" spans="1:23" x14ac:dyDescent="0.25">
      <c r="A155" s="1">
        <v>43922</v>
      </c>
      <c r="B155" s="1">
        <v>43922</v>
      </c>
      <c r="C155" t="s">
        <v>157</v>
      </c>
      <c r="D155" t="s">
        <v>48</v>
      </c>
      <c r="E155" t="s">
        <v>49</v>
      </c>
      <c r="F155" t="s">
        <v>215</v>
      </c>
      <c r="G155" s="53">
        <v>43959.644641203704</v>
      </c>
      <c r="H155">
        <v>33</v>
      </c>
      <c r="I155">
        <v>13722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1</v>
      </c>
      <c r="R155" t="s">
        <v>83</v>
      </c>
      <c r="S155">
        <v>2937.81</v>
      </c>
      <c r="T155">
        <v>71.221999999999994</v>
      </c>
      <c r="U155" t="s">
        <v>349</v>
      </c>
      <c r="V155" t="s">
        <v>349</v>
      </c>
      <c r="W155">
        <v>209237</v>
      </c>
    </row>
    <row r="156" spans="1:23" x14ac:dyDescent="0.25">
      <c r="A156" s="1">
        <v>43922</v>
      </c>
      <c r="B156" s="1">
        <v>43922</v>
      </c>
      <c r="C156" t="s">
        <v>157</v>
      </c>
      <c r="D156" t="s">
        <v>93</v>
      </c>
      <c r="E156" t="s">
        <v>49</v>
      </c>
      <c r="F156" t="s">
        <v>211</v>
      </c>
      <c r="G156" s="53">
        <v>43992.659548611111</v>
      </c>
      <c r="H156">
        <v>33</v>
      </c>
      <c r="I156" t="s">
        <v>349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2</v>
      </c>
      <c r="R156" t="s">
        <v>94</v>
      </c>
      <c r="S156">
        <v>1</v>
      </c>
      <c r="T156">
        <v>8</v>
      </c>
      <c r="U156" t="s">
        <v>349</v>
      </c>
      <c r="V156" t="s">
        <v>349</v>
      </c>
      <c r="W156">
        <v>8</v>
      </c>
    </row>
    <row r="157" spans="1:23" x14ac:dyDescent="0.25">
      <c r="A157" s="1">
        <v>43922</v>
      </c>
      <c r="B157" s="1">
        <v>43922</v>
      </c>
      <c r="C157" t="s">
        <v>157</v>
      </c>
      <c r="D157" t="s">
        <v>48</v>
      </c>
      <c r="E157" t="s">
        <v>49</v>
      </c>
      <c r="F157" t="s">
        <v>215</v>
      </c>
      <c r="G157" s="53">
        <v>43959.644641203704</v>
      </c>
      <c r="H157">
        <v>33</v>
      </c>
      <c r="I157">
        <v>13722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2</v>
      </c>
      <c r="R157" t="s">
        <v>94</v>
      </c>
      <c r="S157">
        <v>6.150766</v>
      </c>
      <c r="T157">
        <v>73.772999999999996</v>
      </c>
      <c r="U157" t="s">
        <v>349</v>
      </c>
      <c r="V157" t="s">
        <v>349</v>
      </c>
      <c r="W157">
        <v>454</v>
      </c>
    </row>
    <row r="158" spans="1:23" x14ac:dyDescent="0.25">
      <c r="A158" s="1">
        <v>43922</v>
      </c>
      <c r="B158" s="1">
        <v>43922</v>
      </c>
      <c r="C158" t="s">
        <v>157</v>
      </c>
      <c r="D158" t="s">
        <v>93</v>
      </c>
      <c r="E158" t="s">
        <v>49</v>
      </c>
      <c r="F158" t="s">
        <v>211</v>
      </c>
      <c r="G158" s="53">
        <v>43992.659548611111</v>
      </c>
      <c r="H158">
        <v>33</v>
      </c>
      <c r="I158" t="s">
        <v>349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3</v>
      </c>
      <c r="R158" t="s">
        <v>81</v>
      </c>
      <c r="S158">
        <v>1</v>
      </c>
      <c r="T158">
        <v>531</v>
      </c>
      <c r="U158" t="s">
        <v>349</v>
      </c>
      <c r="V158" t="s">
        <v>349</v>
      </c>
      <c r="W158">
        <v>531</v>
      </c>
    </row>
    <row r="159" spans="1:23" x14ac:dyDescent="0.25">
      <c r="A159" s="1">
        <v>43922</v>
      </c>
      <c r="B159" s="1">
        <v>43922</v>
      </c>
      <c r="C159" t="s">
        <v>157</v>
      </c>
      <c r="D159" t="s">
        <v>48</v>
      </c>
      <c r="E159" t="s">
        <v>49</v>
      </c>
      <c r="F159" t="s">
        <v>215</v>
      </c>
      <c r="G159" s="53">
        <v>43959.644641203704</v>
      </c>
      <c r="H159">
        <v>33</v>
      </c>
      <c r="I159">
        <v>13722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3</v>
      </c>
      <c r="R159" t="s">
        <v>81</v>
      </c>
      <c r="S159">
        <v>430.04700800000001</v>
      </c>
      <c r="T159">
        <v>67.765000000000001</v>
      </c>
      <c r="U159" t="s">
        <v>349</v>
      </c>
      <c r="V159" t="s">
        <v>349</v>
      </c>
      <c r="W159">
        <v>29142</v>
      </c>
    </row>
    <row r="160" spans="1:23" x14ac:dyDescent="0.25">
      <c r="A160" s="1">
        <v>43922</v>
      </c>
      <c r="B160" s="1">
        <v>43922</v>
      </c>
      <c r="C160" t="s">
        <v>157</v>
      </c>
      <c r="D160" t="s">
        <v>93</v>
      </c>
      <c r="E160" t="s">
        <v>49</v>
      </c>
      <c r="F160" t="s">
        <v>211</v>
      </c>
      <c r="G160" s="53">
        <v>43992.659548611111</v>
      </c>
      <c r="H160">
        <v>33</v>
      </c>
      <c r="I160" t="s">
        <v>349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</v>
      </c>
      <c r="T160">
        <v>3349</v>
      </c>
      <c r="U160" t="s">
        <v>349</v>
      </c>
      <c r="V160" t="s">
        <v>349</v>
      </c>
      <c r="W160">
        <v>3349</v>
      </c>
    </row>
    <row r="161" spans="1:23" x14ac:dyDescent="0.25">
      <c r="A161" s="1">
        <v>43922</v>
      </c>
      <c r="B161" s="1">
        <v>43922</v>
      </c>
      <c r="C161" t="s">
        <v>157</v>
      </c>
      <c r="D161" t="s">
        <v>48</v>
      </c>
      <c r="E161" t="s">
        <v>49</v>
      </c>
      <c r="F161" t="s">
        <v>215</v>
      </c>
      <c r="G161" s="53">
        <v>43959.644641203704</v>
      </c>
      <c r="H161">
        <v>33</v>
      </c>
      <c r="I161">
        <v>13722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4</v>
      </c>
      <c r="R161" t="s">
        <v>27</v>
      </c>
      <c r="S161">
        <v>2658.6885689999999</v>
      </c>
      <c r="T161">
        <v>69.12</v>
      </c>
      <c r="U161" t="s">
        <v>349</v>
      </c>
      <c r="V161" t="s">
        <v>349</v>
      </c>
      <c r="W161">
        <v>183769</v>
      </c>
    </row>
    <row r="162" spans="1:23" x14ac:dyDescent="0.25">
      <c r="A162" s="1">
        <v>43922</v>
      </c>
      <c r="B162" s="1">
        <v>43922</v>
      </c>
      <c r="C162" t="s">
        <v>157</v>
      </c>
      <c r="D162" t="s">
        <v>93</v>
      </c>
      <c r="E162" t="s">
        <v>49</v>
      </c>
      <c r="F162" t="s">
        <v>211</v>
      </c>
      <c r="G162" s="53">
        <v>43992.659548611111</v>
      </c>
      <c r="H162">
        <v>33</v>
      </c>
      <c r="I162" t="s">
        <v>349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20</v>
      </c>
      <c r="U162" t="s">
        <v>349</v>
      </c>
      <c r="V162" t="s">
        <v>349</v>
      </c>
      <c r="W162">
        <v>20</v>
      </c>
    </row>
    <row r="163" spans="1:23" x14ac:dyDescent="0.25">
      <c r="A163" s="1">
        <v>43922</v>
      </c>
      <c r="B163" s="1">
        <v>43922</v>
      </c>
      <c r="C163" t="s">
        <v>157</v>
      </c>
      <c r="D163" t="s">
        <v>48</v>
      </c>
      <c r="E163" t="s">
        <v>49</v>
      </c>
      <c r="F163" t="s">
        <v>215</v>
      </c>
      <c r="G163" s="53">
        <v>43959.644641203704</v>
      </c>
      <c r="H163">
        <v>33</v>
      </c>
      <c r="I163">
        <v>13722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15.457482000000001</v>
      </c>
      <c r="T163">
        <v>71.932000000000002</v>
      </c>
      <c r="U163" t="s">
        <v>349</v>
      </c>
      <c r="V163" t="s">
        <v>349</v>
      </c>
      <c r="W163">
        <v>1112</v>
      </c>
    </row>
    <row r="164" spans="1:23" x14ac:dyDescent="0.25">
      <c r="A164" s="1">
        <v>43952</v>
      </c>
      <c r="B164" s="1">
        <v>43952</v>
      </c>
      <c r="C164" t="s">
        <v>157</v>
      </c>
      <c r="D164" t="s">
        <v>93</v>
      </c>
      <c r="E164" t="s">
        <v>49</v>
      </c>
      <c r="F164" t="s">
        <v>217</v>
      </c>
      <c r="G164" s="53">
        <v>44027.009201388886</v>
      </c>
      <c r="H164">
        <v>33</v>
      </c>
      <c r="I164">
        <v>14695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>
        <v>1</v>
      </c>
      <c r="T164">
        <v>269</v>
      </c>
      <c r="U164" t="s">
        <v>349</v>
      </c>
      <c r="V164" t="s">
        <v>349</v>
      </c>
      <c r="W164">
        <v>269</v>
      </c>
    </row>
    <row r="165" spans="1:23" x14ac:dyDescent="0.25">
      <c r="A165" s="1">
        <v>43952</v>
      </c>
      <c r="B165" s="1">
        <v>43952</v>
      </c>
      <c r="C165" t="s">
        <v>157</v>
      </c>
      <c r="D165" t="s">
        <v>48</v>
      </c>
      <c r="E165" t="s">
        <v>49</v>
      </c>
      <c r="F165" t="s">
        <v>220</v>
      </c>
      <c r="G165" s="53">
        <v>43987.496550925927</v>
      </c>
      <c r="H165">
        <v>33</v>
      </c>
      <c r="I165">
        <v>14013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2850.9896789999998</v>
      </c>
      <c r="T165">
        <v>71.221999999999994</v>
      </c>
      <c r="U165" t="s">
        <v>349</v>
      </c>
      <c r="V165" t="s">
        <v>349</v>
      </c>
      <c r="W165">
        <v>203053</v>
      </c>
    </row>
    <row r="166" spans="1:23" x14ac:dyDescent="0.25">
      <c r="A166" s="1">
        <v>43952</v>
      </c>
      <c r="B166" s="1">
        <v>43952</v>
      </c>
      <c r="C166" t="s">
        <v>157</v>
      </c>
      <c r="D166" t="s">
        <v>48</v>
      </c>
      <c r="E166" t="s">
        <v>49</v>
      </c>
      <c r="F166" t="s">
        <v>220</v>
      </c>
      <c r="G166" s="53">
        <v>43987.496550925927</v>
      </c>
      <c r="H166">
        <v>33</v>
      </c>
      <c r="I166">
        <v>14013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2</v>
      </c>
      <c r="R166" t="s">
        <v>94</v>
      </c>
      <c r="S166">
        <v>6.0668620000000004</v>
      </c>
      <c r="T166">
        <v>73.772999999999996</v>
      </c>
      <c r="U166" t="s">
        <v>349</v>
      </c>
      <c r="V166" t="s">
        <v>349</v>
      </c>
      <c r="W166">
        <v>448</v>
      </c>
    </row>
    <row r="167" spans="1:23" x14ac:dyDescent="0.25">
      <c r="A167" s="1">
        <v>43952</v>
      </c>
      <c r="B167" s="1">
        <v>43952</v>
      </c>
      <c r="C167" t="s">
        <v>157</v>
      </c>
      <c r="D167" t="s">
        <v>93</v>
      </c>
      <c r="E167" t="s">
        <v>49</v>
      </c>
      <c r="F167" t="s">
        <v>217</v>
      </c>
      <c r="G167" s="53">
        <v>44027.009201388886</v>
      </c>
      <c r="H167">
        <v>33</v>
      </c>
      <c r="I167">
        <v>14695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3</v>
      </c>
      <c r="R167" t="s">
        <v>81</v>
      </c>
      <c r="S167">
        <v>1</v>
      </c>
      <c r="T167">
        <v>38</v>
      </c>
      <c r="U167" t="s">
        <v>349</v>
      </c>
      <c r="V167" t="s">
        <v>349</v>
      </c>
      <c r="W167">
        <v>38</v>
      </c>
    </row>
    <row r="168" spans="1:23" x14ac:dyDescent="0.25">
      <c r="A168" s="1">
        <v>43952</v>
      </c>
      <c r="B168" s="1">
        <v>43952</v>
      </c>
      <c r="C168" t="s">
        <v>157</v>
      </c>
      <c r="D168" t="s">
        <v>48</v>
      </c>
      <c r="E168" t="s">
        <v>49</v>
      </c>
      <c r="F168" t="s">
        <v>220</v>
      </c>
      <c r="G168" s="53">
        <v>43987.496550925927</v>
      </c>
      <c r="H168">
        <v>33</v>
      </c>
      <c r="I168">
        <v>14013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3</v>
      </c>
      <c r="R168" t="s">
        <v>81</v>
      </c>
      <c r="S168">
        <v>420.03741300000002</v>
      </c>
      <c r="T168">
        <v>67.765000000000001</v>
      </c>
      <c r="U168" t="s">
        <v>349</v>
      </c>
      <c r="V168" t="s">
        <v>349</v>
      </c>
      <c r="W168">
        <v>28464</v>
      </c>
    </row>
    <row r="169" spans="1:23" x14ac:dyDescent="0.25">
      <c r="A169" s="1">
        <v>43952</v>
      </c>
      <c r="B169" s="1">
        <v>43952</v>
      </c>
      <c r="C169" t="s">
        <v>157</v>
      </c>
      <c r="D169" t="s">
        <v>93</v>
      </c>
      <c r="E169" t="s">
        <v>49</v>
      </c>
      <c r="F169" t="s">
        <v>217</v>
      </c>
      <c r="G169" s="53">
        <v>44027.009201388886</v>
      </c>
      <c r="H169">
        <v>33</v>
      </c>
      <c r="I169">
        <v>14695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4</v>
      </c>
      <c r="R169" t="s">
        <v>27</v>
      </c>
      <c r="S169">
        <v>1</v>
      </c>
      <c r="T169">
        <v>238</v>
      </c>
      <c r="U169" t="s">
        <v>349</v>
      </c>
      <c r="V169" t="s">
        <v>349</v>
      </c>
      <c r="W169">
        <v>238</v>
      </c>
    </row>
    <row r="170" spans="1:23" x14ac:dyDescent="0.25">
      <c r="A170" s="1">
        <v>43952</v>
      </c>
      <c r="B170" s="1">
        <v>43952</v>
      </c>
      <c r="C170" t="s">
        <v>157</v>
      </c>
      <c r="D170" t="s">
        <v>48</v>
      </c>
      <c r="E170" t="s">
        <v>49</v>
      </c>
      <c r="F170" t="s">
        <v>220</v>
      </c>
      <c r="G170" s="53">
        <v>43987.496550925927</v>
      </c>
      <c r="H170">
        <v>33</v>
      </c>
      <c r="I170">
        <v>14013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4</v>
      </c>
      <c r="R170" t="s">
        <v>27</v>
      </c>
      <c r="S170">
        <v>2600.4811690000001</v>
      </c>
      <c r="T170">
        <v>69.12</v>
      </c>
      <c r="U170" t="s">
        <v>349</v>
      </c>
      <c r="V170" t="s">
        <v>349</v>
      </c>
      <c r="W170">
        <v>179745</v>
      </c>
    </row>
    <row r="171" spans="1:23" x14ac:dyDescent="0.25">
      <c r="A171" s="1">
        <v>43952</v>
      </c>
      <c r="B171" s="1">
        <v>43952</v>
      </c>
      <c r="C171" t="s">
        <v>157</v>
      </c>
      <c r="D171" t="s">
        <v>93</v>
      </c>
      <c r="E171" t="s">
        <v>49</v>
      </c>
      <c r="F171" t="s">
        <v>217</v>
      </c>
      <c r="G171" s="53">
        <v>44027.009201388886</v>
      </c>
      <c r="H171">
        <v>33</v>
      </c>
      <c r="I171">
        <v>14695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5</v>
      </c>
      <c r="R171" t="s">
        <v>28</v>
      </c>
      <c r="S171">
        <v>1</v>
      </c>
      <c r="T171">
        <v>1</v>
      </c>
      <c r="U171" t="s">
        <v>349</v>
      </c>
      <c r="V171" t="s">
        <v>349</v>
      </c>
      <c r="W171">
        <v>1</v>
      </c>
    </row>
    <row r="172" spans="1:23" x14ac:dyDescent="0.25">
      <c r="A172" s="1">
        <v>43952</v>
      </c>
      <c r="B172" s="1">
        <v>43952</v>
      </c>
      <c r="C172" t="s">
        <v>157</v>
      </c>
      <c r="D172" t="s">
        <v>48</v>
      </c>
      <c r="E172" t="s">
        <v>49</v>
      </c>
      <c r="F172" t="s">
        <v>220</v>
      </c>
      <c r="G172" s="53">
        <v>43987.496550925927</v>
      </c>
      <c r="H172">
        <v>33</v>
      </c>
      <c r="I172">
        <v>14013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5</v>
      </c>
      <c r="R172" t="s">
        <v>28</v>
      </c>
      <c r="S172">
        <v>15.361321</v>
      </c>
      <c r="T172">
        <v>71.932000000000002</v>
      </c>
      <c r="U172" t="s">
        <v>349</v>
      </c>
      <c r="V172" t="s">
        <v>349</v>
      </c>
      <c r="W172">
        <v>1105</v>
      </c>
    </row>
    <row r="173" spans="1:23" x14ac:dyDescent="0.25">
      <c r="A173" s="1">
        <v>43983</v>
      </c>
      <c r="B173" s="1">
        <v>43983</v>
      </c>
      <c r="C173" t="s">
        <v>157</v>
      </c>
      <c r="D173" t="s">
        <v>93</v>
      </c>
      <c r="E173" t="s">
        <v>49</v>
      </c>
      <c r="F173" t="s">
        <v>229</v>
      </c>
      <c r="G173" s="53">
        <v>44057.743877314817</v>
      </c>
      <c r="H173">
        <v>61</v>
      </c>
      <c r="I173" t="s">
        <v>349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1</v>
      </c>
      <c r="R173" t="s">
        <v>83</v>
      </c>
      <c r="S173">
        <v>1</v>
      </c>
      <c r="T173">
        <v>-1449</v>
      </c>
      <c r="U173" t="s">
        <v>349</v>
      </c>
      <c r="V173" t="s">
        <v>349</v>
      </c>
      <c r="W173">
        <v>-1449</v>
      </c>
    </row>
    <row r="174" spans="1:23" x14ac:dyDescent="0.25">
      <c r="A174" s="1">
        <v>43983</v>
      </c>
      <c r="B174" s="1">
        <v>43983</v>
      </c>
      <c r="C174" t="s">
        <v>157</v>
      </c>
      <c r="D174" t="s">
        <v>48</v>
      </c>
      <c r="E174" t="s">
        <v>49</v>
      </c>
      <c r="F174" t="s">
        <v>228</v>
      </c>
      <c r="G174" s="53">
        <v>44020.479664351849</v>
      </c>
      <c r="H174">
        <v>33</v>
      </c>
      <c r="I174">
        <v>14392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1</v>
      </c>
      <c r="R174" t="s">
        <v>83</v>
      </c>
      <c r="S174">
        <v>2496.08</v>
      </c>
      <c r="T174">
        <v>71.221999999999994</v>
      </c>
      <c r="U174" t="s">
        <v>349</v>
      </c>
      <c r="V174" t="s">
        <v>349</v>
      </c>
      <c r="W174">
        <v>177776</v>
      </c>
    </row>
    <row r="175" spans="1:23" x14ac:dyDescent="0.25">
      <c r="A175" s="1">
        <v>43983</v>
      </c>
      <c r="B175" s="1">
        <v>43983</v>
      </c>
      <c r="C175" t="s">
        <v>157</v>
      </c>
      <c r="D175" t="s">
        <v>93</v>
      </c>
      <c r="E175" t="s">
        <v>49</v>
      </c>
      <c r="F175" t="s">
        <v>229</v>
      </c>
      <c r="G175" s="53">
        <v>44057.743877314817</v>
      </c>
      <c r="H175">
        <v>61</v>
      </c>
      <c r="I175" t="s">
        <v>349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2</v>
      </c>
      <c r="R175" t="s">
        <v>94</v>
      </c>
      <c r="S175">
        <v>1</v>
      </c>
      <c r="T175">
        <v>-3</v>
      </c>
      <c r="U175" t="s">
        <v>349</v>
      </c>
      <c r="V175" t="s">
        <v>349</v>
      </c>
      <c r="W175">
        <v>-3</v>
      </c>
    </row>
    <row r="176" spans="1:23" x14ac:dyDescent="0.25">
      <c r="A176" s="1">
        <v>43983</v>
      </c>
      <c r="B176" s="1">
        <v>43983</v>
      </c>
      <c r="C176" t="s">
        <v>157</v>
      </c>
      <c r="D176" t="s">
        <v>48</v>
      </c>
      <c r="E176" t="s">
        <v>49</v>
      </c>
      <c r="F176" t="s">
        <v>228</v>
      </c>
      <c r="G176" s="53">
        <v>44020.479664351849</v>
      </c>
      <c r="H176">
        <v>33</v>
      </c>
      <c r="I176">
        <v>14392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2</v>
      </c>
      <c r="R176" t="s">
        <v>94</v>
      </c>
      <c r="S176">
        <v>5.0652330000000001</v>
      </c>
      <c r="T176">
        <v>73.772999999999996</v>
      </c>
      <c r="U176" t="s">
        <v>349</v>
      </c>
      <c r="V176" t="s">
        <v>349</v>
      </c>
      <c r="W176">
        <v>374</v>
      </c>
    </row>
    <row r="177" spans="1:23" x14ac:dyDescent="0.25">
      <c r="A177" s="1">
        <v>43983</v>
      </c>
      <c r="B177" s="1">
        <v>43983</v>
      </c>
      <c r="C177" t="s">
        <v>157</v>
      </c>
      <c r="D177" t="s">
        <v>93</v>
      </c>
      <c r="E177" t="s">
        <v>49</v>
      </c>
      <c r="F177" t="s">
        <v>229</v>
      </c>
      <c r="G177" s="53">
        <v>44057.743877314817</v>
      </c>
      <c r="H177">
        <v>61</v>
      </c>
      <c r="I177" t="s">
        <v>349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3</v>
      </c>
      <c r="R177" t="s">
        <v>81</v>
      </c>
      <c r="S177">
        <v>1</v>
      </c>
      <c r="T177">
        <v>-200</v>
      </c>
      <c r="U177" t="s">
        <v>349</v>
      </c>
      <c r="V177" t="s">
        <v>349</v>
      </c>
      <c r="W177">
        <v>-200</v>
      </c>
    </row>
    <row r="178" spans="1:23" x14ac:dyDescent="0.25">
      <c r="A178" s="1">
        <v>43983</v>
      </c>
      <c r="B178" s="1">
        <v>43983</v>
      </c>
      <c r="C178" t="s">
        <v>157</v>
      </c>
      <c r="D178" t="s">
        <v>48</v>
      </c>
      <c r="E178" t="s">
        <v>49</v>
      </c>
      <c r="F178" t="s">
        <v>228</v>
      </c>
      <c r="G178" s="53">
        <v>44020.479664351849</v>
      </c>
      <c r="H178">
        <v>33</v>
      </c>
      <c r="I178">
        <v>14392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3</v>
      </c>
      <c r="R178" t="s">
        <v>81</v>
      </c>
      <c r="S178">
        <v>361.77921099999998</v>
      </c>
      <c r="T178">
        <v>67.765000000000001</v>
      </c>
      <c r="U178" t="s">
        <v>349</v>
      </c>
      <c r="V178" t="s">
        <v>349</v>
      </c>
      <c r="W178">
        <v>24516</v>
      </c>
    </row>
    <row r="179" spans="1:23" x14ac:dyDescent="0.25">
      <c r="A179" s="1">
        <v>43983</v>
      </c>
      <c r="B179" s="1">
        <v>43983</v>
      </c>
      <c r="C179" t="s">
        <v>157</v>
      </c>
      <c r="D179" t="s">
        <v>93</v>
      </c>
      <c r="E179" t="s">
        <v>49</v>
      </c>
      <c r="F179" t="s">
        <v>229</v>
      </c>
      <c r="G179" s="53">
        <v>44057.743877314817</v>
      </c>
      <c r="H179">
        <v>61</v>
      </c>
      <c r="I179" t="s">
        <v>349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4</v>
      </c>
      <c r="R179" t="s">
        <v>27</v>
      </c>
      <c r="S179">
        <v>1</v>
      </c>
      <c r="T179">
        <v>-1279</v>
      </c>
      <c r="U179" t="s">
        <v>349</v>
      </c>
      <c r="V179" t="s">
        <v>349</v>
      </c>
      <c r="W179">
        <v>-1279</v>
      </c>
    </row>
    <row r="180" spans="1:23" x14ac:dyDescent="0.25">
      <c r="A180" s="1">
        <v>43983</v>
      </c>
      <c r="B180" s="1">
        <v>43983</v>
      </c>
      <c r="C180" t="s">
        <v>157</v>
      </c>
      <c r="D180" t="s">
        <v>48</v>
      </c>
      <c r="E180" t="s">
        <v>49</v>
      </c>
      <c r="F180" t="s">
        <v>228</v>
      </c>
      <c r="G180" s="53">
        <v>44020.479664351849</v>
      </c>
      <c r="H180">
        <v>33</v>
      </c>
      <c r="I180">
        <v>14392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4</v>
      </c>
      <c r="R180" t="s">
        <v>27</v>
      </c>
      <c r="S180">
        <v>2272.4959020000001</v>
      </c>
      <c r="T180">
        <v>69.12</v>
      </c>
      <c r="U180" t="s">
        <v>349</v>
      </c>
      <c r="V180" t="s">
        <v>349</v>
      </c>
      <c r="W180">
        <v>157075</v>
      </c>
    </row>
    <row r="181" spans="1:23" x14ac:dyDescent="0.25">
      <c r="A181" s="1">
        <v>43983</v>
      </c>
      <c r="B181" s="1">
        <v>43983</v>
      </c>
      <c r="C181" t="s">
        <v>157</v>
      </c>
      <c r="D181" t="s">
        <v>93</v>
      </c>
      <c r="E181" t="s">
        <v>49</v>
      </c>
      <c r="F181" t="s">
        <v>229</v>
      </c>
      <c r="G181" s="53">
        <v>44057.743877314817</v>
      </c>
      <c r="H181">
        <v>61</v>
      </c>
      <c r="I181" t="s">
        <v>349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5</v>
      </c>
      <c r="R181" t="s">
        <v>28</v>
      </c>
      <c r="S181">
        <v>1</v>
      </c>
      <c r="T181">
        <v>-8</v>
      </c>
      <c r="U181" t="s">
        <v>349</v>
      </c>
      <c r="V181" t="s">
        <v>349</v>
      </c>
      <c r="W181">
        <v>-8</v>
      </c>
    </row>
    <row r="182" spans="1:23" x14ac:dyDescent="0.25">
      <c r="A182" s="1">
        <v>43983</v>
      </c>
      <c r="B182" s="1">
        <v>43983</v>
      </c>
      <c r="C182" t="s">
        <v>157</v>
      </c>
      <c r="D182" t="s">
        <v>48</v>
      </c>
      <c r="E182" t="s">
        <v>49</v>
      </c>
      <c r="F182" t="s">
        <v>228</v>
      </c>
      <c r="G182" s="53">
        <v>44020.479664351849</v>
      </c>
      <c r="H182">
        <v>33</v>
      </c>
      <c r="I182">
        <v>14392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5</v>
      </c>
      <c r="R182" t="s">
        <v>28</v>
      </c>
      <c r="S182">
        <v>13.447563000000001</v>
      </c>
      <c r="T182">
        <v>71.932000000000002</v>
      </c>
      <c r="U182" t="s">
        <v>349</v>
      </c>
      <c r="V182" t="s">
        <v>349</v>
      </c>
      <c r="W182">
        <v>967</v>
      </c>
    </row>
    <row r="183" spans="1:23" x14ac:dyDescent="0.25">
      <c r="A183" s="1">
        <v>44013</v>
      </c>
      <c r="B183" s="1">
        <v>44013</v>
      </c>
      <c r="C183" t="s">
        <v>157</v>
      </c>
      <c r="D183" t="s">
        <v>93</v>
      </c>
      <c r="E183" t="s">
        <v>49</v>
      </c>
      <c r="F183" t="s">
        <v>236</v>
      </c>
      <c r="G183" s="53">
        <v>44082.485532407409</v>
      </c>
      <c r="H183">
        <v>33</v>
      </c>
      <c r="I183" t="s">
        <v>349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1</v>
      </c>
      <c r="R183" t="s">
        <v>83</v>
      </c>
      <c r="S183">
        <v>1</v>
      </c>
      <c r="T183">
        <v>7664</v>
      </c>
      <c r="U183" t="s">
        <v>349</v>
      </c>
      <c r="V183" t="s">
        <v>349</v>
      </c>
      <c r="W183">
        <v>7664</v>
      </c>
    </row>
    <row r="184" spans="1:23" x14ac:dyDescent="0.25">
      <c r="A184" s="1">
        <v>44013</v>
      </c>
      <c r="B184" s="1">
        <v>44013</v>
      </c>
      <c r="C184" t="s">
        <v>157</v>
      </c>
      <c r="D184" t="s">
        <v>48</v>
      </c>
      <c r="E184" t="s">
        <v>49</v>
      </c>
      <c r="F184" t="s">
        <v>235</v>
      </c>
      <c r="G184" s="53">
        <v>44053.449259259258</v>
      </c>
      <c r="H184">
        <v>33</v>
      </c>
      <c r="I184">
        <v>14796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1</v>
      </c>
      <c r="R184" t="s">
        <v>83</v>
      </c>
      <c r="S184">
        <v>2138.52</v>
      </c>
      <c r="T184">
        <v>76.587000000000003</v>
      </c>
      <c r="U184" t="s">
        <v>349</v>
      </c>
      <c r="V184" t="s">
        <v>349</v>
      </c>
      <c r="W184">
        <v>163783</v>
      </c>
    </row>
    <row r="185" spans="1:23" x14ac:dyDescent="0.25">
      <c r="A185" s="1">
        <v>44013</v>
      </c>
      <c r="B185" s="1">
        <v>44013</v>
      </c>
      <c r="C185" t="s">
        <v>157</v>
      </c>
      <c r="D185" t="s">
        <v>93</v>
      </c>
      <c r="E185" t="s">
        <v>49</v>
      </c>
      <c r="F185" t="s">
        <v>236</v>
      </c>
      <c r="G185" s="53">
        <v>44082.485532407409</v>
      </c>
      <c r="H185">
        <v>33</v>
      </c>
      <c r="I185" t="s">
        <v>349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2</v>
      </c>
      <c r="R185" t="s">
        <v>94</v>
      </c>
      <c r="S185">
        <v>1</v>
      </c>
      <c r="T185">
        <v>35</v>
      </c>
      <c r="U185" t="s">
        <v>349</v>
      </c>
      <c r="V185" t="s">
        <v>349</v>
      </c>
      <c r="W185">
        <v>35</v>
      </c>
    </row>
    <row r="186" spans="1:23" x14ac:dyDescent="0.25">
      <c r="A186" s="1">
        <v>44013</v>
      </c>
      <c r="B186" s="1">
        <v>44013</v>
      </c>
      <c r="C186" t="s">
        <v>157</v>
      </c>
      <c r="D186" t="s">
        <v>48</v>
      </c>
      <c r="E186" t="s">
        <v>49</v>
      </c>
      <c r="F186" t="s">
        <v>235</v>
      </c>
      <c r="G186" s="53">
        <v>44053.449259259258</v>
      </c>
      <c r="H186">
        <v>33</v>
      </c>
      <c r="I186">
        <v>14796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2</v>
      </c>
      <c r="R186" t="s">
        <v>94</v>
      </c>
      <c r="S186">
        <v>9.5288520000000005</v>
      </c>
      <c r="T186">
        <v>77.677999999999997</v>
      </c>
      <c r="U186" t="s">
        <v>349</v>
      </c>
      <c r="V186" t="s">
        <v>349</v>
      </c>
      <c r="W186">
        <v>740</v>
      </c>
    </row>
    <row r="187" spans="1:23" x14ac:dyDescent="0.25">
      <c r="A187" s="1">
        <v>44013</v>
      </c>
      <c r="B187" s="1">
        <v>44013</v>
      </c>
      <c r="C187" t="s">
        <v>157</v>
      </c>
      <c r="D187" t="s">
        <v>93</v>
      </c>
      <c r="E187" t="s">
        <v>49</v>
      </c>
      <c r="F187" t="s">
        <v>236</v>
      </c>
      <c r="G187" s="53">
        <v>44082.485532407409</v>
      </c>
      <c r="H187">
        <v>33</v>
      </c>
      <c r="I187" t="s">
        <v>349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1</v>
      </c>
      <c r="T187">
        <v>1075</v>
      </c>
      <c r="U187" t="s">
        <v>349</v>
      </c>
      <c r="V187" t="s">
        <v>349</v>
      </c>
      <c r="W187">
        <v>1075</v>
      </c>
    </row>
    <row r="188" spans="1:23" x14ac:dyDescent="0.25">
      <c r="A188" s="1">
        <v>44013</v>
      </c>
      <c r="B188" s="1">
        <v>44013</v>
      </c>
      <c r="C188" t="s">
        <v>157</v>
      </c>
      <c r="D188" t="s">
        <v>48</v>
      </c>
      <c r="E188" t="s">
        <v>49</v>
      </c>
      <c r="F188" t="s">
        <v>235</v>
      </c>
      <c r="G188" s="53">
        <v>44053.449259259258</v>
      </c>
      <c r="H188">
        <v>33</v>
      </c>
      <c r="I188">
        <v>14796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3</v>
      </c>
      <c r="R188" t="s">
        <v>81</v>
      </c>
      <c r="S188">
        <v>314.28954700000003</v>
      </c>
      <c r="T188">
        <v>73.070999999999998</v>
      </c>
      <c r="U188" t="s">
        <v>349</v>
      </c>
      <c r="V188" t="s">
        <v>349</v>
      </c>
      <c r="W188">
        <v>22965</v>
      </c>
    </row>
    <row r="189" spans="1:23" x14ac:dyDescent="0.25">
      <c r="A189" s="1">
        <v>44013</v>
      </c>
      <c r="B189" s="1">
        <v>44013</v>
      </c>
      <c r="C189" t="s">
        <v>157</v>
      </c>
      <c r="D189" t="s">
        <v>93</v>
      </c>
      <c r="E189" t="s">
        <v>49</v>
      </c>
      <c r="F189" t="s">
        <v>236</v>
      </c>
      <c r="G189" s="53">
        <v>44082.485532407409</v>
      </c>
      <c r="H189">
        <v>33</v>
      </c>
      <c r="I189" t="s">
        <v>349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9294</v>
      </c>
      <c r="U189" t="s">
        <v>349</v>
      </c>
      <c r="V189" t="s">
        <v>349</v>
      </c>
      <c r="W189">
        <v>9294</v>
      </c>
    </row>
    <row r="190" spans="1:23" x14ac:dyDescent="0.25">
      <c r="A190" s="1">
        <v>44013</v>
      </c>
      <c r="B190" s="1">
        <v>44013</v>
      </c>
      <c r="C190" t="s">
        <v>157</v>
      </c>
      <c r="D190" t="s">
        <v>48</v>
      </c>
      <c r="E190" t="s">
        <v>49</v>
      </c>
      <c r="F190" t="s">
        <v>235</v>
      </c>
      <c r="G190" s="53">
        <v>44053.449259259258</v>
      </c>
      <c r="H190">
        <v>33</v>
      </c>
      <c r="I190">
        <v>14796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2713.5583329999999</v>
      </c>
      <c r="T190">
        <v>73.188999999999993</v>
      </c>
      <c r="U190" t="s">
        <v>349</v>
      </c>
      <c r="V190" t="s">
        <v>349</v>
      </c>
      <c r="W190">
        <v>198603</v>
      </c>
    </row>
    <row r="191" spans="1:23" x14ac:dyDescent="0.25">
      <c r="A191" s="1">
        <v>44013</v>
      </c>
      <c r="B191" s="1">
        <v>44013</v>
      </c>
      <c r="C191" t="s">
        <v>157</v>
      </c>
      <c r="D191" t="s">
        <v>93</v>
      </c>
      <c r="E191" t="s">
        <v>49</v>
      </c>
      <c r="F191" t="s">
        <v>236</v>
      </c>
      <c r="G191" s="53">
        <v>44082.485532407409</v>
      </c>
      <c r="H191">
        <v>33</v>
      </c>
      <c r="I191" t="s">
        <v>349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>
        <v>1</v>
      </c>
      <c r="T191">
        <v>40</v>
      </c>
      <c r="U191" t="s">
        <v>349</v>
      </c>
      <c r="V191" t="s">
        <v>349</v>
      </c>
      <c r="W191">
        <v>40</v>
      </c>
    </row>
    <row r="192" spans="1:23" x14ac:dyDescent="0.25">
      <c r="A192" s="1">
        <v>44013</v>
      </c>
      <c r="B192" s="1">
        <v>44013</v>
      </c>
      <c r="C192" t="s">
        <v>157</v>
      </c>
      <c r="D192" t="s">
        <v>48</v>
      </c>
      <c r="E192" t="s">
        <v>49</v>
      </c>
      <c r="F192" t="s">
        <v>235</v>
      </c>
      <c r="G192" s="53">
        <v>44053.449259259258</v>
      </c>
      <c r="H192">
        <v>33</v>
      </c>
      <c r="I192">
        <v>14796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11.248535</v>
      </c>
      <c r="T192">
        <v>75.629000000000005</v>
      </c>
      <c r="U192" t="s">
        <v>349</v>
      </c>
      <c r="V192" t="s">
        <v>349</v>
      </c>
      <c r="W192">
        <v>851</v>
      </c>
    </row>
    <row r="193" spans="1:23" x14ac:dyDescent="0.25">
      <c r="A193" s="1">
        <v>44044</v>
      </c>
      <c r="B193" s="1">
        <v>44044</v>
      </c>
      <c r="C193" t="s">
        <v>157</v>
      </c>
      <c r="D193" t="s">
        <v>93</v>
      </c>
      <c r="E193" t="s">
        <v>49</v>
      </c>
      <c r="F193" t="s">
        <v>243</v>
      </c>
      <c r="G193" s="53">
        <v>44119.739837962959</v>
      </c>
      <c r="H193">
        <v>33</v>
      </c>
      <c r="I193" t="s">
        <v>349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1</v>
      </c>
      <c r="R193" t="s">
        <v>83</v>
      </c>
      <c r="S193">
        <v>1</v>
      </c>
      <c r="T193">
        <v>689</v>
      </c>
      <c r="U193" t="s">
        <v>349</v>
      </c>
      <c r="V193" t="s">
        <v>349</v>
      </c>
      <c r="W193">
        <v>689</v>
      </c>
    </row>
    <row r="194" spans="1:23" x14ac:dyDescent="0.25">
      <c r="A194" s="1">
        <v>44044</v>
      </c>
      <c r="B194" s="1">
        <v>44044</v>
      </c>
      <c r="C194" t="s">
        <v>157</v>
      </c>
      <c r="D194" t="s">
        <v>48</v>
      </c>
      <c r="E194" t="s">
        <v>49</v>
      </c>
      <c r="F194" t="s">
        <v>239</v>
      </c>
      <c r="G194" s="53">
        <v>44081.950659722221</v>
      </c>
      <c r="H194">
        <v>33</v>
      </c>
      <c r="I194">
        <v>15128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>
        <v>2023.204197</v>
      </c>
      <c r="T194">
        <v>80.305999999999997</v>
      </c>
      <c r="U194" t="s">
        <v>349</v>
      </c>
      <c r="V194" t="s">
        <v>349</v>
      </c>
      <c r="W194">
        <v>162475</v>
      </c>
    </row>
    <row r="195" spans="1:23" x14ac:dyDescent="0.25">
      <c r="A195" s="1">
        <v>44044</v>
      </c>
      <c r="B195" s="1">
        <v>44044</v>
      </c>
      <c r="C195" t="s">
        <v>157</v>
      </c>
      <c r="D195" t="s">
        <v>93</v>
      </c>
      <c r="E195" t="s">
        <v>49</v>
      </c>
      <c r="F195" t="s">
        <v>243</v>
      </c>
      <c r="G195" s="53">
        <v>44119.739837962959</v>
      </c>
      <c r="H195">
        <v>33</v>
      </c>
      <c r="I195" t="s">
        <v>349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2</v>
      </c>
      <c r="R195" t="s">
        <v>94</v>
      </c>
      <c r="S195">
        <v>1</v>
      </c>
      <c r="T195">
        <v>2</v>
      </c>
      <c r="U195" t="s">
        <v>349</v>
      </c>
      <c r="V195" t="s">
        <v>349</v>
      </c>
      <c r="W195">
        <v>2</v>
      </c>
    </row>
    <row r="196" spans="1:23" x14ac:dyDescent="0.25">
      <c r="A196" s="1">
        <v>44044</v>
      </c>
      <c r="B196" s="1">
        <v>44044</v>
      </c>
      <c r="C196" t="s">
        <v>157</v>
      </c>
      <c r="D196" t="s">
        <v>48</v>
      </c>
      <c r="E196" t="s">
        <v>49</v>
      </c>
      <c r="F196" t="s">
        <v>239</v>
      </c>
      <c r="G196" s="53">
        <v>44081.950659722221</v>
      </c>
      <c r="H196">
        <v>33</v>
      </c>
      <c r="I196">
        <v>15128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2</v>
      </c>
      <c r="R196" t="s">
        <v>94</v>
      </c>
      <c r="S196">
        <v>8.7799999999999994</v>
      </c>
      <c r="T196">
        <v>81.448999999999998</v>
      </c>
      <c r="U196" t="s">
        <v>349</v>
      </c>
      <c r="V196" t="s">
        <v>349</v>
      </c>
      <c r="W196">
        <v>715</v>
      </c>
    </row>
    <row r="197" spans="1:23" x14ac:dyDescent="0.25">
      <c r="A197" s="1">
        <v>44044</v>
      </c>
      <c r="B197" s="1">
        <v>44044</v>
      </c>
      <c r="C197" t="s">
        <v>157</v>
      </c>
      <c r="D197" t="s">
        <v>93</v>
      </c>
      <c r="E197" t="s">
        <v>49</v>
      </c>
      <c r="F197" t="s">
        <v>243</v>
      </c>
      <c r="G197" s="53">
        <v>44119.739837962959</v>
      </c>
      <c r="H197">
        <v>33</v>
      </c>
      <c r="I197" t="s">
        <v>349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3</v>
      </c>
      <c r="R197" t="s">
        <v>81</v>
      </c>
      <c r="S197">
        <v>1</v>
      </c>
      <c r="T197">
        <v>99</v>
      </c>
      <c r="U197" t="s">
        <v>349</v>
      </c>
      <c r="V197" t="s">
        <v>349</v>
      </c>
      <c r="W197">
        <v>99</v>
      </c>
    </row>
    <row r="198" spans="1:23" x14ac:dyDescent="0.25">
      <c r="A198" s="1">
        <v>44044</v>
      </c>
      <c r="B198" s="1">
        <v>44044</v>
      </c>
      <c r="C198" t="s">
        <v>157</v>
      </c>
      <c r="D198" t="s">
        <v>48</v>
      </c>
      <c r="E198" t="s">
        <v>49</v>
      </c>
      <c r="F198" t="s">
        <v>239</v>
      </c>
      <c r="G198" s="53">
        <v>44081.950659722221</v>
      </c>
      <c r="H198">
        <v>33</v>
      </c>
      <c r="I198">
        <v>15128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3</v>
      </c>
      <c r="R198" t="s">
        <v>81</v>
      </c>
      <c r="S198">
        <v>304.37409600000001</v>
      </c>
      <c r="T198">
        <v>76.619</v>
      </c>
      <c r="U198" t="s">
        <v>349</v>
      </c>
      <c r="V198" t="s">
        <v>349</v>
      </c>
      <c r="W198">
        <v>23321</v>
      </c>
    </row>
    <row r="199" spans="1:23" x14ac:dyDescent="0.25">
      <c r="A199" s="1">
        <v>44044</v>
      </c>
      <c r="B199" s="1">
        <v>44044</v>
      </c>
      <c r="C199" t="s">
        <v>157</v>
      </c>
      <c r="D199" t="s">
        <v>93</v>
      </c>
      <c r="E199" t="s">
        <v>49</v>
      </c>
      <c r="F199" t="s">
        <v>243</v>
      </c>
      <c r="G199" s="53">
        <v>44119.739837962959</v>
      </c>
      <c r="H199">
        <v>33</v>
      </c>
      <c r="I199" t="s">
        <v>349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4</v>
      </c>
      <c r="R199" t="s">
        <v>27</v>
      </c>
      <c r="S199">
        <v>1</v>
      </c>
      <c r="T199">
        <v>835</v>
      </c>
      <c r="U199" t="s">
        <v>349</v>
      </c>
      <c r="V199" t="s">
        <v>349</v>
      </c>
      <c r="W199">
        <v>835</v>
      </c>
    </row>
    <row r="200" spans="1:23" x14ac:dyDescent="0.25">
      <c r="A200" s="1">
        <v>44044</v>
      </c>
      <c r="B200" s="1">
        <v>44044</v>
      </c>
      <c r="C200" t="s">
        <v>157</v>
      </c>
      <c r="D200" t="s">
        <v>48</v>
      </c>
      <c r="E200" t="s">
        <v>49</v>
      </c>
      <c r="F200" t="s">
        <v>239</v>
      </c>
      <c r="G200" s="53">
        <v>44081.950659722221</v>
      </c>
      <c r="H200">
        <v>33</v>
      </c>
      <c r="I200">
        <v>15128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4</v>
      </c>
      <c r="R200" t="s">
        <v>27</v>
      </c>
      <c r="S200">
        <v>2559.6909580000001</v>
      </c>
      <c r="T200">
        <v>76.742999999999995</v>
      </c>
      <c r="U200" t="s">
        <v>349</v>
      </c>
      <c r="V200" t="s">
        <v>349</v>
      </c>
      <c r="W200">
        <v>196438</v>
      </c>
    </row>
    <row r="201" spans="1:23" x14ac:dyDescent="0.25">
      <c r="A201" s="1">
        <v>44044</v>
      </c>
      <c r="B201" s="1">
        <v>44044</v>
      </c>
      <c r="C201" t="s">
        <v>157</v>
      </c>
      <c r="D201" t="s">
        <v>93</v>
      </c>
      <c r="E201" t="s">
        <v>49</v>
      </c>
      <c r="F201" t="s">
        <v>243</v>
      </c>
      <c r="G201" s="53">
        <v>44119.739837962959</v>
      </c>
      <c r="H201">
        <v>33</v>
      </c>
      <c r="I201" t="s">
        <v>349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5</v>
      </c>
      <c r="R201" t="s">
        <v>28</v>
      </c>
      <c r="S201">
        <v>1</v>
      </c>
      <c r="T201">
        <v>4</v>
      </c>
      <c r="U201" t="s">
        <v>349</v>
      </c>
      <c r="V201" t="s">
        <v>349</v>
      </c>
      <c r="W201">
        <v>4</v>
      </c>
    </row>
    <row r="202" spans="1:23" x14ac:dyDescent="0.25">
      <c r="A202" s="1">
        <v>44044</v>
      </c>
      <c r="B202" s="1">
        <v>44044</v>
      </c>
      <c r="C202" t="s">
        <v>157</v>
      </c>
      <c r="D202" t="s">
        <v>48</v>
      </c>
      <c r="E202" t="s">
        <v>49</v>
      </c>
      <c r="F202" t="s">
        <v>239</v>
      </c>
      <c r="G202" s="53">
        <v>44081.950659722221</v>
      </c>
      <c r="H202">
        <v>33</v>
      </c>
      <c r="I202">
        <v>15128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5</v>
      </c>
      <c r="R202" t="s">
        <v>28</v>
      </c>
      <c r="S202">
        <v>10.585311000000001</v>
      </c>
      <c r="T202">
        <v>79.302000000000007</v>
      </c>
      <c r="U202" t="s">
        <v>349</v>
      </c>
      <c r="V202" t="s">
        <v>349</v>
      </c>
      <c r="W202">
        <v>839</v>
      </c>
    </row>
    <row r="203" spans="1:23" x14ac:dyDescent="0.25">
      <c r="A203" s="1">
        <v>44075</v>
      </c>
      <c r="B203" s="1">
        <v>44075</v>
      </c>
      <c r="C203" t="s">
        <v>157</v>
      </c>
      <c r="D203" t="s">
        <v>93</v>
      </c>
      <c r="E203" t="s">
        <v>49</v>
      </c>
      <c r="F203" t="s">
        <v>245</v>
      </c>
      <c r="G203" s="53">
        <v>44153.723773148151</v>
      </c>
      <c r="H203">
        <v>61</v>
      </c>
      <c r="I203" t="s">
        <v>349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1</v>
      </c>
      <c r="R203" t="s">
        <v>83</v>
      </c>
      <c r="S203">
        <v>1</v>
      </c>
      <c r="T203">
        <v>-323</v>
      </c>
      <c r="U203" t="s">
        <v>349</v>
      </c>
      <c r="V203" t="s">
        <v>349</v>
      </c>
      <c r="W203">
        <v>-323</v>
      </c>
    </row>
    <row r="204" spans="1:23" x14ac:dyDescent="0.25">
      <c r="A204" s="1">
        <v>44075</v>
      </c>
      <c r="B204" s="1">
        <v>44075</v>
      </c>
      <c r="C204" t="s">
        <v>157</v>
      </c>
      <c r="D204" t="s">
        <v>48</v>
      </c>
      <c r="E204" t="s">
        <v>49</v>
      </c>
      <c r="F204" t="s">
        <v>249</v>
      </c>
      <c r="G204" s="53">
        <v>44111.714999999997</v>
      </c>
      <c r="H204">
        <v>33</v>
      </c>
      <c r="I204">
        <v>15552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1</v>
      </c>
      <c r="R204" t="s">
        <v>83</v>
      </c>
      <c r="S204">
        <v>1931.180057</v>
      </c>
      <c r="T204">
        <v>80.344999999999999</v>
      </c>
      <c r="U204" t="s">
        <v>349</v>
      </c>
      <c r="V204" t="s">
        <v>349</v>
      </c>
      <c r="W204">
        <v>155161</v>
      </c>
    </row>
    <row r="205" spans="1:23" x14ac:dyDescent="0.25">
      <c r="A205" s="1">
        <v>44075</v>
      </c>
      <c r="B205" s="1">
        <v>44075</v>
      </c>
      <c r="C205" t="s">
        <v>157</v>
      </c>
      <c r="D205" t="s">
        <v>93</v>
      </c>
      <c r="E205" t="s">
        <v>49</v>
      </c>
      <c r="F205" t="s">
        <v>245</v>
      </c>
      <c r="G205" s="53">
        <v>44153.723773148151</v>
      </c>
      <c r="H205">
        <v>61</v>
      </c>
      <c r="I205" t="s">
        <v>349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2</v>
      </c>
      <c r="R205" t="s">
        <v>94</v>
      </c>
      <c r="S205">
        <v>1</v>
      </c>
      <c r="T205">
        <v>-2</v>
      </c>
      <c r="U205" t="s">
        <v>349</v>
      </c>
      <c r="V205" t="s">
        <v>349</v>
      </c>
      <c r="W205">
        <v>-2</v>
      </c>
    </row>
    <row r="206" spans="1:23" x14ac:dyDescent="0.25">
      <c r="A206" s="1">
        <v>44075</v>
      </c>
      <c r="B206" s="1">
        <v>44075</v>
      </c>
      <c r="C206" t="s">
        <v>157</v>
      </c>
      <c r="D206" t="s">
        <v>48</v>
      </c>
      <c r="E206" t="s">
        <v>49</v>
      </c>
      <c r="F206" t="s">
        <v>249</v>
      </c>
      <c r="G206" s="53">
        <v>44111.714999999997</v>
      </c>
      <c r="H206">
        <v>33</v>
      </c>
      <c r="I206">
        <v>15552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2</v>
      </c>
      <c r="R206" t="s">
        <v>94</v>
      </c>
      <c r="S206">
        <v>8.5106800000000007</v>
      </c>
      <c r="T206">
        <v>81.489000000000004</v>
      </c>
      <c r="U206" t="s">
        <v>349</v>
      </c>
      <c r="V206" t="s">
        <v>349</v>
      </c>
      <c r="W206">
        <v>694</v>
      </c>
    </row>
    <row r="207" spans="1:23" x14ac:dyDescent="0.25">
      <c r="A207" s="1">
        <v>44075</v>
      </c>
      <c r="B207" s="1">
        <v>44075</v>
      </c>
      <c r="C207" t="s">
        <v>157</v>
      </c>
      <c r="D207" t="s">
        <v>93</v>
      </c>
      <c r="E207" t="s">
        <v>49</v>
      </c>
      <c r="F207" t="s">
        <v>245</v>
      </c>
      <c r="G207" s="53">
        <v>44153.723773148151</v>
      </c>
      <c r="H207">
        <v>61</v>
      </c>
      <c r="I207" t="s">
        <v>349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3</v>
      </c>
      <c r="R207" t="s">
        <v>81</v>
      </c>
      <c r="S207">
        <v>1</v>
      </c>
      <c r="T207">
        <v>-44</v>
      </c>
      <c r="U207" t="s">
        <v>349</v>
      </c>
      <c r="V207" t="s">
        <v>349</v>
      </c>
      <c r="W207">
        <v>-44</v>
      </c>
    </row>
    <row r="208" spans="1:23" x14ac:dyDescent="0.25">
      <c r="A208" s="1">
        <v>44075</v>
      </c>
      <c r="B208" s="1">
        <v>44075</v>
      </c>
      <c r="C208" t="s">
        <v>157</v>
      </c>
      <c r="D208" t="s">
        <v>48</v>
      </c>
      <c r="E208" t="s">
        <v>49</v>
      </c>
      <c r="F208" t="s">
        <v>249</v>
      </c>
      <c r="G208" s="53">
        <v>44111.714999999997</v>
      </c>
      <c r="H208">
        <v>33</v>
      </c>
      <c r="I208">
        <v>15552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3</v>
      </c>
      <c r="R208" t="s">
        <v>81</v>
      </c>
      <c r="S208">
        <v>286.86</v>
      </c>
      <c r="T208">
        <v>76.656999999999996</v>
      </c>
      <c r="U208" t="s">
        <v>349</v>
      </c>
      <c r="V208" t="s">
        <v>349</v>
      </c>
      <c r="W208">
        <v>21990</v>
      </c>
    </row>
    <row r="209" spans="1:23" x14ac:dyDescent="0.25">
      <c r="A209" s="1">
        <v>44075</v>
      </c>
      <c r="B209" s="1">
        <v>44075</v>
      </c>
      <c r="C209" t="s">
        <v>157</v>
      </c>
      <c r="D209" t="s">
        <v>93</v>
      </c>
      <c r="E209" t="s">
        <v>49</v>
      </c>
      <c r="F209" t="s">
        <v>245</v>
      </c>
      <c r="G209" s="53">
        <v>44153.723773148151</v>
      </c>
      <c r="H209">
        <v>61</v>
      </c>
      <c r="I209" t="s">
        <v>349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4</v>
      </c>
      <c r="R209" t="s">
        <v>27</v>
      </c>
      <c r="S209">
        <v>1</v>
      </c>
      <c r="T209">
        <v>-390</v>
      </c>
      <c r="U209" t="s">
        <v>349</v>
      </c>
      <c r="V209" t="s">
        <v>349</v>
      </c>
      <c r="W209">
        <v>-390</v>
      </c>
    </row>
    <row r="210" spans="1:23" x14ac:dyDescent="0.25">
      <c r="A210" s="1">
        <v>44075</v>
      </c>
      <c r="B210" s="1">
        <v>44075</v>
      </c>
      <c r="C210" t="s">
        <v>157</v>
      </c>
      <c r="D210" t="s">
        <v>48</v>
      </c>
      <c r="E210" t="s">
        <v>49</v>
      </c>
      <c r="F210" t="s">
        <v>249</v>
      </c>
      <c r="G210" s="53">
        <v>44111.714999999997</v>
      </c>
      <c r="H210">
        <v>33</v>
      </c>
      <c r="I210">
        <v>15552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4</v>
      </c>
      <c r="R210" t="s">
        <v>27</v>
      </c>
      <c r="S210">
        <v>2447.9884910000001</v>
      </c>
      <c r="T210">
        <v>76.781000000000006</v>
      </c>
      <c r="U210" t="s">
        <v>349</v>
      </c>
      <c r="V210" t="s">
        <v>349</v>
      </c>
      <c r="W210">
        <v>187959</v>
      </c>
    </row>
    <row r="211" spans="1:23" x14ac:dyDescent="0.25">
      <c r="A211" s="1">
        <v>44075</v>
      </c>
      <c r="B211" s="1">
        <v>44075</v>
      </c>
      <c r="C211" t="s">
        <v>157</v>
      </c>
      <c r="D211" t="s">
        <v>93</v>
      </c>
      <c r="E211" t="s">
        <v>49</v>
      </c>
      <c r="F211" t="s">
        <v>245</v>
      </c>
      <c r="G211" s="53">
        <v>44153.723773148151</v>
      </c>
      <c r="H211">
        <v>61</v>
      </c>
      <c r="I211" t="s">
        <v>349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5</v>
      </c>
      <c r="R211" t="s">
        <v>28</v>
      </c>
      <c r="S211">
        <v>1</v>
      </c>
      <c r="T211">
        <v>-2</v>
      </c>
      <c r="U211" t="s">
        <v>349</v>
      </c>
      <c r="V211" t="s">
        <v>349</v>
      </c>
      <c r="W211">
        <v>-2</v>
      </c>
    </row>
    <row r="212" spans="1:23" x14ac:dyDescent="0.25">
      <c r="A212" s="1">
        <v>44075</v>
      </c>
      <c r="B212" s="1">
        <v>44075</v>
      </c>
      <c r="C212" t="s">
        <v>157</v>
      </c>
      <c r="D212" t="s">
        <v>48</v>
      </c>
      <c r="E212" t="s">
        <v>49</v>
      </c>
      <c r="F212" t="s">
        <v>249</v>
      </c>
      <c r="G212" s="53">
        <v>44111.714999999997</v>
      </c>
      <c r="H212">
        <v>33</v>
      </c>
      <c r="I212">
        <v>15552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5</v>
      </c>
      <c r="R212" t="s">
        <v>28</v>
      </c>
      <c r="S212">
        <v>10.140453000000001</v>
      </c>
      <c r="T212">
        <v>79.340999999999994</v>
      </c>
      <c r="U212" t="s">
        <v>349</v>
      </c>
      <c r="V212" t="s">
        <v>349</v>
      </c>
      <c r="W212">
        <v>805</v>
      </c>
    </row>
    <row r="213" spans="1:23" x14ac:dyDescent="0.25">
      <c r="A213" s="1">
        <v>44105</v>
      </c>
      <c r="B213" s="1">
        <v>44105</v>
      </c>
      <c r="C213" t="s">
        <v>157</v>
      </c>
      <c r="D213" t="s">
        <v>93</v>
      </c>
      <c r="E213" t="s">
        <v>49</v>
      </c>
      <c r="F213" t="s">
        <v>253</v>
      </c>
      <c r="G213" s="53">
        <v>44221.697384259256</v>
      </c>
      <c r="H213">
        <v>61</v>
      </c>
      <c r="I213" t="s">
        <v>349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1</v>
      </c>
      <c r="R213" t="s">
        <v>83</v>
      </c>
      <c r="S213">
        <v>1</v>
      </c>
      <c r="T213">
        <v>-570</v>
      </c>
      <c r="U213" t="s">
        <v>349</v>
      </c>
      <c r="V213" t="s">
        <v>349</v>
      </c>
      <c r="W213">
        <v>-570</v>
      </c>
    </row>
    <row r="214" spans="1:23" x14ac:dyDescent="0.25">
      <c r="A214" s="1">
        <v>44105</v>
      </c>
      <c r="B214" s="1">
        <v>44105</v>
      </c>
      <c r="C214" t="s">
        <v>157</v>
      </c>
      <c r="D214" t="s">
        <v>48</v>
      </c>
      <c r="E214" t="s">
        <v>49</v>
      </c>
      <c r="F214" t="s">
        <v>256</v>
      </c>
      <c r="G214" s="53">
        <v>44141.821956018517</v>
      </c>
      <c r="H214">
        <v>33</v>
      </c>
      <c r="I214">
        <v>15894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1</v>
      </c>
      <c r="R214" t="s">
        <v>83</v>
      </c>
      <c r="S214">
        <v>2430.743117</v>
      </c>
      <c r="T214">
        <v>80.344999999999999</v>
      </c>
      <c r="U214" t="s">
        <v>349</v>
      </c>
      <c r="V214" t="s">
        <v>349</v>
      </c>
      <c r="W214">
        <v>195298</v>
      </c>
    </row>
    <row r="215" spans="1:23" x14ac:dyDescent="0.25">
      <c r="A215" s="1">
        <v>44105</v>
      </c>
      <c r="B215" s="1">
        <v>44105</v>
      </c>
      <c r="C215" t="s">
        <v>157</v>
      </c>
      <c r="D215" t="s">
        <v>93</v>
      </c>
      <c r="E215" t="s">
        <v>49</v>
      </c>
      <c r="F215" t="s">
        <v>253</v>
      </c>
      <c r="G215" s="53">
        <v>44221.697384259256</v>
      </c>
      <c r="H215">
        <v>61</v>
      </c>
      <c r="I215" t="s">
        <v>349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2</v>
      </c>
      <c r="R215" t="s">
        <v>94</v>
      </c>
      <c r="S215">
        <v>1</v>
      </c>
      <c r="T215">
        <v>-3</v>
      </c>
      <c r="U215" t="s">
        <v>349</v>
      </c>
      <c r="V215" t="s">
        <v>349</v>
      </c>
      <c r="W215">
        <v>-3</v>
      </c>
    </row>
    <row r="216" spans="1:23" x14ac:dyDescent="0.25">
      <c r="A216" s="1">
        <v>44105</v>
      </c>
      <c r="B216" s="1">
        <v>44105</v>
      </c>
      <c r="C216" t="s">
        <v>157</v>
      </c>
      <c r="D216" t="s">
        <v>48</v>
      </c>
      <c r="E216" t="s">
        <v>49</v>
      </c>
      <c r="F216" t="s">
        <v>256</v>
      </c>
      <c r="G216" s="53">
        <v>44141.821956018517</v>
      </c>
      <c r="H216">
        <v>33</v>
      </c>
      <c r="I216">
        <v>15894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2</v>
      </c>
      <c r="R216" t="s">
        <v>94</v>
      </c>
      <c r="S216">
        <v>10.588209000000001</v>
      </c>
      <c r="T216">
        <v>81.489000000000004</v>
      </c>
      <c r="U216" t="s">
        <v>349</v>
      </c>
      <c r="V216" t="s">
        <v>349</v>
      </c>
      <c r="W216">
        <v>863</v>
      </c>
    </row>
    <row r="217" spans="1:23" x14ac:dyDescent="0.25">
      <c r="A217" s="1">
        <v>44105</v>
      </c>
      <c r="B217" s="1">
        <v>44105</v>
      </c>
      <c r="C217" t="s">
        <v>157</v>
      </c>
      <c r="D217" t="s">
        <v>93</v>
      </c>
      <c r="E217" t="s">
        <v>49</v>
      </c>
      <c r="F217" t="s">
        <v>253</v>
      </c>
      <c r="G217" s="53">
        <v>44221.697384259256</v>
      </c>
      <c r="H217">
        <v>61</v>
      </c>
      <c r="I217" t="s">
        <v>349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1</v>
      </c>
      <c r="T217">
        <v>-80</v>
      </c>
      <c r="U217" t="s">
        <v>349</v>
      </c>
      <c r="V217" t="s">
        <v>349</v>
      </c>
      <c r="W217">
        <v>-80</v>
      </c>
    </row>
    <row r="218" spans="1:23" x14ac:dyDescent="0.25">
      <c r="A218" s="1">
        <v>44105</v>
      </c>
      <c r="B218" s="1">
        <v>44105</v>
      </c>
      <c r="C218" t="s">
        <v>157</v>
      </c>
      <c r="D218" t="s">
        <v>48</v>
      </c>
      <c r="E218" t="s">
        <v>49</v>
      </c>
      <c r="F218" t="s">
        <v>256</v>
      </c>
      <c r="G218" s="53">
        <v>44141.821956018517</v>
      </c>
      <c r="H218">
        <v>33</v>
      </c>
      <c r="I218">
        <v>15894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3</v>
      </c>
      <c r="R218" t="s">
        <v>81</v>
      </c>
      <c r="S218">
        <v>359.39598799999999</v>
      </c>
      <c r="T218">
        <v>76.656999999999996</v>
      </c>
      <c r="U218" t="s">
        <v>349</v>
      </c>
      <c r="V218" t="s">
        <v>349</v>
      </c>
      <c r="W218">
        <v>27550</v>
      </c>
    </row>
    <row r="219" spans="1:23" x14ac:dyDescent="0.25">
      <c r="A219" s="1">
        <v>44105</v>
      </c>
      <c r="B219" s="1">
        <v>44105</v>
      </c>
      <c r="C219" t="s">
        <v>157</v>
      </c>
      <c r="D219" t="s">
        <v>93</v>
      </c>
      <c r="E219" t="s">
        <v>49</v>
      </c>
      <c r="F219" t="s">
        <v>253</v>
      </c>
      <c r="G219" s="53">
        <v>44221.697384259256</v>
      </c>
      <c r="H219">
        <v>61</v>
      </c>
      <c r="I219" t="s">
        <v>349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-689</v>
      </c>
      <c r="U219" t="s">
        <v>349</v>
      </c>
      <c r="V219" t="s">
        <v>349</v>
      </c>
      <c r="W219">
        <v>-689</v>
      </c>
    </row>
    <row r="220" spans="1:23" x14ac:dyDescent="0.25">
      <c r="A220" s="1">
        <v>44105</v>
      </c>
      <c r="B220" s="1">
        <v>44105</v>
      </c>
      <c r="C220" t="s">
        <v>157</v>
      </c>
      <c r="D220" t="s">
        <v>48</v>
      </c>
      <c r="E220" t="s">
        <v>49</v>
      </c>
      <c r="F220" t="s">
        <v>256</v>
      </c>
      <c r="G220" s="53">
        <v>44141.821956018517</v>
      </c>
      <c r="H220">
        <v>33</v>
      </c>
      <c r="I220">
        <v>15894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3072.8331600000001</v>
      </c>
      <c r="T220">
        <v>76.781000000000006</v>
      </c>
      <c r="U220" t="s">
        <v>349</v>
      </c>
      <c r="V220" t="s">
        <v>349</v>
      </c>
      <c r="W220">
        <v>235935</v>
      </c>
    </row>
    <row r="221" spans="1:23" x14ac:dyDescent="0.25">
      <c r="A221" s="1">
        <v>44105</v>
      </c>
      <c r="B221" s="1">
        <v>44105</v>
      </c>
      <c r="C221" t="s">
        <v>157</v>
      </c>
      <c r="D221" t="s">
        <v>93</v>
      </c>
      <c r="E221" t="s">
        <v>49</v>
      </c>
      <c r="F221" t="s">
        <v>253</v>
      </c>
      <c r="G221" s="53">
        <v>44221.697384259256</v>
      </c>
      <c r="H221">
        <v>61</v>
      </c>
      <c r="I221" t="s">
        <v>349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>
        <v>1</v>
      </c>
      <c r="T221">
        <v>-3</v>
      </c>
      <c r="U221" t="s">
        <v>349</v>
      </c>
      <c r="V221" t="s">
        <v>349</v>
      </c>
      <c r="W221">
        <v>-3</v>
      </c>
    </row>
    <row r="222" spans="1:23" x14ac:dyDescent="0.25">
      <c r="A222" s="1">
        <v>44105</v>
      </c>
      <c r="B222" s="1">
        <v>44105</v>
      </c>
      <c r="C222" t="s">
        <v>157</v>
      </c>
      <c r="D222" t="s">
        <v>48</v>
      </c>
      <c r="E222" t="s">
        <v>49</v>
      </c>
      <c r="F222" t="s">
        <v>256</v>
      </c>
      <c r="G222" s="53">
        <v>44141.821956018517</v>
      </c>
      <c r="H222">
        <v>33</v>
      </c>
      <c r="I222">
        <v>15894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12.686017</v>
      </c>
      <c r="T222">
        <v>79.340999999999994</v>
      </c>
      <c r="U222" t="s">
        <v>349</v>
      </c>
      <c r="V222" t="s">
        <v>349</v>
      </c>
      <c r="W222">
        <v>1007</v>
      </c>
    </row>
    <row r="223" spans="1:23" x14ac:dyDescent="0.25">
      <c r="A223" s="1">
        <v>44136</v>
      </c>
      <c r="B223" s="1">
        <v>44136</v>
      </c>
      <c r="C223" t="s">
        <v>157</v>
      </c>
      <c r="D223" t="s">
        <v>93</v>
      </c>
      <c r="E223" t="s">
        <v>49</v>
      </c>
      <c r="F223" t="s">
        <v>259</v>
      </c>
      <c r="G223" s="53">
        <v>44215.508055555554</v>
      </c>
      <c r="H223">
        <v>61</v>
      </c>
      <c r="I223" t="s">
        <v>349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1</v>
      </c>
      <c r="R223" t="s">
        <v>83</v>
      </c>
      <c r="S223">
        <v>1</v>
      </c>
      <c r="T223">
        <v>-1312</v>
      </c>
      <c r="U223" t="s">
        <v>349</v>
      </c>
      <c r="V223" t="s">
        <v>349</v>
      </c>
      <c r="W223">
        <v>-1312</v>
      </c>
    </row>
    <row r="224" spans="1:23" x14ac:dyDescent="0.25">
      <c r="A224" s="1">
        <v>44136</v>
      </c>
      <c r="B224" s="1">
        <v>44136</v>
      </c>
      <c r="C224" t="s">
        <v>157</v>
      </c>
      <c r="D224" t="s">
        <v>48</v>
      </c>
      <c r="E224" t="s">
        <v>49</v>
      </c>
      <c r="F224" t="s">
        <v>264</v>
      </c>
      <c r="G224" s="53">
        <v>44169.666030092594</v>
      </c>
      <c r="H224">
        <v>33</v>
      </c>
      <c r="I224">
        <v>16653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>
        <v>2836.8555449999999</v>
      </c>
      <c r="T224">
        <v>80.344999999999999</v>
      </c>
      <c r="U224" t="s">
        <v>349</v>
      </c>
      <c r="V224" t="s">
        <v>349</v>
      </c>
      <c r="W224">
        <v>227927</v>
      </c>
    </row>
    <row r="225" spans="1:23" x14ac:dyDescent="0.25">
      <c r="A225" s="1">
        <v>44136</v>
      </c>
      <c r="B225" s="1">
        <v>44136</v>
      </c>
      <c r="C225" t="s">
        <v>157</v>
      </c>
      <c r="D225" t="s">
        <v>93</v>
      </c>
      <c r="E225" t="s">
        <v>49</v>
      </c>
      <c r="F225" t="s">
        <v>259</v>
      </c>
      <c r="G225" s="53">
        <v>44215.508055555554</v>
      </c>
      <c r="H225">
        <v>61</v>
      </c>
      <c r="I225" t="s">
        <v>349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2</v>
      </c>
      <c r="R225" t="s">
        <v>94</v>
      </c>
      <c r="S225">
        <v>1</v>
      </c>
      <c r="T225">
        <v>-6</v>
      </c>
      <c r="U225" t="s">
        <v>349</v>
      </c>
      <c r="V225" t="s">
        <v>349</v>
      </c>
      <c r="W225">
        <v>-6</v>
      </c>
    </row>
    <row r="226" spans="1:23" x14ac:dyDescent="0.25">
      <c r="A226" s="1">
        <v>44136</v>
      </c>
      <c r="B226" s="1">
        <v>44136</v>
      </c>
      <c r="C226" t="s">
        <v>157</v>
      </c>
      <c r="D226" t="s">
        <v>48</v>
      </c>
      <c r="E226" t="s">
        <v>49</v>
      </c>
      <c r="F226" t="s">
        <v>264</v>
      </c>
      <c r="G226" s="53">
        <v>44169.666030092594</v>
      </c>
      <c r="H226">
        <v>33</v>
      </c>
      <c r="I226">
        <v>16653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2</v>
      </c>
      <c r="R226" t="s">
        <v>94</v>
      </c>
      <c r="S226">
        <v>11.915349000000001</v>
      </c>
      <c r="T226">
        <v>81.489000000000004</v>
      </c>
      <c r="U226" t="s">
        <v>349</v>
      </c>
      <c r="V226" t="s">
        <v>349</v>
      </c>
      <c r="W226">
        <v>971</v>
      </c>
    </row>
    <row r="227" spans="1:23" x14ac:dyDescent="0.25">
      <c r="A227" s="1">
        <v>44136</v>
      </c>
      <c r="B227" s="1">
        <v>44136</v>
      </c>
      <c r="C227" t="s">
        <v>157</v>
      </c>
      <c r="D227" t="s">
        <v>93</v>
      </c>
      <c r="E227" t="s">
        <v>49</v>
      </c>
      <c r="F227" t="s">
        <v>259</v>
      </c>
      <c r="G227" s="53">
        <v>44215.508055555554</v>
      </c>
      <c r="H227">
        <v>61</v>
      </c>
      <c r="I227" t="s">
        <v>349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3</v>
      </c>
      <c r="R227" t="s">
        <v>81</v>
      </c>
      <c r="S227">
        <v>1</v>
      </c>
      <c r="T227">
        <v>-189</v>
      </c>
      <c r="U227" t="s">
        <v>349</v>
      </c>
      <c r="V227" t="s">
        <v>349</v>
      </c>
      <c r="W227">
        <v>-189</v>
      </c>
    </row>
    <row r="228" spans="1:23" x14ac:dyDescent="0.25">
      <c r="A228" s="1">
        <v>44136</v>
      </c>
      <c r="B228" s="1">
        <v>44136</v>
      </c>
      <c r="C228" t="s">
        <v>157</v>
      </c>
      <c r="D228" t="s">
        <v>48</v>
      </c>
      <c r="E228" t="s">
        <v>49</v>
      </c>
      <c r="F228" t="s">
        <v>264</v>
      </c>
      <c r="G228" s="53">
        <v>44169.666030092594</v>
      </c>
      <c r="H228">
        <v>33</v>
      </c>
      <c r="I228">
        <v>16653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3</v>
      </c>
      <c r="R228" t="s">
        <v>81</v>
      </c>
      <c r="S228">
        <v>427.739485</v>
      </c>
      <c r="T228">
        <v>76.656999999999996</v>
      </c>
      <c r="U228" t="s">
        <v>349</v>
      </c>
      <c r="V228" t="s">
        <v>349</v>
      </c>
      <c r="W228">
        <v>32789</v>
      </c>
    </row>
    <row r="229" spans="1:23" x14ac:dyDescent="0.25">
      <c r="A229" s="1">
        <v>44136</v>
      </c>
      <c r="B229" s="1">
        <v>44136</v>
      </c>
      <c r="C229" t="s">
        <v>157</v>
      </c>
      <c r="D229" t="s">
        <v>93</v>
      </c>
      <c r="E229" t="s">
        <v>49</v>
      </c>
      <c r="F229" t="s">
        <v>259</v>
      </c>
      <c r="G229" s="53">
        <v>44215.508055555554</v>
      </c>
      <c r="H229">
        <v>61</v>
      </c>
      <c r="I229" t="s">
        <v>349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4</v>
      </c>
      <c r="R229" t="s">
        <v>27</v>
      </c>
      <c r="S229">
        <v>1</v>
      </c>
      <c r="T229">
        <v>-1578</v>
      </c>
      <c r="U229" t="s">
        <v>349</v>
      </c>
      <c r="V229" t="s">
        <v>349</v>
      </c>
      <c r="W229">
        <v>-1578</v>
      </c>
    </row>
    <row r="230" spans="1:23" x14ac:dyDescent="0.25">
      <c r="A230" s="1">
        <v>44136</v>
      </c>
      <c r="B230" s="1">
        <v>44136</v>
      </c>
      <c r="C230" t="s">
        <v>157</v>
      </c>
      <c r="D230" t="s">
        <v>48</v>
      </c>
      <c r="E230" t="s">
        <v>49</v>
      </c>
      <c r="F230" t="s">
        <v>264</v>
      </c>
      <c r="G230" s="53">
        <v>44169.666030092594</v>
      </c>
      <c r="H230">
        <v>33</v>
      </c>
      <c r="I230">
        <v>16653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4</v>
      </c>
      <c r="R230" t="s">
        <v>27</v>
      </c>
      <c r="S230">
        <v>3569.1454020000001</v>
      </c>
      <c r="T230">
        <v>76.781000000000006</v>
      </c>
      <c r="U230" t="s">
        <v>349</v>
      </c>
      <c r="V230" t="s">
        <v>349</v>
      </c>
      <c r="W230">
        <v>274043</v>
      </c>
    </row>
    <row r="231" spans="1:23" x14ac:dyDescent="0.25">
      <c r="A231" s="1">
        <v>44136</v>
      </c>
      <c r="B231" s="1">
        <v>44136</v>
      </c>
      <c r="C231" t="s">
        <v>157</v>
      </c>
      <c r="D231" t="s">
        <v>93</v>
      </c>
      <c r="E231" t="s">
        <v>49</v>
      </c>
      <c r="F231" t="s">
        <v>259</v>
      </c>
      <c r="G231" s="53">
        <v>44215.508055555554</v>
      </c>
      <c r="H231">
        <v>61</v>
      </c>
      <c r="I231" t="s">
        <v>349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5</v>
      </c>
      <c r="R231" t="s">
        <v>28</v>
      </c>
      <c r="S231">
        <v>1</v>
      </c>
      <c r="T231">
        <v>-7</v>
      </c>
      <c r="U231" t="s">
        <v>349</v>
      </c>
      <c r="V231" t="s">
        <v>349</v>
      </c>
      <c r="W231">
        <v>-7</v>
      </c>
    </row>
    <row r="232" spans="1:23" x14ac:dyDescent="0.25">
      <c r="A232" s="1">
        <v>44136</v>
      </c>
      <c r="B232" s="1">
        <v>44136</v>
      </c>
      <c r="C232" t="s">
        <v>157</v>
      </c>
      <c r="D232" t="s">
        <v>48</v>
      </c>
      <c r="E232" t="s">
        <v>49</v>
      </c>
      <c r="F232" t="s">
        <v>264</v>
      </c>
      <c r="G232" s="53">
        <v>44169.666030092594</v>
      </c>
      <c r="H232">
        <v>33</v>
      </c>
      <c r="I232">
        <v>16653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5</v>
      </c>
      <c r="R232" t="s">
        <v>28</v>
      </c>
      <c r="S232">
        <v>14.665755000000001</v>
      </c>
      <c r="T232">
        <v>79.340999999999994</v>
      </c>
      <c r="U232" t="s">
        <v>349</v>
      </c>
      <c r="V232" t="s">
        <v>349</v>
      </c>
      <c r="W232">
        <v>1164</v>
      </c>
    </row>
    <row r="233" spans="1:23" x14ac:dyDescent="0.25">
      <c r="A233" s="1">
        <v>44166</v>
      </c>
      <c r="B233" s="1">
        <v>44166</v>
      </c>
      <c r="C233" t="s">
        <v>157</v>
      </c>
      <c r="D233" t="s">
        <v>93</v>
      </c>
      <c r="E233" t="s">
        <v>49</v>
      </c>
      <c r="F233" t="s">
        <v>268</v>
      </c>
      <c r="G233" s="53">
        <v>44251.474293981482</v>
      </c>
      <c r="H233">
        <v>33</v>
      </c>
      <c r="I233" t="s">
        <v>349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1</v>
      </c>
      <c r="R233" t="s">
        <v>83</v>
      </c>
      <c r="S233">
        <v>1</v>
      </c>
      <c r="T233">
        <v>882</v>
      </c>
      <c r="U233" t="s">
        <v>349</v>
      </c>
      <c r="V233" t="s">
        <v>349</v>
      </c>
      <c r="W233">
        <v>882</v>
      </c>
    </row>
    <row r="234" spans="1:23" x14ac:dyDescent="0.25">
      <c r="A234" s="1">
        <v>44166</v>
      </c>
      <c r="B234" s="1">
        <v>44166</v>
      </c>
      <c r="C234" t="s">
        <v>157</v>
      </c>
      <c r="D234" t="s">
        <v>48</v>
      </c>
      <c r="E234" t="s">
        <v>49</v>
      </c>
      <c r="F234" t="s">
        <v>267</v>
      </c>
      <c r="G234" s="53">
        <v>44203.692604166667</v>
      </c>
      <c r="H234">
        <v>33</v>
      </c>
      <c r="I234">
        <v>16938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1</v>
      </c>
      <c r="R234" t="s">
        <v>83</v>
      </c>
      <c r="S234">
        <v>3655.0122390000001</v>
      </c>
      <c r="T234">
        <v>80.344999999999999</v>
      </c>
      <c r="U234" t="s">
        <v>349</v>
      </c>
      <c r="V234" t="s">
        <v>349</v>
      </c>
      <c r="W234">
        <v>293662</v>
      </c>
    </row>
    <row r="235" spans="1:23" x14ac:dyDescent="0.25">
      <c r="A235" s="1">
        <v>44166</v>
      </c>
      <c r="B235" s="1">
        <v>44166</v>
      </c>
      <c r="C235" t="s">
        <v>157</v>
      </c>
      <c r="D235" t="s">
        <v>93</v>
      </c>
      <c r="E235" t="s">
        <v>49</v>
      </c>
      <c r="F235" t="s">
        <v>268</v>
      </c>
      <c r="G235" s="53">
        <v>44251.474293981482</v>
      </c>
      <c r="H235">
        <v>33</v>
      </c>
      <c r="I235" t="s">
        <v>349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2</v>
      </c>
      <c r="R235" t="s">
        <v>94</v>
      </c>
      <c r="S235">
        <v>1</v>
      </c>
      <c r="T235">
        <v>4</v>
      </c>
      <c r="U235" t="s">
        <v>349</v>
      </c>
      <c r="V235" t="s">
        <v>349</v>
      </c>
      <c r="W235">
        <v>4</v>
      </c>
    </row>
    <row r="236" spans="1:23" x14ac:dyDescent="0.25">
      <c r="A236" s="1">
        <v>44166</v>
      </c>
      <c r="B236" s="1">
        <v>44166</v>
      </c>
      <c r="C236" t="s">
        <v>157</v>
      </c>
      <c r="D236" t="s">
        <v>48</v>
      </c>
      <c r="E236" t="s">
        <v>49</v>
      </c>
      <c r="F236" t="s">
        <v>267</v>
      </c>
      <c r="G236" s="53">
        <v>44203.692604166667</v>
      </c>
      <c r="H236">
        <v>33</v>
      </c>
      <c r="I236">
        <v>16938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2</v>
      </c>
      <c r="R236" t="s">
        <v>94</v>
      </c>
      <c r="S236">
        <v>14.851406000000001</v>
      </c>
      <c r="T236">
        <v>81.489000000000004</v>
      </c>
      <c r="U236" t="s">
        <v>349</v>
      </c>
      <c r="V236" t="s">
        <v>349</v>
      </c>
      <c r="W236">
        <v>1210</v>
      </c>
    </row>
    <row r="237" spans="1:23" x14ac:dyDescent="0.25">
      <c r="A237" s="1">
        <v>44166</v>
      </c>
      <c r="B237" s="1">
        <v>44166</v>
      </c>
      <c r="C237" t="s">
        <v>157</v>
      </c>
      <c r="D237" t="s">
        <v>93</v>
      </c>
      <c r="E237" t="s">
        <v>49</v>
      </c>
      <c r="F237" t="s">
        <v>268</v>
      </c>
      <c r="G237" s="53">
        <v>44251.474293981482</v>
      </c>
      <c r="H237">
        <v>33</v>
      </c>
      <c r="I237" t="s">
        <v>349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3</v>
      </c>
      <c r="R237" t="s">
        <v>81</v>
      </c>
      <c r="S237">
        <v>1</v>
      </c>
      <c r="T237">
        <v>128</v>
      </c>
      <c r="U237" t="s">
        <v>349</v>
      </c>
      <c r="V237" t="s">
        <v>349</v>
      </c>
      <c r="W237">
        <v>128</v>
      </c>
    </row>
    <row r="238" spans="1:23" x14ac:dyDescent="0.25">
      <c r="A238" s="1">
        <v>44166</v>
      </c>
      <c r="B238" s="1">
        <v>44166</v>
      </c>
      <c r="C238" t="s">
        <v>157</v>
      </c>
      <c r="D238" t="s">
        <v>48</v>
      </c>
      <c r="E238" t="s">
        <v>49</v>
      </c>
      <c r="F238" t="s">
        <v>267</v>
      </c>
      <c r="G238" s="53">
        <v>44203.692604166667</v>
      </c>
      <c r="H238">
        <v>33</v>
      </c>
      <c r="I238">
        <v>16938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3</v>
      </c>
      <c r="R238" t="s">
        <v>81</v>
      </c>
      <c r="S238">
        <v>555.09301300000004</v>
      </c>
      <c r="T238">
        <v>76.656999999999996</v>
      </c>
      <c r="U238" t="s">
        <v>349</v>
      </c>
      <c r="V238" t="s">
        <v>349</v>
      </c>
      <c r="W238">
        <v>42552</v>
      </c>
    </row>
    <row r="239" spans="1:23" x14ac:dyDescent="0.25">
      <c r="A239" s="1">
        <v>44166</v>
      </c>
      <c r="B239" s="1">
        <v>44166</v>
      </c>
      <c r="C239" t="s">
        <v>157</v>
      </c>
      <c r="D239" t="s">
        <v>93</v>
      </c>
      <c r="E239" t="s">
        <v>49</v>
      </c>
      <c r="F239" t="s">
        <v>268</v>
      </c>
      <c r="G239" s="53">
        <v>44251.474293981482</v>
      </c>
      <c r="H239">
        <v>33</v>
      </c>
      <c r="I239" t="s">
        <v>349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4</v>
      </c>
      <c r="R239" t="s">
        <v>27</v>
      </c>
      <c r="S239">
        <v>1</v>
      </c>
      <c r="T239">
        <v>1055</v>
      </c>
      <c r="U239" t="s">
        <v>349</v>
      </c>
      <c r="V239" t="s">
        <v>349</v>
      </c>
      <c r="W239">
        <v>1055</v>
      </c>
    </row>
    <row r="240" spans="1:23" x14ac:dyDescent="0.25">
      <c r="A240" s="1">
        <v>44166</v>
      </c>
      <c r="B240" s="1">
        <v>44166</v>
      </c>
      <c r="C240" t="s">
        <v>157</v>
      </c>
      <c r="D240" t="s">
        <v>48</v>
      </c>
      <c r="E240" t="s">
        <v>49</v>
      </c>
      <c r="F240" t="s">
        <v>267</v>
      </c>
      <c r="G240" s="53">
        <v>44203.692604166667</v>
      </c>
      <c r="H240">
        <v>33</v>
      </c>
      <c r="I240">
        <v>16938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4</v>
      </c>
      <c r="R240" t="s">
        <v>27</v>
      </c>
      <c r="S240">
        <v>4574.312688</v>
      </c>
      <c r="T240">
        <v>76.781000000000006</v>
      </c>
      <c r="U240" t="s">
        <v>349</v>
      </c>
      <c r="V240" t="s">
        <v>349</v>
      </c>
      <c r="W240">
        <v>351220</v>
      </c>
    </row>
    <row r="241" spans="1:23" x14ac:dyDescent="0.25">
      <c r="A241" s="1">
        <v>44166</v>
      </c>
      <c r="B241" s="1">
        <v>44166</v>
      </c>
      <c r="C241" t="s">
        <v>157</v>
      </c>
      <c r="D241" t="s">
        <v>93</v>
      </c>
      <c r="E241" t="s">
        <v>49</v>
      </c>
      <c r="F241" t="s">
        <v>268</v>
      </c>
      <c r="G241" s="53">
        <v>44251.474293981482</v>
      </c>
      <c r="H241">
        <v>33</v>
      </c>
      <c r="I241" t="s">
        <v>349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5</v>
      </c>
      <c r="R241" t="s">
        <v>28</v>
      </c>
      <c r="S241">
        <v>1</v>
      </c>
      <c r="T241">
        <v>4</v>
      </c>
      <c r="U241" t="s">
        <v>349</v>
      </c>
      <c r="V241" t="s">
        <v>349</v>
      </c>
      <c r="W241">
        <v>4</v>
      </c>
    </row>
    <row r="242" spans="1:23" x14ac:dyDescent="0.25">
      <c r="A242" s="1">
        <v>44166</v>
      </c>
      <c r="B242" s="1">
        <v>44166</v>
      </c>
      <c r="C242" t="s">
        <v>157</v>
      </c>
      <c r="D242" t="s">
        <v>48</v>
      </c>
      <c r="E242" t="s">
        <v>49</v>
      </c>
      <c r="F242" t="s">
        <v>267</v>
      </c>
      <c r="G242" s="53">
        <v>44203.692604166667</v>
      </c>
      <c r="H242">
        <v>33</v>
      </c>
      <c r="I242">
        <v>16938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5</v>
      </c>
      <c r="R242" t="s">
        <v>28</v>
      </c>
      <c r="S242">
        <v>18.685690000000001</v>
      </c>
      <c r="T242">
        <v>79.340999999999994</v>
      </c>
      <c r="U242" t="s">
        <v>349</v>
      </c>
      <c r="V242" t="s">
        <v>349</v>
      </c>
      <c r="W242">
        <v>1483</v>
      </c>
    </row>
    <row r="243" spans="1:23" x14ac:dyDescent="0.25">
      <c r="A243" s="1">
        <v>44197</v>
      </c>
      <c r="B243" s="1">
        <v>44197</v>
      </c>
      <c r="C243" t="s">
        <v>157</v>
      </c>
      <c r="D243" t="s">
        <v>93</v>
      </c>
      <c r="E243" t="s">
        <v>49</v>
      </c>
      <c r="F243" t="s">
        <v>270</v>
      </c>
      <c r="G243" s="53">
        <v>44273.429872685185</v>
      </c>
      <c r="H243">
        <v>61</v>
      </c>
      <c r="I243" t="s">
        <v>349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1</v>
      </c>
      <c r="R243" t="s">
        <v>83</v>
      </c>
      <c r="S243">
        <v>1</v>
      </c>
      <c r="T243">
        <v>-332</v>
      </c>
      <c r="U243" t="s">
        <v>349</v>
      </c>
      <c r="V243" t="s">
        <v>349</v>
      </c>
      <c r="W243">
        <v>-332</v>
      </c>
    </row>
    <row r="244" spans="1:23" x14ac:dyDescent="0.25">
      <c r="A244" s="1">
        <v>44197</v>
      </c>
      <c r="B244" s="1">
        <v>44197</v>
      </c>
      <c r="C244" t="s">
        <v>157</v>
      </c>
      <c r="D244" t="s">
        <v>48</v>
      </c>
      <c r="E244" t="s">
        <v>49</v>
      </c>
      <c r="F244" t="s">
        <v>272</v>
      </c>
      <c r="G244" s="53">
        <v>44235.838287037041</v>
      </c>
      <c r="H244">
        <v>33</v>
      </c>
      <c r="I244">
        <v>17339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1</v>
      </c>
      <c r="R244" t="s">
        <v>83</v>
      </c>
      <c r="S244">
        <v>2962.3663649999999</v>
      </c>
      <c r="T244">
        <v>85.203000000000003</v>
      </c>
      <c r="U244" t="s">
        <v>349</v>
      </c>
      <c r="V244" t="s">
        <v>349</v>
      </c>
      <c r="W244">
        <v>252403</v>
      </c>
    </row>
    <row r="245" spans="1:23" x14ac:dyDescent="0.25">
      <c r="A245" s="1">
        <v>44197</v>
      </c>
      <c r="B245" s="1">
        <v>44197</v>
      </c>
      <c r="C245" t="s">
        <v>157</v>
      </c>
      <c r="D245" t="s">
        <v>93</v>
      </c>
      <c r="E245" t="s">
        <v>49</v>
      </c>
      <c r="F245" t="s">
        <v>270</v>
      </c>
      <c r="G245" s="53">
        <v>44273.429872685185</v>
      </c>
      <c r="H245">
        <v>61</v>
      </c>
      <c r="I245" t="s">
        <v>349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2</v>
      </c>
      <c r="R245" t="s">
        <v>94</v>
      </c>
      <c r="S245">
        <v>1</v>
      </c>
      <c r="T245">
        <v>-1</v>
      </c>
      <c r="U245" t="s">
        <v>349</v>
      </c>
      <c r="V245" t="s">
        <v>349</v>
      </c>
      <c r="W245">
        <v>-1</v>
      </c>
    </row>
    <row r="246" spans="1:23" x14ac:dyDescent="0.25">
      <c r="A246" s="1">
        <v>44197</v>
      </c>
      <c r="B246" s="1">
        <v>44197</v>
      </c>
      <c r="C246" t="s">
        <v>157</v>
      </c>
      <c r="D246" t="s">
        <v>48</v>
      </c>
      <c r="E246" t="s">
        <v>49</v>
      </c>
      <c r="F246" t="s">
        <v>272</v>
      </c>
      <c r="G246" s="53">
        <v>44235.838287037041</v>
      </c>
      <c r="H246">
        <v>33</v>
      </c>
      <c r="I246">
        <v>17339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2</v>
      </c>
      <c r="R246" t="s">
        <v>94</v>
      </c>
      <c r="S246">
        <v>9.6260829999999995</v>
      </c>
      <c r="T246">
        <v>86.819000000000003</v>
      </c>
      <c r="U246" t="s">
        <v>349</v>
      </c>
      <c r="V246" t="s">
        <v>349</v>
      </c>
      <c r="W246">
        <v>836</v>
      </c>
    </row>
    <row r="247" spans="1:23" x14ac:dyDescent="0.25">
      <c r="A247" s="1">
        <v>44197</v>
      </c>
      <c r="B247" s="1">
        <v>44197</v>
      </c>
      <c r="C247" t="s">
        <v>157</v>
      </c>
      <c r="D247" t="s">
        <v>93</v>
      </c>
      <c r="E247" t="s">
        <v>49</v>
      </c>
      <c r="F247" t="s">
        <v>270</v>
      </c>
      <c r="G247" s="53">
        <v>44273.429872685185</v>
      </c>
      <c r="H247">
        <v>61</v>
      </c>
      <c r="I247" t="s">
        <v>349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3</v>
      </c>
      <c r="R247" t="s">
        <v>81</v>
      </c>
      <c r="S247">
        <v>1</v>
      </c>
      <c r="T247">
        <v>-33</v>
      </c>
      <c r="U247" t="s">
        <v>349</v>
      </c>
      <c r="V247" t="s">
        <v>349</v>
      </c>
      <c r="W247">
        <v>-33</v>
      </c>
    </row>
    <row r="248" spans="1:23" x14ac:dyDescent="0.25">
      <c r="A248" s="1">
        <v>44197</v>
      </c>
      <c r="B248" s="1">
        <v>44197</v>
      </c>
      <c r="C248" t="s">
        <v>157</v>
      </c>
      <c r="D248" t="s">
        <v>48</v>
      </c>
      <c r="E248" t="s">
        <v>49</v>
      </c>
      <c r="F248" t="s">
        <v>272</v>
      </c>
      <c r="G248" s="53">
        <v>44235.838287037041</v>
      </c>
      <c r="H248">
        <v>33</v>
      </c>
      <c r="I248">
        <v>17339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3</v>
      </c>
      <c r="R248" t="s">
        <v>81</v>
      </c>
      <c r="S248">
        <v>320.36813000000001</v>
      </c>
      <c r="T248">
        <v>78.597999999999999</v>
      </c>
      <c r="U248" t="s">
        <v>349</v>
      </c>
      <c r="V248" t="s">
        <v>349</v>
      </c>
      <c r="W248">
        <v>25180</v>
      </c>
    </row>
    <row r="249" spans="1:23" x14ac:dyDescent="0.25">
      <c r="A249" s="1">
        <v>44197</v>
      </c>
      <c r="B249" s="1">
        <v>44197</v>
      </c>
      <c r="C249" t="s">
        <v>157</v>
      </c>
      <c r="D249" t="s">
        <v>93</v>
      </c>
      <c r="E249" t="s">
        <v>49</v>
      </c>
      <c r="F249" t="s">
        <v>270</v>
      </c>
      <c r="G249" s="53">
        <v>44273.429872685185</v>
      </c>
      <c r="H249">
        <v>61</v>
      </c>
      <c r="I249" t="s">
        <v>349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1</v>
      </c>
      <c r="T249">
        <v>-385</v>
      </c>
      <c r="U249" t="s">
        <v>349</v>
      </c>
      <c r="V249" t="s">
        <v>349</v>
      </c>
      <c r="W249">
        <v>-385</v>
      </c>
    </row>
    <row r="250" spans="1:23" x14ac:dyDescent="0.25">
      <c r="A250" s="1">
        <v>44197</v>
      </c>
      <c r="B250" s="1">
        <v>44197</v>
      </c>
      <c r="C250" t="s">
        <v>157</v>
      </c>
      <c r="D250" t="s">
        <v>48</v>
      </c>
      <c r="E250" t="s">
        <v>49</v>
      </c>
      <c r="F250" t="s">
        <v>272</v>
      </c>
      <c r="G250" s="53">
        <v>44235.838287037041</v>
      </c>
      <c r="H250">
        <v>33</v>
      </c>
      <c r="I250">
        <v>17339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4</v>
      </c>
      <c r="R250" t="s">
        <v>27</v>
      </c>
      <c r="S250">
        <v>3662.8658420000002</v>
      </c>
      <c r="T250">
        <v>80.213999999999999</v>
      </c>
      <c r="U250" t="s">
        <v>349</v>
      </c>
      <c r="V250" t="s">
        <v>349</v>
      </c>
      <c r="W250">
        <v>293813</v>
      </c>
    </row>
    <row r="251" spans="1:23" x14ac:dyDescent="0.25">
      <c r="A251" s="1">
        <v>44197</v>
      </c>
      <c r="B251" s="1">
        <v>44197</v>
      </c>
      <c r="C251" t="s">
        <v>157</v>
      </c>
      <c r="D251" t="s">
        <v>93</v>
      </c>
      <c r="E251" t="s">
        <v>49</v>
      </c>
      <c r="F251" t="s">
        <v>270</v>
      </c>
      <c r="G251" s="53">
        <v>44273.429872685185</v>
      </c>
      <c r="H251">
        <v>61</v>
      </c>
      <c r="I251" t="s">
        <v>349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-1</v>
      </c>
      <c r="U251" t="s">
        <v>349</v>
      </c>
      <c r="V251" t="s">
        <v>349</v>
      </c>
      <c r="W251">
        <v>-1</v>
      </c>
    </row>
    <row r="252" spans="1:23" x14ac:dyDescent="0.25">
      <c r="A252" s="1">
        <v>44197</v>
      </c>
      <c r="B252" s="1">
        <v>44197</v>
      </c>
      <c r="C252" t="s">
        <v>157</v>
      </c>
      <c r="D252" t="s">
        <v>48</v>
      </c>
      <c r="E252" t="s">
        <v>49</v>
      </c>
      <c r="F252" t="s">
        <v>272</v>
      </c>
      <c r="G252" s="53">
        <v>44235.838287037041</v>
      </c>
      <c r="H252">
        <v>33</v>
      </c>
      <c r="I252">
        <v>17339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10.591604999999999</v>
      </c>
      <c r="T252">
        <v>86.617999999999995</v>
      </c>
      <c r="U252" t="s">
        <v>349</v>
      </c>
      <c r="V252" t="s">
        <v>349</v>
      </c>
      <c r="W252">
        <v>917</v>
      </c>
    </row>
    <row r="253" spans="1:23" x14ac:dyDescent="0.25">
      <c r="A253" s="1">
        <v>44228</v>
      </c>
      <c r="B253" s="1">
        <v>44228</v>
      </c>
      <c r="C253" t="s">
        <v>157</v>
      </c>
      <c r="D253" t="s">
        <v>93</v>
      </c>
      <c r="E253" t="s">
        <v>49</v>
      </c>
      <c r="F253" t="s">
        <v>278</v>
      </c>
      <c r="G253" s="53">
        <v>44302.769236111111</v>
      </c>
      <c r="H253">
        <v>33</v>
      </c>
      <c r="I253" t="s">
        <v>349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>
        <v>1</v>
      </c>
      <c r="T253">
        <v>1042</v>
      </c>
      <c r="U253" t="s">
        <v>349</v>
      </c>
      <c r="V253" t="s">
        <v>349</v>
      </c>
      <c r="W253">
        <v>1042</v>
      </c>
    </row>
    <row r="254" spans="1:23" x14ac:dyDescent="0.25">
      <c r="A254" s="1">
        <v>44228</v>
      </c>
      <c r="B254" s="1">
        <v>44228</v>
      </c>
      <c r="C254" t="s">
        <v>157</v>
      </c>
      <c r="D254" t="s">
        <v>48</v>
      </c>
      <c r="E254" t="s">
        <v>49</v>
      </c>
      <c r="F254" t="s">
        <v>277</v>
      </c>
      <c r="G254" s="53">
        <v>44259.815057870372</v>
      </c>
      <c r="H254">
        <v>33</v>
      </c>
      <c r="I254">
        <v>17645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2149.7309340000002</v>
      </c>
      <c r="T254">
        <v>85.203000000000003</v>
      </c>
      <c r="U254" t="s">
        <v>349</v>
      </c>
      <c r="V254" t="s">
        <v>349</v>
      </c>
      <c r="W254">
        <v>183164</v>
      </c>
    </row>
    <row r="255" spans="1:23" x14ac:dyDescent="0.25">
      <c r="A255" s="1">
        <v>44228</v>
      </c>
      <c r="B255" s="1">
        <v>44228</v>
      </c>
      <c r="C255" t="s">
        <v>157</v>
      </c>
      <c r="D255" t="s">
        <v>93</v>
      </c>
      <c r="E255" t="s">
        <v>49</v>
      </c>
      <c r="F255" t="s">
        <v>278</v>
      </c>
      <c r="G255" s="53">
        <v>44302.769236111111</v>
      </c>
      <c r="H255">
        <v>33</v>
      </c>
      <c r="I255" t="s">
        <v>349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2</v>
      </c>
      <c r="R255" t="s">
        <v>94</v>
      </c>
      <c r="S255">
        <v>1</v>
      </c>
      <c r="T255">
        <v>4</v>
      </c>
      <c r="U255" t="s">
        <v>349</v>
      </c>
      <c r="V255" t="s">
        <v>349</v>
      </c>
      <c r="W255">
        <v>4</v>
      </c>
    </row>
    <row r="256" spans="1:23" x14ac:dyDescent="0.25">
      <c r="A256" s="1">
        <v>44228</v>
      </c>
      <c r="B256" s="1">
        <v>44228</v>
      </c>
      <c r="C256" t="s">
        <v>157</v>
      </c>
      <c r="D256" t="s">
        <v>48</v>
      </c>
      <c r="E256" t="s">
        <v>49</v>
      </c>
      <c r="F256" t="s">
        <v>277</v>
      </c>
      <c r="G256" s="53">
        <v>44259.815057870372</v>
      </c>
      <c r="H256">
        <v>33</v>
      </c>
      <c r="I256">
        <v>17645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>
        <v>7.2339039999999999</v>
      </c>
      <c r="T256">
        <v>86.819000000000003</v>
      </c>
      <c r="U256" t="s">
        <v>349</v>
      </c>
      <c r="V256" t="s">
        <v>349</v>
      </c>
      <c r="W256">
        <v>628</v>
      </c>
    </row>
    <row r="257" spans="1:23" x14ac:dyDescent="0.25">
      <c r="A257" s="1">
        <v>44228</v>
      </c>
      <c r="B257" s="1">
        <v>44228</v>
      </c>
      <c r="C257" t="s">
        <v>157</v>
      </c>
      <c r="D257" t="s">
        <v>93</v>
      </c>
      <c r="E257" t="s">
        <v>49</v>
      </c>
      <c r="F257" t="s">
        <v>278</v>
      </c>
      <c r="G257" s="53">
        <v>44302.769236111111</v>
      </c>
      <c r="H257">
        <v>33</v>
      </c>
      <c r="I257" t="s">
        <v>349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3</v>
      </c>
      <c r="R257" t="s">
        <v>81</v>
      </c>
      <c r="S257">
        <v>1</v>
      </c>
      <c r="T257">
        <v>105</v>
      </c>
      <c r="U257" t="s">
        <v>349</v>
      </c>
      <c r="V257" t="s">
        <v>349</v>
      </c>
      <c r="W257">
        <v>105</v>
      </c>
    </row>
    <row r="258" spans="1:23" x14ac:dyDescent="0.25">
      <c r="A258" s="1">
        <v>44228</v>
      </c>
      <c r="B258" s="1">
        <v>44228</v>
      </c>
      <c r="C258" t="s">
        <v>157</v>
      </c>
      <c r="D258" t="s">
        <v>48</v>
      </c>
      <c r="E258" t="s">
        <v>49</v>
      </c>
      <c r="F258" t="s">
        <v>277</v>
      </c>
      <c r="G258" s="53">
        <v>44259.815057870372</v>
      </c>
      <c r="H258">
        <v>33</v>
      </c>
      <c r="I258">
        <v>17645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3</v>
      </c>
      <c r="R258" t="s">
        <v>81</v>
      </c>
      <c r="S258">
        <v>234.44251299999999</v>
      </c>
      <c r="T258">
        <v>78.597999999999999</v>
      </c>
      <c r="U258" t="s">
        <v>349</v>
      </c>
      <c r="V258" t="s">
        <v>349</v>
      </c>
      <c r="W258">
        <v>18427</v>
      </c>
    </row>
    <row r="259" spans="1:23" x14ac:dyDescent="0.25">
      <c r="A259" s="1">
        <v>44228</v>
      </c>
      <c r="B259" s="1">
        <v>44228</v>
      </c>
      <c r="C259" t="s">
        <v>157</v>
      </c>
      <c r="D259" t="s">
        <v>93</v>
      </c>
      <c r="E259" t="s">
        <v>49</v>
      </c>
      <c r="F259" t="s">
        <v>278</v>
      </c>
      <c r="G259" s="53">
        <v>44302.769236111111</v>
      </c>
      <c r="H259">
        <v>33</v>
      </c>
      <c r="I259" t="s">
        <v>349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4</v>
      </c>
      <c r="R259" t="s">
        <v>27</v>
      </c>
      <c r="S259">
        <v>1</v>
      </c>
      <c r="T259">
        <v>1221</v>
      </c>
      <c r="U259" t="s">
        <v>349</v>
      </c>
      <c r="V259" t="s">
        <v>349</v>
      </c>
      <c r="W259">
        <v>1221</v>
      </c>
    </row>
    <row r="260" spans="1:23" x14ac:dyDescent="0.25">
      <c r="A260" s="1">
        <v>44228</v>
      </c>
      <c r="B260" s="1">
        <v>44228</v>
      </c>
      <c r="C260" t="s">
        <v>157</v>
      </c>
      <c r="D260" t="s">
        <v>48</v>
      </c>
      <c r="E260" t="s">
        <v>49</v>
      </c>
      <c r="F260" t="s">
        <v>277</v>
      </c>
      <c r="G260" s="53">
        <v>44259.815057870372</v>
      </c>
      <c r="H260">
        <v>33</v>
      </c>
      <c r="I260">
        <v>17645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4</v>
      </c>
      <c r="R260" t="s">
        <v>27</v>
      </c>
      <c r="S260">
        <v>2674.997464</v>
      </c>
      <c r="T260">
        <v>80.213999999999999</v>
      </c>
      <c r="U260" t="s">
        <v>349</v>
      </c>
      <c r="V260" t="s">
        <v>349</v>
      </c>
      <c r="W260">
        <v>214572</v>
      </c>
    </row>
    <row r="261" spans="1:23" x14ac:dyDescent="0.25">
      <c r="A261" s="1">
        <v>44228</v>
      </c>
      <c r="B261" s="1">
        <v>44228</v>
      </c>
      <c r="C261" t="s">
        <v>157</v>
      </c>
      <c r="D261" t="s">
        <v>93</v>
      </c>
      <c r="E261" t="s">
        <v>49</v>
      </c>
      <c r="F261" t="s">
        <v>278</v>
      </c>
      <c r="G261" s="53">
        <v>44302.769236111111</v>
      </c>
      <c r="H261">
        <v>33</v>
      </c>
      <c r="I261" t="s">
        <v>349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5</v>
      </c>
      <c r="R261" t="s">
        <v>28</v>
      </c>
      <c r="S261">
        <v>1</v>
      </c>
      <c r="T261">
        <v>3</v>
      </c>
      <c r="U261" t="s">
        <v>349</v>
      </c>
      <c r="V261" t="s">
        <v>349</v>
      </c>
      <c r="W261">
        <v>3</v>
      </c>
    </row>
    <row r="262" spans="1:23" x14ac:dyDescent="0.25">
      <c r="A262" s="1">
        <v>44228</v>
      </c>
      <c r="B262" s="1">
        <v>44228</v>
      </c>
      <c r="C262" t="s">
        <v>157</v>
      </c>
      <c r="D262" t="s">
        <v>48</v>
      </c>
      <c r="E262" t="s">
        <v>49</v>
      </c>
      <c r="F262" t="s">
        <v>277</v>
      </c>
      <c r="G262" s="53">
        <v>44259.815057870372</v>
      </c>
      <c r="H262">
        <v>33</v>
      </c>
      <c r="I262">
        <v>17645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5</v>
      </c>
      <c r="R262" t="s">
        <v>28</v>
      </c>
      <c r="S262">
        <v>7.8341200000000004</v>
      </c>
      <c r="T262">
        <v>86.617999999999995</v>
      </c>
      <c r="U262" t="s">
        <v>349</v>
      </c>
      <c r="V262" t="s">
        <v>349</v>
      </c>
      <c r="W262">
        <v>679</v>
      </c>
    </row>
    <row r="263" spans="1:23" x14ac:dyDescent="0.25">
      <c r="A263" s="1">
        <v>44256</v>
      </c>
      <c r="B263" s="1">
        <v>44256</v>
      </c>
      <c r="C263" t="s">
        <v>157</v>
      </c>
      <c r="D263" t="s">
        <v>93</v>
      </c>
      <c r="E263" t="s">
        <v>49</v>
      </c>
      <c r="F263" t="s">
        <v>284</v>
      </c>
      <c r="G263" s="53">
        <v>44327.522789351853</v>
      </c>
      <c r="H263">
        <v>33</v>
      </c>
      <c r="I263" t="s">
        <v>349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1</v>
      </c>
      <c r="R263" t="s">
        <v>83</v>
      </c>
      <c r="S263">
        <v>1</v>
      </c>
      <c r="T263">
        <v>1933</v>
      </c>
      <c r="U263" t="s">
        <v>349</v>
      </c>
      <c r="V263" t="s">
        <v>349</v>
      </c>
      <c r="W263">
        <v>1933</v>
      </c>
    </row>
    <row r="264" spans="1:23" x14ac:dyDescent="0.25">
      <c r="A264" s="1">
        <v>44256</v>
      </c>
      <c r="B264" s="1">
        <v>44256</v>
      </c>
      <c r="C264" t="s">
        <v>157</v>
      </c>
      <c r="D264" t="s">
        <v>48</v>
      </c>
      <c r="E264" t="s">
        <v>49</v>
      </c>
      <c r="F264" t="s">
        <v>282</v>
      </c>
      <c r="G264" s="53">
        <v>44294.484247685185</v>
      </c>
      <c r="H264">
        <v>33</v>
      </c>
      <c r="I264">
        <v>18264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1</v>
      </c>
      <c r="R264" t="s">
        <v>83</v>
      </c>
      <c r="S264">
        <v>2429.5084940000002</v>
      </c>
      <c r="T264">
        <v>85.203000000000003</v>
      </c>
      <c r="U264" t="s">
        <v>349</v>
      </c>
      <c r="V264" t="s">
        <v>349</v>
      </c>
      <c r="W264">
        <v>207001</v>
      </c>
    </row>
    <row r="265" spans="1:23" x14ac:dyDescent="0.25">
      <c r="A265" s="1">
        <v>44256</v>
      </c>
      <c r="B265" s="1">
        <v>44256</v>
      </c>
      <c r="C265" t="s">
        <v>157</v>
      </c>
      <c r="D265" t="s">
        <v>93</v>
      </c>
      <c r="E265" t="s">
        <v>49</v>
      </c>
      <c r="F265" t="s">
        <v>284</v>
      </c>
      <c r="G265" s="53">
        <v>44327.522789351853</v>
      </c>
      <c r="H265">
        <v>33</v>
      </c>
      <c r="I265" t="s">
        <v>349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2</v>
      </c>
      <c r="R265" t="s">
        <v>94</v>
      </c>
      <c r="S265">
        <v>1</v>
      </c>
      <c r="T265">
        <v>6</v>
      </c>
      <c r="U265" t="s">
        <v>349</v>
      </c>
      <c r="V265" t="s">
        <v>349</v>
      </c>
      <c r="W265">
        <v>6</v>
      </c>
    </row>
    <row r="266" spans="1:23" x14ac:dyDescent="0.25">
      <c r="A266" s="1">
        <v>44256</v>
      </c>
      <c r="B266" s="1">
        <v>44256</v>
      </c>
      <c r="C266" t="s">
        <v>157</v>
      </c>
      <c r="D266" t="s">
        <v>48</v>
      </c>
      <c r="E266" t="s">
        <v>49</v>
      </c>
      <c r="F266" t="s">
        <v>282</v>
      </c>
      <c r="G266" s="53">
        <v>44294.484247685185</v>
      </c>
      <c r="H266">
        <v>33</v>
      </c>
      <c r="I266">
        <v>18264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2</v>
      </c>
      <c r="R266" t="s">
        <v>94</v>
      </c>
      <c r="S266">
        <v>8.2069919999999996</v>
      </c>
      <c r="T266">
        <v>86.819000000000003</v>
      </c>
      <c r="U266" t="s">
        <v>349</v>
      </c>
      <c r="V266" t="s">
        <v>349</v>
      </c>
      <c r="W266">
        <v>713</v>
      </c>
    </row>
    <row r="267" spans="1:23" x14ac:dyDescent="0.25">
      <c r="A267" s="1">
        <v>44256</v>
      </c>
      <c r="B267" s="1">
        <v>44256</v>
      </c>
      <c r="C267" t="s">
        <v>157</v>
      </c>
      <c r="D267" t="s">
        <v>93</v>
      </c>
      <c r="E267" t="s">
        <v>49</v>
      </c>
      <c r="F267" t="s">
        <v>284</v>
      </c>
      <c r="G267" s="53">
        <v>44327.522789351853</v>
      </c>
      <c r="H267">
        <v>33</v>
      </c>
      <c r="I267" t="s">
        <v>349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3</v>
      </c>
      <c r="R267" t="s">
        <v>81</v>
      </c>
      <c r="S267">
        <v>1</v>
      </c>
      <c r="T267">
        <v>196</v>
      </c>
      <c r="U267" t="s">
        <v>349</v>
      </c>
      <c r="V267" t="s">
        <v>349</v>
      </c>
      <c r="W267">
        <v>196</v>
      </c>
    </row>
    <row r="268" spans="1:23" x14ac:dyDescent="0.25">
      <c r="A268" s="1">
        <v>44256</v>
      </c>
      <c r="B268" s="1">
        <v>44256</v>
      </c>
      <c r="C268" t="s">
        <v>157</v>
      </c>
      <c r="D268" t="s">
        <v>48</v>
      </c>
      <c r="E268" t="s">
        <v>49</v>
      </c>
      <c r="F268" t="s">
        <v>282</v>
      </c>
      <c r="G268" s="53">
        <v>44294.484247685185</v>
      </c>
      <c r="H268">
        <v>33</v>
      </c>
      <c r="I268">
        <v>18264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3</v>
      </c>
      <c r="R268" t="s">
        <v>81</v>
      </c>
      <c r="S268">
        <v>266.55027999999999</v>
      </c>
      <c r="T268">
        <v>78.597999999999999</v>
      </c>
      <c r="U268" t="s">
        <v>349</v>
      </c>
      <c r="V268" t="s">
        <v>349</v>
      </c>
      <c r="W268">
        <v>20950</v>
      </c>
    </row>
    <row r="269" spans="1:23" x14ac:dyDescent="0.25">
      <c r="A269" s="1">
        <v>44256</v>
      </c>
      <c r="B269" s="1">
        <v>44256</v>
      </c>
      <c r="C269" t="s">
        <v>157</v>
      </c>
      <c r="D269" t="s">
        <v>93</v>
      </c>
      <c r="E269" t="s">
        <v>49</v>
      </c>
      <c r="F269" t="s">
        <v>284</v>
      </c>
      <c r="G269" s="53">
        <v>44327.522789351853</v>
      </c>
      <c r="H269">
        <v>33</v>
      </c>
      <c r="I269" t="s">
        <v>349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4</v>
      </c>
      <c r="R269" t="s">
        <v>27</v>
      </c>
      <c r="S269">
        <v>1</v>
      </c>
      <c r="T269">
        <v>2266</v>
      </c>
      <c r="U269" t="s">
        <v>349</v>
      </c>
      <c r="V269" t="s">
        <v>349</v>
      </c>
      <c r="W269">
        <v>2266</v>
      </c>
    </row>
    <row r="270" spans="1:23" x14ac:dyDescent="0.25">
      <c r="A270" s="1">
        <v>44256</v>
      </c>
      <c r="B270" s="1">
        <v>44256</v>
      </c>
      <c r="C270" t="s">
        <v>157</v>
      </c>
      <c r="D270" t="s">
        <v>48</v>
      </c>
      <c r="E270" t="s">
        <v>49</v>
      </c>
      <c r="F270" t="s">
        <v>282</v>
      </c>
      <c r="G270" s="53">
        <v>44294.484247685185</v>
      </c>
      <c r="H270">
        <v>33</v>
      </c>
      <c r="I270">
        <v>18264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4</v>
      </c>
      <c r="R270" t="s">
        <v>27</v>
      </c>
      <c r="S270">
        <v>3026.9486430000002</v>
      </c>
      <c r="T270">
        <v>80.213999999999999</v>
      </c>
      <c r="U270" t="s">
        <v>349</v>
      </c>
      <c r="V270" t="s">
        <v>349</v>
      </c>
      <c r="W270">
        <v>242804</v>
      </c>
    </row>
    <row r="271" spans="1:23" x14ac:dyDescent="0.25">
      <c r="A271" s="1">
        <v>44256</v>
      </c>
      <c r="B271" s="1">
        <v>44256</v>
      </c>
      <c r="C271" t="s">
        <v>157</v>
      </c>
      <c r="D271" t="s">
        <v>93</v>
      </c>
      <c r="E271" t="s">
        <v>49</v>
      </c>
      <c r="F271" t="s">
        <v>284</v>
      </c>
      <c r="G271" s="53">
        <v>44327.522789351853</v>
      </c>
      <c r="H271">
        <v>33</v>
      </c>
      <c r="I271" t="s">
        <v>349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5</v>
      </c>
      <c r="R271" t="s">
        <v>28</v>
      </c>
      <c r="S271">
        <v>1</v>
      </c>
      <c r="T271">
        <v>7</v>
      </c>
      <c r="U271" t="s">
        <v>349</v>
      </c>
      <c r="V271" t="s">
        <v>349</v>
      </c>
      <c r="W271">
        <v>7</v>
      </c>
    </row>
    <row r="272" spans="1:23" x14ac:dyDescent="0.25">
      <c r="A272" s="1">
        <v>44256</v>
      </c>
      <c r="B272" s="1">
        <v>44256</v>
      </c>
      <c r="C272" t="s">
        <v>157</v>
      </c>
      <c r="D272" t="s">
        <v>48</v>
      </c>
      <c r="E272" t="s">
        <v>49</v>
      </c>
      <c r="F272" t="s">
        <v>282</v>
      </c>
      <c r="G272" s="53">
        <v>44294.484247685185</v>
      </c>
      <c r="H272">
        <v>33</v>
      </c>
      <c r="I272">
        <v>18264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5</v>
      </c>
      <c r="R272" t="s">
        <v>28</v>
      </c>
      <c r="S272">
        <v>8.8766890000000007</v>
      </c>
      <c r="T272">
        <v>86.617999999999995</v>
      </c>
      <c r="U272" t="s">
        <v>349</v>
      </c>
      <c r="V272" t="s">
        <v>349</v>
      </c>
      <c r="W272">
        <v>769</v>
      </c>
    </row>
    <row r="273" spans="1:23" x14ac:dyDescent="0.25">
      <c r="A273" s="1">
        <v>44287</v>
      </c>
      <c r="B273" s="1">
        <v>44287</v>
      </c>
      <c r="C273" t="s">
        <v>157</v>
      </c>
      <c r="D273" t="s">
        <v>48</v>
      </c>
      <c r="E273" t="s">
        <v>49</v>
      </c>
      <c r="F273" t="s">
        <v>286</v>
      </c>
      <c r="G273" s="53">
        <v>44323.702997685185</v>
      </c>
      <c r="H273">
        <v>33</v>
      </c>
      <c r="I273">
        <v>18700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1</v>
      </c>
      <c r="R273" t="s">
        <v>83</v>
      </c>
      <c r="S273">
        <v>1898.22228</v>
      </c>
      <c r="T273">
        <v>85.203000000000003</v>
      </c>
      <c r="U273" t="s">
        <v>349</v>
      </c>
      <c r="V273" t="s">
        <v>349</v>
      </c>
      <c r="W273">
        <v>161734</v>
      </c>
    </row>
    <row r="274" spans="1:23" x14ac:dyDescent="0.25">
      <c r="A274" s="1">
        <v>44287</v>
      </c>
      <c r="B274" s="1">
        <v>44287</v>
      </c>
      <c r="C274" t="s">
        <v>157</v>
      </c>
      <c r="D274" t="s">
        <v>48</v>
      </c>
      <c r="E274" t="s">
        <v>49</v>
      </c>
      <c r="F274" t="s">
        <v>286</v>
      </c>
      <c r="G274" s="53">
        <v>44323.702997685185</v>
      </c>
      <c r="H274">
        <v>33</v>
      </c>
      <c r="I274">
        <v>18700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2</v>
      </c>
      <c r="R274" t="s">
        <v>94</v>
      </c>
      <c r="S274">
        <v>6.7238790000000002</v>
      </c>
      <c r="T274">
        <v>86.819000000000003</v>
      </c>
      <c r="U274" t="s">
        <v>349</v>
      </c>
      <c r="V274" t="s">
        <v>349</v>
      </c>
      <c r="W274">
        <v>584</v>
      </c>
    </row>
    <row r="275" spans="1:23" x14ac:dyDescent="0.25">
      <c r="A275" s="1">
        <v>44287</v>
      </c>
      <c r="B275" s="1">
        <v>44287</v>
      </c>
      <c r="C275" t="s">
        <v>157</v>
      </c>
      <c r="D275" t="s">
        <v>48</v>
      </c>
      <c r="E275" t="s">
        <v>49</v>
      </c>
      <c r="F275" t="s">
        <v>286</v>
      </c>
      <c r="G275" s="53">
        <v>44323.702997685185</v>
      </c>
      <c r="H275">
        <v>33</v>
      </c>
      <c r="I275">
        <v>18700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210.80923799999999</v>
      </c>
      <c r="T275">
        <v>78.597999999999999</v>
      </c>
      <c r="U275" t="s">
        <v>349</v>
      </c>
      <c r="V275" t="s">
        <v>349</v>
      </c>
      <c r="W275">
        <v>16569</v>
      </c>
    </row>
    <row r="276" spans="1:23" x14ac:dyDescent="0.25">
      <c r="A276" s="1">
        <v>44287</v>
      </c>
      <c r="B276" s="1">
        <v>44287</v>
      </c>
      <c r="C276" t="s">
        <v>157</v>
      </c>
      <c r="D276" t="s">
        <v>48</v>
      </c>
      <c r="E276" t="s">
        <v>49</v>
      </c>
      <c r="F276" t="s">
        <v>286</v>
      </c>
      <c r="G276" s="53">
        <v>44323.702997685185</v>
      </c>
      <c r="H276">
        <v>33</v>
      </c>
      <c r="I276">
        <v>18700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4</v>
      </c>
      <c r="R276" t="s">
        <v>27</v>
      </c>
      <c r="S276">
        <v>2386.3591110000002</v>
      </c>
      <c r="T276">
        <v>80.213999999999999</v>
      </c>
      <c r="U276" t="s">
        <v>349</v>
      </c>
      <c r="V276" t="s">
        <v>349</v>
      </c>
      <c r="W276">
        <v>191419</v>
      </c>
    </row>
    <row r="277" spans="1:23" x14ac:dyDescent="0.25">
      <c r="A277" s="1">
        <v>44287</v>
      </c>
      <c r="B277" s="1">
        <v>44287</v>
      </c>
      <c r="C277" t="s">
        <v>157</v>
      </c>
      <c r="D277" t="s">
        <v>48</v>
      </c>
      <c r="E277" t="s">
        <v>49</v>
      </c>
      <c r="F277" t="s">
        <v>286</v>
      </c>
      <c r="G277" s="53">
        <v>44323.702997685185</v>
      </c>
      <c r="H277">
        <v>33</v>
      </c>
      <c r="I277">
        <v>18700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5</v>
      </c>
      <c r="R277" t="s">
        <v>28</v>
      </c>
      <c r="S277">
        <v>7.1214380000000004</v>
      </c>
      <c r="T277">
        <v>86.617999999999995</v>
      </c>
      <c r="U277" t="s">
        <v>349</v>
      </c>
      <c r="V277" t="s">
        <v>349</v>
      </c>
      <c r="W277">
        <v>617</v>
      </c>
    </row>
    <row r="278" spans="1:23" x14ac:dyDescent="0.25">
      <c r="B278"/>
    </row>
    <row r="279" spans="1:23" x14ac:dyDescent="0.25">
      <c r="B279"/>
    </row>
    <row r="280" spans="1:23" x14ac:dyDescent="0.25">
      <c r="B280"/>
    </row>
    <row r="281" spans="1:23" x14ac:dyDescent="0.25">
      <c r="B281"/>
    </row>
    <row r="282" spans="1:23" x14ac:dyDescent="0.25">
      <c r="B282"/>
    </row>
    <row r="283" spans="1:23" x14ac:dyDescent="0.25">
      <c r="B283"/>
    </row>
    <row r="284" spans="1:23" x14ac:dyDescent="0.25">
      <c r="B284"/>
    </row>
    <row r="285" spans="1:23" x14ac:dyDescent="0.25">
      <c r="B285"/>
    </row>
    <row r="286" spans="1:23" x14ac:dyDescent="0.25">
      <c r="B286"/>
    </row>
    <row r="287" spans="1:23" x14ac:dyDescent="0.25">
      <c r="B287"/>
    </row>
    <row r="288" spans="1:23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W735"/>
  <sheetViews>
    <sheetView zoomScale="60" zoomScaleNormal="60" workbookViewId="0">
      <selection activeCell="T5" sqref="T5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9.1406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1.1406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4" t="s">
        <v>29</v>
      </c>
      <c r="B1" s="34" t="s">
        <v>1</v>
      </c>
      <c r="C1" s="34" t="s">
        <v>30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4" t="s">
        <v>39</v>
      </c>
      <c r="J1" s="34" t="s">
        <v>40</v>
      </c>
      <c r="K1" s="34" t="s">
        <v>41</v>
      </c>
      <c r="L1" s="34" t="s">
        <v>42</v>
      </c>
      <c r="M1" s="34" t="s">
        <v>43</v>
      </c>
      <c r="N1" s="34" t="s">
        <v>44</v>
      </c>
      <c r="O1" s="34" t="s">
        <v>45</v>
      </c>
      <c r="P1" s="34" t="s">
        <v>46</v>
      </c>
      <c r="Q1" s="34" t="s">
        <v>31</v>
      </c>
      <c r="R1" s="34" t="s">
        <v>32</v>
      </c>
      <c r="S1" s="34" t="s">
        <v>18</v>
      </c>
      <c r="T1" s="34" t="s">
        <v>19</v>
      </c>
      <c r="U1" s="34" t="s">
        <v>21</v>
      </c>
      <c r="V1" s="2" t="s">
        <v>22</v>
      </c>
      <c r="W1" s="2" t="s">
        <v>33</v>
      </c>
    </row>
    <row r="2" spans="1:23" x14ac:dyDescent="0.25">
      <c r="A2" s="1">
        <v>43556</v>
      </c>
      <c r="B2" s="1">
        <v>43556</v>
      </c>
      <c r="C2" t="s">
        <v>157</v>
      </c>
      <c r="D2" t="s">
        <v>54</v>
      </c>
      <c r="E2" t="s">
        <v>21</v>
      </c>
      <c r="F2" t="s">
        <v>170</v>
      </c>
      <c r="G2" s="53">
        <v>43598</v>
      </c>
      <c r="H2">
        <v>33</v>
      </c>
      <c r="I2">
        <v>8451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83</v>
      </c>
      <c r="S2" t="s">
        <v>349</v>
      </c>
      <c r="T2" t="s">
        <v>349</v>
      </c>
      <c r="U2">
        <v>0</v>
      </c>
      <c r="V2">
        <v>0</v>
      </c>
      <c r="W2">
        <v>0</v>
      </c>
    </row>
    <row r="3" spans="1:23" x14ac:dyDescent="0.25">
      <c r="A3" s="1">
        <v>43556</v>
      </c>
      <c r="B3" s="1">
        <v>43556</v>
      </c>
      <c r="C3" t="s">
        <v>157</v>
      </c>
      <c r="D3" t="s">
        <v>54</v>
      </c>
      <c r="E3" t="s">
        <v>21</v>
      </c>
      <c r="F3" t="s">
        <v>170</v>
      </c>
      <c r="G3" s="53">
        <v>43598</v>
      </c>
      <c r="H3">
        <v>33</v>
      </c>
      <c r="I3">
        <v>8451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2</v>
      </c>
      <c r="R3" t="s">
        <v>94</v>
      </c>
      <c r="S3" t="s">
        <v>349</v>
      </c>
      <c r="T3" t="s">
        <v>349</v>
      </c>
      <c r="U3">
        <v>0</v>
      </c>
      <c r="V3">
        <v>0</v>
      </c>
      <c r="W3">
        <v>0</v>
      </c>
    </row>
    <row r="4" spans="1:23" x14ac:dyDescent="0.25">
      <c r="A4" s="1">
        <v>43556</v>
      </c>
      <c r="B4" s="1">
        <v>43556</v>
      </c>
      <c r="C4" t="s">
        <v>157</v>
      </c>
      <c r="D4" t="s">
        <v>54</v>
      </c>
      <c r="E4" t="s">
        <v>21</v>
      </c>
      <c r="F4" t="s">
        <v>170</v>
      </c>
      <c r="G4" s="53">
        <v>43598</v>
      </c>
      <c r="H4">
        <v>33</v>
      </c>
      <c r="I4">
        <v>8451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3</v>
      </c>
      <c r="R4" t="s">
        <v>81</v>
      </c>
      <c r="S4" t="s">
        <v>349</v>
      </c>
      <c r="T4" t="s">
        <v>349</v>
      </c>
      <c r="U4">
        <v>0</v>
      </c>
      <c r="V4">
        <v>0</v>
      </c>
      <c r="W4">
        <v>0</v>
      </c>
    </row>
    <row r="5" spans="1:23" x14ac:dyDescent="0.25">
      <c r="A5" s="1">
        <v>43556</v>
      </c>
      <c r="B5" s="1">
        <v>43556</v>
      </c>
      <c r="C5" t="s">
        <v>157</v>
      </c>
      <c r="D5" t="s">
        <v>54</v>
      </c>
      <c r="E5" t="s">
        <v>21</v>
      </c>
      <c r="F5" t="s">
        <v>170</v>
      </c>
      <c r="G5" s="53">
        <v>43598</v>
      </c>
      <c r="H5">
        <v>33</v>
      </c>
      <c r="I5">
        <v>8451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4</v>
      </c>
      <c r="R5" t="s">
        <v>27</v>
      </c>
      <c r="S5" t="s">
        <v>349</v>
      </c>
      <c r="T5" t="s">
        <v>349</v>
      </c>
      <c r="U5">
        <v>0</v>
      </c>
      <c r="V5">
        <v>0</v>
      </c>
      <c r="W5">
        <v>0</v>
      </c>
    </row>
    <row r="6" spans="1:23" x14ac:dyDescent="0.25">
      <c r="A6" s="1">
        <v>43556</v>
      </c>
      <c r="B6" s="1">
        <v>43556</v>
      </c>
      <c r="C6" t="s">
        <v>157</v>
      </c>
      <c r="D6" t="s">
        <v>54</v>
      </c>
      <c r="E6" t="s">
        <v>21</v>
      </c>
      <c r="F6" t="s">
        <v>170</v>
      </c>
      <c r="G6" s="53">
        <v>43598</v>
      </c>
      <c r="H6">
        <v>33</v>
      </c>
      <c r="I6">
        <v>8451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5</v>
      </c>
      <c r="R6" t="s">
        <v>28</v>
      </c>
      <c r="S6" t="s">
        <v>349</v>
      </c>
      <c r="T6" t="s">
        <v>349</v>
      </c>
      <c r="U6">
        <v>0</v>
      </c>
      <c r="V6">
        <v>0</v>
      </c>
      <c r="W6">
        <v>0</v>
      </c>
    </row>
    <row r="7" spans="1:23" x14ac:dyDescent="0.25">
      <c r="A7" s="1">
        <v>43586</v>
      </c>
      <c r="B7" s="1">
        <v>43586</v>
      </c>
      <c r="C7" t="s">
        <v>157</v>
      </c>
      <c r="D7" t="s">
        <v>54</v>
      </c>
      <c r="E7" t="s">
        <v>21</v>
      </c>
      <c r="F7" t="s">
        <v>173</v>
      </c>
      <c r="G7" s="53">
        <v>43627</v>
      </c>
      <c r="H7">
        <v>33</v>
      </c>
      <c r="I7">
        <v>8768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 t="s">
        <v>349</v>
      </c>
      <c r="T7" t="s">
        <v>349</v>
      </c>
      <c r="U7">
        <v>0</v>
      </c>
      <c r="V7">
        <v>0</v>
      </c>
      <c r="W7">
        <v>0</v>
      </c>
    </row>
    <row r="8" spans="1:23" x14ac:dyDescent="0.25">
      <c r="A8" s="1">
        <v>43586</v>
      </c>
      <c r="B8" s="1">
        <v>43586</v>
      </c>
      <c r="C8" t="s">
        <v>157</v>
      </c>
      <c r="D8" t="s">
        <v>54</v>
      </c>
      <c r="E8" t="s">
        <v>21</v>
      </c>
      <c r="F8" t="s">
        <v>173</v>
      </c>
      <c r="G8" s="53">
        <v>43627</v>
      </c>
      <c r="H8">
        <v>33</v>
      </c>
      <c r="I8">
        <v>8768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 t="s">
        <v>349</v>
      </c>
      <c r="T8" t="s">
        <v>349</v>
      </c>
      <c r="U8">
        <v>0</v>
      </c>
      <c r="V8">
        <v>0</v>
      </c>
      <c r="W8">
        <v>0</v>
      </c>
    </row>
    <row r="9" spans="1:23" x14ac:dyDescent="0.25">
      <c r="A9" s="1">
        <v>43586</v>
      </c>
      <c r="B9" s="1">
        <v>43586</v>
      </c>
      <c r="C9" t="s">
        <v>157</v>
      </c>
      <c r="D9" t="s">
        <v>54</v>
      </c>
      <c r="E9" t="s">
        <v>21</v>
      </c>
      <c r="F9" t="s">
        <v>173</v>
      </c>
      <c r="G9" s="53">
        <v>43627</v>
      </c>
      <c r="H9">
        <v>33</v>
      </c>
      <c r="I9">
        <v>8768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3</v>
      </c>
      <c r="R9" t="s">
        <v>81</v>
      </c>
      <c r="S9" t="s">
        <v>349</v>
      </c>
      <c r="T9" t="s">
        <v>349</v>
      </c>
      <c r="U9">
        <v>0</v>
      </c>
      <c r="V9">
        <v>0</v>
      </c>
      <c r="W9">
        <v>0</v>
      </c>
    </row>
    <row r="10" spans="1:23" x14ac:dyDescent="0.25">
      <c r="A10" s="1">
        <v>43586</v>
      </c>
      <c r="B10" s="1">
        <v>43586</v>
      </c>
      <c r="C10" t="s">
        <v>157</v>
      </c>
      <c r="D10" t="s">
        <v>54</v>
      </c>
      <c r="E10" t="s">
        <v>21</v>
      </c>
      <c r="F10" t="s">
        <v>173</v>
      </c>
      <c r="G10" s="53">
        <v>43627</v>
      </c>
      <c r="H10">
        <v>33</v>
      </c>
      <c r="I10">
        <v>8768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4</v>
      </c>
      <c r="R10" t="s">
        <v>27</v>
      </c>
      <c r="S10" t="s">
        <v>349</v>
      </c>
      <c r="T10" t="s">
        <v>349</v>
      </c>
      <c r="U10">
        <v>0</v>
      </c>
      <c r="V10">
        <v>0</v>
      </c>
      <c r="W10">
        <v>0</v>
      </c>
    </row>
    <row r="11" spans="1:23" x14ac:dyDescent="0.25">
      <c r="A11" s="1">
        <v>43586</v>
      </c>
      <c r="B11" s="1">
        <v>43586</v>
      </c>
      <c r="C11" t="s">
        <v>157</v>
      </c>
      <c r="D11" t="s">
        <v>54</v>
      </c>
      <c r="E11" t="s">
        <v>21</v>
      </c>
      <c r="F11" t="s">
        <v>173</v>
      </c>
      <c r="G11" s="53">
        <v>43627</v>
      </c>
      <c r="H11">
        <v>33</v>
      </c>
      <c r="I11">
        <v>8768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5</v>
      </c>
      <c r="R11" t="s">
        <v>28</v>
      </c>
      <c r="S11" t="s">
        <v>349</v>
      </c>
      <c r="T11" t="s">
        <v>349</v>
      </c>
      <c r="U11">
        <v>0</v>
      </c>
      <c r="V11">
        <v>0</v>
      </c>
      <c r="W11">
        <v>0</v>
      </c>
    </row>
    <row r="12" spans="1:23" x14ac:dyDescent="0.25">
      <c r="A12" s="1">
        <v>43617</v>
      </c>
      <c r="B12" s="1">
        <v>43617</v>
      </c>
      <c r="C12" t="s">
        <v>157</v>
      </c>
      <c r="D12" t="s">
        <v>54</v>
      </c>
      <c r="E12" t="s">
        <v>21</v>
      </c>
      <c r="F12" t="s">
        <v>175</v>
      </c>
      <c r="G12" s="53">
        <v>43655</v>
      </c>
      <c r="H12">
        <v>33</v>
      </c>
      <c r="I12">
        <v>9022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1</v>
      </c>
      <c r="R12" t="s">
        <v>83</v>
      </c>
      <c r="S12" t="s">
        <v>349</v>
      </c>
      <c r="T12" t="s">
        <v>349</v>
      </c>
      <c r="U12">
        <v>0</v>
      </c>
      <c r="V12">
        <v>0</v>
      </c>
      <c r="W12">
        <v>0</v>
      </c>
    </row>
    <row r="13" spans="1:23" x14ac:dyDescent="0.25">
      <c r="A13" s="1">
        <v>43617</v>
      </c>
      <c r="B13" s="1">
        <v>43617</v>
      </c>
      <c r="C13" t="s">
        <v>157</v>
      </c>
      <c r="D13" t="s">
        <v>54</v>
      </c>
      <c r="E13" t="s">
        <v>21</v>
      </c>
      <c r="F13" t="s">
        <v>175</v>
      </c>
      <c r="G13" s="53">
        <v>43655</v>
      </c>
      <c r="H13">
        <v>33</v>
      </c>
      <c r="I13">
        <v>9022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2</v>
      </c>
      <c r="R13" t="s">
        <v>94</v>
      </c>
      <c r="S13" t="s">
        <v>349</v>
      </c>
      <c r="T13" t="s">
        <v>349</v>
      </c>
      <c r="U13">
        <v>0</v>
      </c>
      <c r="V13">
        <v>0</v>
      </c>
      <c r="W13">
        <v>0</v>
      </c>
    </row>
    <row r="14" spans="1:23" x14ac:dyDescent="0.25">
      <c r="A14" s="1">
        <v>43617</v>
      </c>
      <c r="B14" s="1">
        <v>43617</v>
      </c>
      <c r="C14" t="s">
        <v>157</v>
      </c>
      <c r="D14" t="s">
        <v>54</v>
      </c>
      <c r="E14" t="s">
        <v>21</v>
      </c>
      <c r="F14" t="s">
        <v>175</v>
      </c>
      <c r="G14" s="53">
        <v>43655</v>
      </c>
      <c r="H14">
        <v>33</v>
      </c>
      <c r="I14">
        <v>9022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3</v>
      </c>
      <c r="R14" t="s">
        <v>81</v>
      </c>
      <c r="S14" t="s">
        <v>349</v>
      </c>
      <c r="T14" t="s">
        <v>349</v>
      </c>
      <c r="U14">
        <v>0</v>
      </c>
      <c r="V14">
        <v>0</v>
      </c>
      <c r="W14">
        <v>0</v>
      </c>
    </row>
    <row r="15" spans="1:23" x14ac:dyDescent="0.25">
      <c r="A15" s="1">
        <v>43617</v>
      </c>
      <c r="B15" s="1">
        <v>43617</v>
      </c>
      <c r="C15" t="s">
        <v>157</v>
      </c>
      <c r="D15" t="s">
        <v>54</v>
      </c>
      <c r="E15" t="s">
        <v>21</v>
      </c>
      <c r="F15" t="s">
        <v>175</v>
      </c>
      <c r="G15" s="53">
        <v>43655</v>
      </c>
      <c r="H15">
        <v>33</v>
      </c>
      <c r="I15">
        <v>9022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4</v>
      </c>
      <c r="R15" t="s">
        <v>27</v>
      </c>
      <c r="S15" t="s">
        <v>349</v>
      </c>
      <c r="T15" t="s">
        <v>349</v>
      </c>
      <c r="U15">
        <v>0</v>
      </c>
      <c r="V15">
        <v>0</v>
      </c>
      <c r="W15">
        <v>0</v>
      </c>
    </row>
    <row r="16" spans="1:23" x14ac:dyDescent="0.25">
      <c r="A16" s="1">
        <v>43617</v>
      </c>
      <c r="B16" s="1">
        <v>43617</v>
      </c>
      <c r="C16" t="s">
        <v>157</v>
      </c>
      <c r="D16" t="s">
        <v>54</v>
      </c>
      <c r="E16" t="s">
        <v>21</v>
      </c>
      <c r="F16" t="s">
        <v>175</v>
      </c>
      <c r="G16" s="53">
        <v>43655</v>
      </c>
      <c r="H16">
        <v>33</v>
      </c>
      <c r="I16">
        <v>9022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5</v>
      </c>
      <c r="R16" t="s">
        <v>28</v>
      </c>
      <c r="S16" t="s">
        <v>349</v>
      </c>
      <c r="T16" t="s">
        <v>349</v>
      </c>
      <c r="U16">
        <v>0</v>
      </c>
      <c r="V16">
        <v>0</v>
      </c>
      <c r="W16">
        <v>0</v>
      </c>
    </row>
    <row r="17" spans="1:23" x14ac:dyDescent="0.25">
      <c r="A17" s="1">
        <v>43647</v>
      </c>
      <c r="B17" s="1">
        <v>43647</v>
      </c>
      <c r="C17" t="s">
        <v>157</v>
      </c>
      <c r="D17" t="s">
        <v>54</v>
      </c>
      <c r="E17" t="s">
        <v>21</v>
      </c>
      <c r="F17" t="s">
        <v>180</v>
      </c>
      <c r="G17" s="53">
        <v>43686</v>
      </c>
      <c r="H17">
        <v>33</v>
      </c>
      <c r="I17">
        <v>9466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 t="s">
        <v>349</v>
      </c>
      <c r="T17" t="s">
        <v>349</v>
      </c>
      <c r="U17">
        <v>0</v>
      </c>
      <c r="V17">
        <v>0</v>
      </c>
      <c r="W17">
        <v>0</v>
      </c>
    </row>
    <row r="18" spans="1:23" x14ac:dyDescent="0.25">
      <c r="A18" s="1">
        <v>43647</v>
      </c>
      <c r="B18" s="1">
        <v>43647</v>
      </c>
      <c r="C18" t="s">
        <v>157</v>
      </c>
      <c r="D18" t="s">
        <v>54</v>
      </c>
      <c r="E18" t="s">
        <v>21</v>
      </c>
      <c r="F18" t="s">
        <v>180</v>
      </c>
      <c r="G18" s="53">
        <v>43686</v>
      </c>
      <c r="H18">
        <v>33</v>
      </c>
      <c r="I18">
        <v>9466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 t="s">
        <v>349</v>
      </c>
      <c r="T18" t="s">
        <v>349</v>
      </c>
      <c r="U18">
        <v>0</v>
      </c>
      <c r="V18">
        <v>0</v>
      </c>
      <c r="W18">
        <v>0</v>
      </c>
    </row>
    <row r="19" spans="1:23" x14ac:dyDescent="0.25">
      <c r="A19" s="1">
        <v>43647</v>
      </c>
      <c r="B19" s="1">
        <v>43647</v>
      </c>
      <c r="C19" t="s">
        <v>157</v>
      </c>
      <c r="D19" t="s">
        <v>54</v>
      </c>
      <c r="E19" t="s">
        <v>21</v>
      </c>
      <c r="F19" t="s">
        <v>180</v>
      </c>
      <c r="G19" s="53">
        <v>43686</v>
      </c>
      <c r="H19">
        <v>33</v>
      </c>
      <c r="I19">
        <v>9466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 t="s">
        <v>349</v>
      </c>
      <c r="T19" t="s">
        <v>349</v>
      </c>
      <c r="U19">
        <v>0</v>
      </c>
      <c r="V19">
        <v>0</v>
      </c>
      <c r="W19">
        <v>0</v>
      </c>
    </row>
    <row r="20" spans="1:23" x14ac:dyDescent="0.25">
      <c r="A20" s="1">
        <v>43647</v>
      </c>
      <c r="B20" s="1">
        <v>43647</v>
      </c>
      <c r="C20" t="s">
        <v>157</v>
      </c>
      <c r="D20" t="s">
        <v>54</v>
      </c>
      <c r="E20" t="s">
        <v>21</v>
      </c>
      <c r="F20" t="s">
        <v>180</v>
      </c>
      <c r="G20" s="53">
        <v>43686</v>
      </c>
      <c r="H20">
        <v>33</v>
      </c>
      <c r="I20">
        <v>9466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4</v>
      </c>
      <c r="R20" t="s">
        <v>27</v>
      </c>
      <c r="S20" t="s">
        <v>349</v>
      </c>
      <c r="T20" t="s">
        <v>349</v>
      </c>
      <c r="U20">
        <v>0</v>
      </c>
      <c r="V20">
        <v>0</v>
      </c>
      <c r="W20">
        <v>0</v>
      </c>
    </row>
    <row r="21" spans="1:23" x14ac:dyDescent="0.25">
      <c r="A21" s="1">
        <v>43647</v>
      </c>
      <c r="B21" s="1">
        <v>43647</v>
      </c>
      <c r="C21" t="s">
        <v>157</v>
      </c>
      <c r="D21" t="s">
        <v>54</v>
      </c>
      <c r="E21" t="s">
        <v>21</v>
      </c>
      <c r="F21" t="s">
        <v>180</v>
      </c>
      <c r="G21" s="53">
        <v>43686</v>
      </c>
      <c r="H21">
        <v>33</v>
      </c>
      <c r="I21">
        <v>9466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5</v>
      </c>
      <c r="R21" t="s">
        <v>28</v>
      </c>
      <c r="S21" t="s">
        <v>349</v>
      </c>
      <c r="T21" t="s">
        <v>349</v>
      </c>
      <c r="U21">
        <v>0</v>
      </c>
      <c r="V21">
        <v>0</v>
      </c>
      <c r="W21">
        <v>0</v>
      </c>
    </row>
    <row r="22" spans="1:23" x14ac:dyDescent="0.25">
      <c r="A22" s="1">
        <v>43678</v>
      </c>
      <c r="B22" s="1">
        <v>43739</v>
      </c>
      <c r="C22" t="s">
        <v>157</v>
      </c>
      <c r="D22" t="s">
        <v>54</v>
      </c>
      <c r="E22" t="s">
        <v>21</v>
      </c>
      <c r="F22" t="s">
        <v>183</v>
      </c>
      <c r="G22" s="53">
        <v>43719</v>
      </c>
      <c r="H22">
        <v>33</v>
      </c>
      <c r="I22">
        <v>9996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1</v>
      </c>
      <c r="R22" t="s">
        <v>83</v>
      </c>
      <c r="S22" t="s">
        <v>349</v>
      </c>
      <c r="T22" t="s">
        <v>349</v>
      </c>
      <c r="U22">
        <v>0</v>
      </c>
      <c r="V22">
        <v>0</v>
      </c>
      <c r="W22">
        <v>0</v>
      </c>
    </row>
    <row r="23" spans="1:23" x14ac:dyDescent="0.25">
      <c r="A23" s="1">
        <v>43678</v>
      </c>
      <c r="B23" s="1">
        <v>43739</v>
      </c>
      <c r="C23" t="s">
        <v>157</v>
      </c>
      <c r="D23" t="s">
        <v>54</v>
      </c>
      <c r="E23" t="s">
        <v>21</v>
      </c>
      <c r="F23" t="s">
        <v>183</v>
      </c>
      <c r="G23" s="53">
        <v>43719</v>
      </c>
      <c r="H23">
        <v>33</v>
      </c>
      <c r="I23">
        <v>9996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2</v>
      </c>
      <c r="R23" t="s">
        <v>94</v>
      </c>
      <c r="S23" t="s">
        <v>349</v>
      </c>
      <c r="T23" t="s">
        <v>349</v>
      </c>
      <c r="U23">
        <v>0</v>
      </c>
      <c r="V23">
        <v>0</v>
      </c>
      <c r="W23">
        <v>0</v>
      </c>
    </row>
    <row r="24" spans="1:23" x14ac:dyDescent="0.25">
      <c r="A24" s="1">
        <v>43678</v>
      </c>
      <c r="B24" s="1">
        <v>43739</v>
      </c>
      <c r="C24" t="s">
        <v>157</v>
      </c>
      <c r="D24" t="s">
        <v>54</v>
      </c>
      <c r="E24" t="s">
        <v>21</v>
      </c>
      <c r="F24" t="s">
        <v>183</v>
      </c>
      <c r="G24" s="53">
        <v>43719</v>
      </c>
      <c r="H24">
        <v>33</v>
      </c>
      <c r="I24">
        <v>9996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3</v>
      </c>
      <c r="R24" t="s">
        <v>81</v>
      </c>
      <c r="S24" t="s">
        <v>349</v>
      </c>
      <c r="T24" t="s">
        <v>349</v>
      </c>
      <c r="U24">
        <v>0</v>
      </c>
      <c r="V24">
        <v>0</v>
      </c>
      <c r="W24">
        <v>0</v>
      </c>
    </row>
    <row r="25" spans="1:23" x14ac:dyDescent="0.25">
      <c r="A25" s="1">
        <v>43678</v>
      </c>
      <c r="B25" s="1">
        <v>43739</v>
      </c>
      <c r="C25" t="s">
        <v>157</v>
      </c>
      <c r="D25" t="s">
        <v>54</v>
      </c>
      <c r="E25" t="s">
        <v>21</v>
      </c>
      <c r="F25" t="s">
        <v>183</v>
      </c>
      <c r="G25" s="53">
        <v>43719</v>
      </c>
      <c r="H25">
        <v>33</v>
      </c>
      <c r="I25">
        <v>9996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4</v>
      </c>
      <c r="R25" t="s">
        <v>27</v>
      </c>
      <c r="S25" t="s">
        <v>349</v>
      </c>
      <c r="T25" t="s">
        <v>349</v>
      </c>
      <c r="U25">
        <v>0</v>
      </c>
      <c r="V25">
        <v>0</v>
      </c>
      <c r="W25">
        <v>0</v>
      </c>
    </row>
    <row r="26" spans="1:23" x14ac:dyDescent="0.25">
      <c r="A26" s="1">
        <v>43678</v>
      </c>
      <c r="B26" s="1">
        <v>43739</v>
      </c>
      <c r="C26" t="s">
        <v>157</v>
      </c>
      <c r="D26" t="s">
        <v>54</v>
      </c>
      <c r="E26" t="s">
        <v>21</v>
      </c>
      <c r="F26" t="s">
        <v>183</v>
      </c>
      <c r="G26" s="53">
        <v>43719</v>
      </c>
      <c r="H26">
        <v>33</v>
      </c>
      <c r="I26">
        <v>9996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5</v>
      </c>
      <c r="R26" t="s">
        <v>28</v>
      </c>
      <c r="S26" t="s">
        <v>349</v>
      </c>
      <c r="T26" t="s">
        <v>349</v>
      </c>
      <c r="U26">
        <v>0</v>
      </c>
      <c r="V26">
        <v>0</v>
      </c>
      <c r="W26">
        <v>0</v>
      </c>
    </row>
    <row r="27" spans="1:23" x14ac:dyDescent="0.25">
      <c r="A27" s="1">
        <v>43709</v>
      </c>
      <c r="B27" s="1">
        <v>43739</v>
      </c>
      <c r="C27" t="s">
        <v>157</v>
      </c>
      <c r="D27" t="s">
        <v>54</v>
      </c>
      <c r="E27" t="s">
        <v>21</v>
      </c>
      <c r="F27" t="s">
        <v>183</v>
      </c>
      <c r="G27" s="53">
        <v>43748</v>
      </c>
      <c r="H27">
        <v>33</v>
      </c>
      <c r="I27">
        <v>10390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1</v>
      </c>
      <c r="R27" t="s">
        <v>83</v>
      </c>
      <c r="S27" t="s">
        <v>349</v>
      </c>
      <c r="T27" t="s">
        <v>349</v>
      </c>
      <c r="U27">
        <v>0</v>
      </c>
      <c r="V27">
        <v>0</v>
      </c>
      <c r="W27">
        <v>0</v>
      </c>
    </row>
    <row r="28" spans="1:23" x14ac:dyDescent="0.25">
      <c r="A28" s="1">
        <v>43709</v>
      </c>
      <c r="B28" s="1">
        <v>43739</v>
      </c>
      <c r="C28" t="s">
        <v>157</v>
      </c>
      <c r="D28" t="s">
        <v>54</v>
      </c>
      <c r="E28" t="s">
        <v>21</v>
      </c>
      <c r="F28" t="s">
        <v>183</v>
      </c>
      <c r="G28" s="53">
        <v>43748</v>
      </c>
      <c r="H28">
        <v>33</v>
      </c>
      <c r="I28">
        <v>10390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2</v>
      </c>
      <c r="R28" t="s">
        <v>94</v>
      </c>
      <c r="S28" t="s">
        <v>349</v>
      </c>
      <c r="T28" t="s">
        <v>349</v>
      </c>
      <c r="U28">
        <v>0</v>
      </c>
      <c r="V28">
        <v>0</v>
      </c>
      <c r="W28">
        <v>0</v>
      </c>
    </row>
    <row r="29" spans="1:23" x14ac:dyDescent="0.25">
      <c r="A29" s="1">
        <v>43709</v>
      </c>
      <c r="B29" s="1">
        <v>43739</v>
      </c>
      <c r="C29" t="s">
        <v>157</v>
      </c>
      <c r="D29" t="s">
        <v>54</v>
      </c>
      <c r="E29" t="s">
        <v>21</v>
      </c>
      <c r="F29" t="s">
        <v>183</v>
      </c>
      <c r="G29" s="53">
        <v>43748</v>
      </c>
      <c r="H29">
        <v>33</v>
      </c>
      <c r="I29">
        <v>10390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3</v>
      </c>
      <c r="R29" t="s">
        <v>81</v>
      </c>
      <c r="S29" t="s">
        <v>349</v>
      </c>
      <c r="T29" t="s">
        <v>349</v>
      </c>
      <c r="U29">
        <v>0</v>
      </c>
      <c r="V29">
        <v>0</v>
      </c>
      <c r="W29">
        <v>0</v>
      </c>
    </row>
    <row r="30" spans="1:23" x14ac:dyDescent="0.25">
      <c r="A30" s="1">
        <v>43709</v>
      </c>
      <c r="B30" s="1">
        <v>43739</v>
      </c>
      <c r="C30" t="s">
        <v>157</v>
      </c>
      <c r="D30" t="s">
        <v>54</v>
      </c>
      <c r="E30" t="s">
        <v>21</v>
      </c>
      <c r="F30" t="s">
        <v>183</v>
      </c>
      <c r="G30" s="53">
        <v>43748</v>
      </c>
      <c r="H30">
        <v>33</v>
      </c>
      <c r="I30">
        <v>10390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 t="s">
        <v>349</v>
      </c>
      <c r="T30" t="s">
        <v>349</v>
      </c>
      <c r="U30">
        <v>0</v>
      </c>
      <c r="V30">
        <v>0</v>
      </c>
      <c r="W30">
        <v>0</v>
      </c>
    </row>
    <row r="31" spans="1:23" x14ac:dyDescent="0.25">
      <c r="A31" s="1">
        <v>43709</v>
      </c>
      <c r="B31" s="1">
        <v>43739</v>
      </c>
      <c r="C31" t="s">
        <v>157</v>
      </c>
      <c r="D31" t="s">
        <v>54</v>
      </c>
      <c r="E31" t="s">
        <v>21</v>
      </c>
      <c r="F31" t="s">
        <v>183</v>
      </c>
      <c r="G31" s="53">
        <v>43748</v>
      </c>
      <c r="H31">
        <v>33</v>
      </c>
      <c r="I31">
        <v>10390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 t="s">
        <v>349</v>
      </c>
      <c r="T31" t="s">
        <v>349</v>
      </c>
      <c r="U31">
        <v>0</v>
      </c>
      <c r="V31">
        <v>0</v>
      </c>
      <c r="W31">
        <v>0</v>
      </c>
    </row>
    <row r="32" spans="1:23" x14ac:dyDescent="0.25">
      <c r="A32" s="1">
        <v>43739</v>
      </c>
      <c r="B32" s="1">
        <v>43709</v>
      </c>
      <c r="C32" t="s">
        <v>157</v>
      </c>
      <c r="D32" t="s">
        <v>58</v>
      </c>
      <c r="E32" t="s">
        <v>21</v>
      </c>
      <c r="F32" t="s">
        <v>186</v>
      </c>
      <c r="G32" s="53">
        <v>43944.47278935185</v>
      </c>
      <c r="H32">
        <v>61</v>
      </c>
      <c r="I32" t="s">
        <v>349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349</v>
      </c>
      <c r="T32" t="s">
        <v>349</v>
      </c>
      <c r="U32">
        <v>0</v>
      </c>
      <c r="V32">
        <v>5969.53</v>
      </c>
      <c r="W32">
        <v>0</v>
      </c>
    </row>
    <row r="33" spans="1:23" x14ac:dyDescent="0.25">
      <c r="A33" s="1">
        <v>43739</v>
      </c>
      <c r="B33" s="1">
        <v>43709</v>
      </c>
      <c r="C33" t="s">
        <v>157</v>
      </c>
      <c r="D33" t="s">
        <v>58</v>
      </c>
      <c r="E33" t="s">
        <v>21</v>
      </c>
      <c r="F33" t="s">
        <v>190</v>
      </c>
      <c r="G33" s="53">
        <v>43944.47278935185</v>
      </c>
      <c r="H33">
        <v>61</v>
      </c>
      <c r="I33" t="s">
        <v>349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 t="s">
        <v>349</v>
      </c>
      <c r="T33" t="s">
        <v>349</v>
      </c>
      <c r="U33">
        <v>0</v>
      </c>
      <c r="V33">
        <v>6360.2</v>
      </c>
      <c r="W33">
        <v>0</v>
      </c>
    </row>
    <row r="34" spans="1:23" x14ac:dyDescent="0.25">
      <c r="A34" s="1">
        <v>43739</v>
      </c>
      <c r="B34" s="1">
        <v>43739</v>
      </c>
      <c r="C34" t="s">
        <v>157</v>
      </c>
      <c r="D34" t="s">
        <v>54</v>
      </c>
      <c r="E34" t="s">
        <v>21</v>
      </c>
      <c r="F34" t="s">
        <v>183</v>
      </c>
      <c r="G34" s="53">
        <v>43781</v>
      </c>
      <c r="H34">
        <v>33</v>
      </c>
      <c r="I34">
        <v>10809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 t="s">
        <v>349</v>
      </c>
      <c r="T34" t="s">
        <v>349</v>
      </c>
      <c r="U34">
        <v>0</v>
      </c>
      <c r="V34">
        <v>5969.53</v>
      </c>
      <c r="W34">
        <v>0</v>
      </c>
    </row>
    <row r="35" spans="1:23" x14ac:dyDescent="0.25">
      <c r="A35" s="1">
        <v>43739</v>
      </c>
      <c r="B35" s="1">
        <v>43709</v>
      </c>
      <c r="C35" t="s">
        <v>157</v>
      </c>
      <c r="D35" t="s">
        <v>58</v>
      </c>
      <c r="E35" t="s">
        <v>21</v>
      </c>
      <c r="F35" t="s">
        <v>186</v>
      </c>
      <c r="G35" s="53">
        <v>43944.47278935185</v>
      </c>
      <c r="H35">
        <v>61</v>
      </c>
      <c r="I35" t="s">
        <v>349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349</v>
      </c>
      <c r="T35" t="s">
        <v>349</v>
      </c>
      <c r="U35">
        <v>0</v>
      </c>
      <c r="V35">
        <v>6128.55</v>
      </c>
      <c r="W35">
        <v>0</v>
      </c>
    </row>
    <row r="36" spans="1:23" x14ac:dyDescent="0.25">
      <c r="A36" s="1">
        <v>43739</v>
      </c>
      <c r="B36" s="1">
        <v>43709</v>
      </c>
      <c r="C36" t="s">
        <v>157</v>
      </c>
      <c r="D36" t="s">
        <v>58</v>
      </c>
      <c r="E36" t="s">
        <v>21</v>
      </c>
      <c r="F36" t="s">
        <v>190</v>
      </c>
      <c r="G36" s="53">
        <v>43944.47278935185</v>
      </c>
      <c r="H36">
        <v>61</v>
      </c>
      <c r="I36" t="s">
        <v>349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 t="s">
        <v>349</v>
      </c>
      <c r="T36" t="s">
        <v>349</v>
      </c>
      <c r="U36">
        <v>0</v>
      </c>
      <c r="V36">
        <v>6409.16</v>
      </c>
      <c r="W36">
        <v>0</v>
      </c>
    </row>
    <row r="37" spans="1:23" x14ac:dyDescent="0.25">
      <c r="A37" s="1">
        <v>43739</v>
      </c>
      <c r="B37" s="1">
        <v>43739</v>
      </c>
      <c r="C37" t="s">
        <v>157</v>
      </c>
      <c r="D37" t="s">
        <v>54</v>
      </c>
      <c r="E37" t="s">
        <v>21</v>
      </c>
      <c r="F37" t="s">
        <v>183</v>
      </c>
      <c r="G37" s="53">
        <v>43781</v>
      </c>
      <c r="H37">
        <v>33</v>
      </c>
      <c r="I37">
        <v>10809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 t="s">
        <v>349</v>
      </c>
      <c r="T37" t="s">
        <v>349</v>
      </c>
      <c r="U37">
        <v>0</v>
      </c>
      <c r="V37">
        <v>6128.55</v>
      </c>
      <c r="W37">
        <v>0</v>
      </c>
    </row>
    <row r="38" spans="1:23" x14ac:dyDescent="0.25">
      <c r="A38" s="1">
        <v>43739</v>
      </c>
      <c r="B38" s="1">
        <v>43709</v>
      </c>
      <c r="C38" t="s">
        <v>157</v>
      </c>
      <c r="D38" t="s">
        <v>58</v>
      </c>
      <c r="E38" t="s">
        <v>21</v>
      </c>
      <c r="F38" t="s">
        <v>186</v>
      </c>
      <c r="G38" s="53">
        <v>43944.47278935185</v>
      </c>
      <c r="H38">
        <v>61</v>
      </c>
      <c r="I38" t="s">
        <v>349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349</v>
      </c>
      <c r="T38" t="s">
        <v>349</v>
      </c>
      <c r="U38">
        <v>0</v>
      </c>
      <c r="V38">
        <v>5735.8</v>
      </c>
      <c r="W38">
        <v>0</v>
      </c>
    </row>
    <row r="39" spans="1:23" x14ac:dyDescent="0.25">
      <c r="A39" s="1">
        <v>43739</v>
      </c>
      <c r="B39" s="1">
        <v>43709</v>
      </c>
      <c r="C39" t="s">
        <v>157</v>
      </c>
      <c r="D39" t="s">
        <v>58</v>
      </c>
      <c r="E39" t="s">
        <v>21</v>
      </c>
      <c r="F39" t="s">
        <v>190</v>
      </c>
      <c r="G39" s="53">
        <v>43944.47278935185</v>
      </c>
      <c r="H39">
        <v>61</v>
      </c>
      <c r="I39" t="s">
        <v>349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 t="s">
        <v>349</v>
      </c>
      <c r="T39" t="s">
        <v>349</v>
      </c>
      <c r="U39">
        <v>0</v>
      </c>
      <c r="V39">
        <v>6046.73</v>
      </c>
      <c r="W39">
        <v>0</v>
      </c>
    </row>
    <row r="40" spans="1:23" x14ac:dyDescent="0.25">
      <c r="A40" s="1">
        <v>43739</v>
      </c>
      <c r="B40" s="1">
        <v>43739</v>
      </c>
      <c r="C40" t="s">
        <v>157</v>
      </c>
      <c r="D40" t="s">
        <v>54</v>
      </c>
      <c r="E40" t="s">
        <v>21</v>
      </c>
      <c r="F40" t="s">
        <v>183</v>
      </c>
      <c r="G40" s="53">
        <v>43781</v>
      </c>
      <c r="H40">
        <v>33</v>
      </c>
      <c r="I40">
        <v>10809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 t="s">
        <v>349</v>
      </c>
      <c r="T40" t="s">
        <v>349</v>
      </c>
      <c r="U40">
        <v>0</v>
      </c>
      <c r="V40">
        <v>5735.8</v>
      </c>
      <c r="W40">
        <v>0</v>
      </c>
    </row>
    <row r="41" spans="1:23" x14ac:dyDescent="0.25">
      <c r="A41" s="1">
        <v>43739</v>
      </c>
      <c r="B41" s="1">
        <v>43709</v>
      </c>
      <c r="C41" t="s">
        <v>157</v>
      </c>
      <c r="D41" t="s">
        <v>58</v>
      </c>
      <c r="E41" t="s">
        <v>21</v>
      </c>
      <c r="F41" t="s">
        <v>186</v>
      </c>
      <c r="G41" s="53">
        <v>43944.47278935185</v>
      </c>
      <c r="H41">
        <v>61</v>
      </c>
      <c r="I41" t="s">
        <v>349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349</v>
      </c>
      <c r="T41" t="s">
        <v>349</v>
      </c>
      <c r="U41">
        <v>0</v>
      </c>
      <c r="V41">
        <v>5821.34</v>
      </c>
      <c r="W41">
        <v>0</v>
      </c>
    </row>
    <row r="42" spans="1:23" x14ac:dyDescent="0.25">
      <c r="A42" s="1">
        <v>43739</v>
      </c>
      <c r="B42" s="1">
        <v>43709</v>
      </c>
      <c r="C42" t="s">
        <v>157</v>
      </c>
      <c r="D42" t="s">
        <v>58</v>
      </c>
      <c r="E42" t="s">
        <v>21</v>
      </c>
      <c r="F42" t="s">
        <v>190</v>
      </c>
      <c r="G42" s="53">
        <v>43944.47278935185</v>
      </c>
      <c r="H42">
        <v>61</v>
      </c>
      <c r="I42" t="s">
        <v>349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 t="s">
        <v>349</v>
      </c>
      <c r="T42" t="s">
        <v>349</v>
      </c>
      <c r="U42">
        <v>0</v>
      </c>
      <c r="V42">
        <v>6160.55</v>
      </c>
      <c r="W42">
        <v>0</v>
      </c>
    </row>
    <row r="43" spans="1:23" x14ac:dyDescent="0.25">
      <c r="A43" s="1">
        <v>43739</v>
      </c>
      <c r="B43" s="1">
        <v>43739</v>
      </c>
      <c r="C43" t="s">
        <v>157</v>
      </c>
      <c r="D43" t="s">
        <v>54</v>
      </c>
      <c r="E43" t="s">
        <v>21</v>
      </c>
      <c r="F43" t="s">
        <v>183</v>
      </c>
      <c r="G43" s="53">
        <v>43781</v>
      </c>
      <c r="H43">
        <v>33</v>
      </c>
      <c r="I43">
        <v>10809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 t="s">
        <v>349</v>
      </c>
      <c r="T43" t="s">
        <v>349</v>
      </c>
      <c r="U43">
        <v>0</v>
      </c>
      <c r="V43">
        <v>5821.34</v>
      </c>
      <c r="W43">
        <v>0</v>
      </c>
    </row>
    <row r="44" spans="1:23" x14ac:dyDescent="0.25">
      <c r="A44" s="1">
        <v>43739</v>
      </c>
      <c r="B44" s="1">
        <v>43709</v>
      </c>
      <c r="C44" t="s">
        <v>157</v>
      </c>
      <c r="D44" t="s">
        <v>58</v>
      </c>
      <c r="E44" t="s">
        <v>21</v>
      </c>
      <c r="F44" t="s">
        <v>190</v>
      </c>
      <c r="G44" s="53">
        <v>43944.47278935185</v>
      </c>
      <c r="H44">
        <v>61</v>
      </c>
      <c r="I44" t="s">
        <v>349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349</v>
      </c>
      <c r="T44" t="s">
        <v>349</v>
      </c>
      <c r="U44">
        <v>0</v>
      </c>
      <c r="V44">
        <v>5634.08</v>
      </c>
      <c r="W44">
        <v>0</v>
      </c>
    </row>
    <row r="45" spans="1:23" x14ac:dyDescent="0.25">
      <c r="A45" s="1">
        <v>43739</v>
      </c>
      <c r="B45" s="1">
        <v>43709</v>
      </c>
      <c r="C45" t="s">
        <v>157</v>
      </c>
      <c r="D45" t="s">
        <v>58</v>
      </c>
      <c r="E45" t="s">
        <v>21</v>
      </c>
      <c r="F45" t="s">
        <v>186</v>
      </c>
      <c r="G45" s="53">
        <v>43944.47278935185</v>
      </c>
      <c r="H45">
        <v>61</v>
      </c>
      <c r="I45" t="s">
        <v>349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 t="s">
        <v>349</v>
      </c>
      <c r="T45" t="s">
        <v>349</v>
      </c>
      <c r="U45">
        <v>0</v>
      </c>
      <c r="V45">
        <v>6082.17</v>
      </c>
      <c r="W45">
        <v>0</v>
      </c>
    </row>
    <row r="46" spans="1:23" x14ac:dyDescent="0.25">
      <c r="A46" s="1">
        <v>43739</v>
      </c>
      <c r="B46" s="1">
        <v>43739</v>
      </c>
      <c r="C46" t="s">
        <v>157</v>
      </c>
      <c r="D46" t="s">
        <v>54</v>
      </c>
      <c r="E46" t="s">
        <v>21</v>
      </c>
      <c r="F46" t="s">
        <v>183</v>
      </c>
      <c r="G46" s="53">
        <v>43781</v>
      </c>
      <c r="H46">
        <v>33</v>
      </c>
      <c r="I46">
        <v>10809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 t="s">
        <v>349</v>
      </c>
      <c r="T46" t="s">
        <v>349</v>
      </c>
      <c r="U46">
        <v>0</v>
      </c>
      <c r="V46">
        <v>6082.17</v>
      </c>
      <c r="W46">
        <v>0</v>
      </c>
    </row>
    <row r="47" spans="1:23" x14ac:dyDescent="0.25">
      <c r="A47" s="1">
        <v>43770</v>
      </c>
      <c r="B47" s="1">
        <v>43770</v>
      </c>
      <c r="C47" t="s">
        <v>157</v>
      </c>
      <c r="D47" t="s">
        <v>54</v>
      </c>
      <c r="E47" t="s">
        <v>21</v>
      </c>
      <c r="F47" t="s">
        <v>191</v>
      </c>
      <c r="G47" s="53">
        <v>43805</v>
      </c>
      <c r="H47">
        <v>33</v>
      </c>
      <c r="I47">
        <v>11167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349</v>
      </c>
      <c r="T47" t="s">
        <v>349</v>
      </c>
      <c r="U47">
        <v>0</v>
      </c>
      <c r="V47">
        <v>5969.53</v>
      </c>
      <c r="W47">
        <v>0</v>
      </c>
    </row>
    <row r="48" spans="1:23" x14ac:dyDescent="0.25">
      <c r="A48" s="1">
        <v>43770</v>
      </c>
      <c r="B48" s="1">
        <v>43770</v>
      </c>
      <c r="C48" t="s">
        <v>157</v>
      </c>
      <c r="D48" t="s">
        <v>54</v>
      </c>
      <c r="E48" t="s">
        <v>21</v>
      </c>
      <c r="F48" t="s">
        <v>191</v>
      </c>
      <c r="G48" s="53">
        <v>43805</v>
      </c>
      <c r="H48">
        <v>33</v>
      </c>
      <c r="I48">
        <v>11167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2</v>
      </c>
      <c r="R48" t="s">
        <v>94</v>
      </c>
      <c r="S48" t="s">
        <v>349</v>
      </c>
      <c r="T48" t="s">
        <v>349</v>
      </c>
      <c r="U48">
        <v>0</v>
      </c>
      <c r="V48">
        <v>6128.55</v>
      </c>
      <c r="W48">
        <v>0</v>
      </c>
    </row>
    <row r="49" spans="1:23" x14ac:dyDescent="0.25">
      <c r="A49" s="1">
        <v>43770</v>
      </c>
      <c r="B49" s="1">
        <v>43770</v>
      </c>
      <c r="C49" t="s">
        <v>157</v>
      </c>
      <c r="D49" t="s">
        <v>54</v>
      </c>
      <c r="E49" t="s">
        <v>21</v>
      </c>
      <c r="F49" t="s">
        <v>191</v>
      </c>
      <c r="G49" s="53">
        <v>43805</v>
      </c>
      <c r="H49">
        <v>33</v>
      </c>
      <c r="I49">
        <v>11167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3</v>
      </c>
      <c r="R49" t="s">
        <v>81</v>
      </c>
      <c r="S49" t="s">
        <v>349</v>
      </c>
      <c r="T49" t="s">
        <v>349</v>
      </c>
      <c r="U49">
        <v>0</v>
      </c>
      <c r="V49">
        <v>5735.8</v>
      </c>
      <c r="W49">
        <v>0</v>
      </c>
    </row>
    <row r="50" spans="1:23" x14ac:dyDescent="0.25">
      <c r="A50" s="1">
        <v>43770</v>
      </c>
      <c r="B50" s="1">
        <v>43770</v>
      </c>
      <c r="C50" t="s">
        <v>157</v>
      </c>
      <c r="D50" t="s">
        <v>54</v>
      </c>
      <c r="E50" t="s">
        <v>21</v>
      </c>
      <c r="F50" t="s">
        <v>191</v>
      </c>
      <c r="G50" s="53">
        <v>43805</v>
      </c>
      <c r="H50">
        <v>33</v>
      </c>
      <c r="I50">
        <v>11167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4</v>
      </c>
      <c r="R50" t="s">
        <v>27</v>
      </c>
      <c r="S50" t="s">
        <v>349</v>
      </c>
      <c r="T50" t="s">
        <v>349</v>
      </c>
      <c r="U50">
        <v>0</v>
      </c>
      <c r="V50">
        <v>5821.34</v>
      </c>
      <c r="W50">
        <v>0</v>
      </c>
    </row>
    <row r="51" spans="1:23" x14ac:dyDescent="0.25">
      <c r="A51" s="1">
        <v>43770</v>
      </c>
      <c r="B51" s="1">
        <v>43770</v>
      </c>
      <c r="C51" t="s">
        <v>157</v>
      </c>
      <c r="D51" t="s">
        <v>54</v>
      </c>
      <c r="E51" t="s">
        <v>21</v>
      </c>
      <c r="F51" t="s">
        <v>191</v>
      </c>
      <c r="G51" s="53">
        <v>43805</v>
      </c>
      <c r="H51">
        <v>33</v>
      </c>
      <c r="I51">
        <v>11167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 t="s">
        <v>349</v>
      </c>
      <c r="T51" t="s">
        <v>349</v>
      </c>
      <c r="U51">
        <v>0</v>
      </c>
      <c r="V51">
        <v>6082.17</v>
      </c>
      <c r="W51">
        <v>0</v>
      </c>
    </row>
    <row r="52" spans="1:23" x14ac:dyDescent="0.25">
      <c r="A52" s="1">
        <v>43800</v>
      </c>
      <c r="B52" s="1">
        <v>43800</v>
      </c>
      <c r="C52" t="s">
        <v>157</v>
      </c>
      <c r="D52" t="s">
        <v>54</v>
      </c>
      <c r="E52" t="s">
        <v>21</v>
      </c>
      <c r="F52" t="s">
        <v>195</v>
      </c>
      <c r="G52" s="53">
        <v>43837</v>
      </c>
      <c r="H52">
        <v>33</v>
      </c>
      <c r="I52">
        <v>11902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 t="s">
        <v>349</v>
      </c>
      <c r="T52" t="s">
        <v>349</v>
      </c>
      <c r="U52">
        <v>0</v>
      </c>
      <c r="V52">
        <v>5969.53</v>
      </c>
      <c r="W52">
        <v>0</v>
      </c>
    </row>
    <row r="53" spans="1:23" x14ac:dyDescent="0.25">
      <c r="A53" s="1">
        <v>43800</v>
      </c>
      <c r="B53" s="1">
        <v>43800</v>
      </c>
      <c r="C53" t="s">
        <v>157</v>
      </c>
      <c r="D53" t="s">
        <v>54</v>
      </c>
      <c r="E53" t="s">
        <v>21</v>
      </c>
      <c r="F53" t="s">
        <v>195</v>
      </c>
      <c r="G53" s="53">
        <v>43837</v>
      </c>
      <c r="H53">
        <v>33</v>
      </c>
      <c r="I53">
        <v>11902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2</v>
      </c>
      <c r="R53" t="s">
        <v>94</v>
      </c>
      <c r="S53" t="s">
        <v>349</v>
      </c>
      <c r="T53" t="s">
        <v>349</v>
      </c>
      <c r="U53">
        <v>0</v>
      </c>
      <c r="V53">
        <v>6128.55</v>
      </c>
      <c r="W53">
        <v>0</v>
      </c>
    </row>
    <row r="54" spans="1:23" x14ac:dyDescent="0.25">
      <c r="A54" s="1">
        <v>43800</v>
      </c>
      <c r="B54" s="1">
        <v>43800</v>
      </c>
      <c r="C54" t="s">
        <v>157</v>
      </c>
      <c r="D54" t="s">
        <v>54</v>
      </c>
      <c r="E54" t="s">
        <v>21</v>
      </c>
      <c r="F54" t="s">
        <v>195</v>
      </c>
      <c r="G54" s="53">
        <v>43837</v>
      </c>
      <c r="H54">
        <v>33</v>
      </c>
      <c r="I54">
        <v>11902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 t="s">
        <v>349</v>
      </c>
      <c r="T54" t="s">
        <v>349</v>
      </c>
      <c r="U54">
        <v>0</v>
      </c>
      <c r="V54">
        <v>5735.8</v>
      </c>
      <c r="W54">
        <v>0</v>
      </c>
    </row>
    <row r="55" spans="1:23" x14ac:dyDescent="0.25">
      <c r="A55" s="1">
        <v>43800</v>
      </c>
      <c r="B55" s="1">
        <v>43800</v>
      </c>
      <c r="C55" t="s">
        <v>157</v>
      </c>
      <c r="D55" t="s">
        <v>54</v>
      </c>
      <c r="E55" t="s">
        <v>21</v>
      </c>
      <c r="F55" t="s">
        <v>195</v>
      </c>
      <c r="G55" s="53">
        <v>43837</v>
      </c>
      <c r="H55">
        <v>33</v>
      </c>
      <c r="I55">
        <v>11902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4</v>
      </c>
      <c r="R55" t="s">
        <v>27</v>
      </c>
      <c r="S55" t="s">
        <v>349</v>
      </c>
      <c r="T55" t="s">
        <v>349</v>
      </c>
      <c r="U55">
        <v>0</v>
      </c>
      <c r="V55">
        <v>5821.34</v>
      </c>
      <c r="W55">
        <v>0</v>
      </c>
    </row>
    <row r="56" spans="1:23" x14ac:dyDescent="0.25">
      <c r="A56" s="1">
        <v>43800</v>
      </c>
      <c r="B56" s="1">
        <v>43800</v>
      </c>
      <c r="C56" t="s">
        <v>157</v>
      </c>
      <c r="D56" t="s">
        <v>54</v>
      </c>
      <c r="E56" t="s">
        <v>21</v>
      </c>
      <c r="F56" t="s">
        <v>195</v>
      </c>
      <c r="G56" s="53">
        <v>43837</v>
      </c>
      <c r="H56">
        <v>33</v>
      </c>
      <c r="I56">
        <v>11902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5</v>
      </c>
      <c r="R56" t="s">
        <v>28</v>
      </c>
      <c r="S56" t="s">
        <v>349</v>
      </c>
      <c r="T56" t="s">
        <v>349</v>
      </c>
      <c r="U56">
        <v>0</v>
      </c>
      <c r="V56">
        <v>6082.17</v>
      </c>
      <c r="W56">
        <v>0</v>
      </c>
    </row>
    <row r="57" spans="1:23" x14ac:dyDescent="0.25">
      <c r="A57" s="1">
        <v>43831</v>
      </c>
      <c r="B57" s="1">
        <v>43831</v>
      </c>
      <c r="C57" t="s">
        <v>157</v>
      </c>
      <c r="D57" t="s">
        <v>54</v>
      </c>
      <c r="E57" t="s">
        <v>21</v>
      </c>
      <c r="F57" t="s">
        <v>199</v>
      </c>
      <c r="G57" s="53">
        <v>43910.518553240741</v>
      </c>
      <c r="H57">
        <v>33</v>
      </c>
      <c r="I57">
        <v>13159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1</v>
      </c>
      <c r="R57" t="s">
        <v>83</v>
      </c>
      <c r="S57" t="s">
        <v>349</v>
      </c>
      <c r="T57" t="s">
        <v>349</v>
      </c>
      <c r="U57">
        <v>0</v>
      </c>
      <c r="V57">
        <v>5969.53</v>
      </c>
      <c r="W57">
        <v>0</v>
      </c>
    </row>
    <row r="58" spans="1:23" x14ac:dyDescent="0.25">
      <c r="A58" s="1">
        <v>43831</v>
      </c>
      <c r="B58" s="1">
        <v>43831</v>
      </c>
      <c r="C58" t="s">
        <v>157</v>
      </c>
      <c r="D58" t="s">
        <v>54</v>
      </c>
      <c r="E58" t="s">
        <v>21</v>
      </c>
      <c r="F58" t="s">
        <v>199</v>
      </c>
      <c r="G58" s="53">
        <v>43910.518553240741</v>
      </c>
      <c r="H58">
        <v>33</v>
      </c>
      <c r="I58">
        <v>13159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2</v>
      </c>
      <c r="R58" t="s">
        <v>94</v>
      </c>
      <c r="S58" t="s">
        <v>349</v>
      </c>
      <c r="T58" t="s">
        <v>349</v>
      </c>
      <c r="U58">
        <v>0</v>
      </c>
      <c r="V58">
        <v>6128.55</v>
      </c>
      <c r="W58">
        <v>0</v>
      </c>
    </row>
    <row r="59" spans="1:23" x14ac:dyDescent="0.25">
      <c r="A59" s="1">
        <v>43831</v>
      </c>
      <c r="B59" s="1">
        <v>43831</v>
      </c>
      <c r="C59" t="s">
        <v>157</v>
      </c>
      <c r="D59" t="s">
        <v>54</v>
      </c>
      <c r="E59" t="s">
        <v>21</v>
      </c>
      <c r="F59" t="s">
        <v>199</v>
      </c>
      <c r="G59" s="53">
        <v>43910.518553240741</v>
      </c>
      <c r="H59">
        <v>33</v>
      </c>
      <c r="I59">
        <v>13159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3</v>
      </c>
      <c r="R59" t="s">
        <v>81</v>
      </c>
      <c r="S59" t="s">
        <v>349</v>
      </c>
      <c r="T59" t="s">
        <v>349</v>
      </c>
      <c r="U59">
        <v>0</v>
      </c>
      <c r="V59">
        <v>5735.8</v>
      </c>
      <c r="W59">
        <v>0</v>
      </c>
    </row>
    <row r="60" spans="1:23" x14ac:dyDescent="0.25">
      <c r="A60" s="1">
        <v>43831</v>
      </c>
      <c r="B60" s="1">
        <v>43831</v>
      </c>
      <c r="C60" t="s">
        <v>157</v>
      </c>
      <c r="D60" t="s">
        <v>54</v>
      </c>
      <c r="E60" t="s">
        <v>21</v>
      </c>
      <c r="F60" t="s">
        <v>199</v>
      </c>
      <c r="G60" s="53">
        <v>43910.518553240741</v>
      </c>
      <c r="H60">
        <v>33</v>
      </c>
      <c r="I60">
        <v>13159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4</v>
      </c>
      <c r="R60" t="s">
        <v>27</v>
      </c>
      <c r="S60" t="s">
        <v>349</v>
      </c>
      <c r="T60" t="s">
        <v>349</v>
      </c>
      <c r="U60">
        <v>0</v>
      </c>
      <c r="V60">
        <v>5821.34</v>
      </c>
      <c r="W60">
        <v>0</v>
      </c>
    </row>
    <row r="61" spans="1:23" x14ac:dyDescent="0.25">
      <c r="A61" s="1">
        <v>43831</v>
      </c>
      <c r="B61" s="1">
        <v>43831</v>
      </c>
      <c r="C61" t="s">
        <v>157</v>
      </c>
      <c r="D61" t="s">
        <v>54</v>
      </c>
      <c r="E61" t="s">
        <v>21</v>
      </c>
      <c r="F61" t="s">
        <v>199</v>
      </c>
      <c r="G61" s="53">
        <v>43910.518553240741</v>
      </c>
      <c r="H61">
        <v>33</v>
      </c>
      <c r="I61">
        <v>13159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 t="s">
        <v>349</v>
      </c>
      <c r="T61" t="s">
        <v>349</v>
      </c>
      <c r="U61">
        <v>0</v>
      </c>
      <c r="V61">
        <v>6082.17</v>
      </c>
      <c r="W61">
        <v>0</v>
      </c>
    </row>
    <row r="62" spans="1:23" x14ac:dyDescent="0.25">
      <c r="A62" s="1">
        <v>43862</v>
      </c>
      <c r="B62" s="1">
        <v>43862</v>
      </c>
      <c r="C62" t="s">
        <v>157</v>
      </c>
      <c r="D62" t="s">
        <v>54</v>
      </c>
      <c r="E62" t="s">
        <v>21</v>
      </c>
      <c r="F62" t="s">
        <v>203</v>
      </c>
      <c r="G62" s="53">
        <v>43902.628391203703</v>
      </c>
      <c r="H62">
        <v>33</v>
      </c>
      <c r="I62">
        <v>13209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349</v>
      </c>
      <c r="T62" t="s">
        <v>349</v>
      </c>
      <c r="U62">
        <v>0</v>
      </c>
      <c r="V62">
        <v>6208.06</v>
      </c>
      <c r="W62">
        <v>0</v>
      </c>
    </row>
    <row r="63" spans="1:23" x14ac:dyDescent="0.25">
      <c r="A63" s="1">
        <v>43862</v>
      </c>
      <c r="B63" s="1">
        <v>43862</v>
      </c>
      <c r="C63" t="s">
        <v>157</v>
      </c>
      <c r="D63" t="s">
        <v>54</v>
      </c>
      <c r="E63" t="s">
        <v>21</v>
      </c>
      <c r="F63" t="s">
        <v>203</v>
      </c>
      <c r="G63" s="53">
        <v>43902.628391203703</v>
      </c>
      <c r="H63">
        <v>33</v>
      </c>
      <c r="I63">
        <v>13209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2</v>
      </c>
      <c r="R63" t="s">
        <v>94</v>
      </c>
      <c r="S63" t="s">
        <v>349</v>
      </c>
      <c r="T63" t="s">
        <v>349</v>
      </c>
      <c r="U63">
        <v>0</v>
      </c>
      <c r="V63">
        <v>6283.67</v>
      </c>
      <c r="W63">
        <v>0</v>
      </c>
    </row>
    <row r="64" spans="1:23" x14ac:dyDescent="0.25">
      <c r="A64" s="1">
        <v>43862</v>
      </c>
      <c r="B64" s="1">
        <v>43862</v>
      </c>
      <c r="C64" t="s">
        <v>157</v>
      </c>
      <c r="D64" t="s">
        <v>54</v>
      </c>
      <c r="E64" t="s">
        <v>21</v>
      </c>
      <c r="F64" t="s">
        <v>203</v>
      </c>
      <c r="G64" s="53">
        <v>43902.628391203703</v>
      </c>
      <c r="H64">
        <v>33</v>
      </c>
      <c r="I64">
        <v>13209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3</v>
      </c>
      <c r="R64" t="s">
        <v>81</v>
      </c>
      <c r="S64" t="s">
        <v>349</v>
      </c>
      <c r="T64" t="s">
        <v>349</v>
      </c>
      <c r="U64">
        <v>0</v>
      </c>
      <c r="V64">
        <v>5891.37</v>
      </c>
      <c r="W64">
        <v>0</v>
      </c>
    </row>
    <row r="65" spans="1:23" x14ac:dyDescent="0.25">
      <c r="A65" s="1">
        <v>43862</v>
      </c>
      <c r="B65" s="1">
        <v>43862</v>
      </c>
      <c r="C65" t="s">
        <v>157</v>
      </c>
      <c r="D65" t="s">
        <v>54</v>
      </c>
      <c r="E65" t="s">
        <v>21</v>
      </c>
      <c r="F65" t="s">
        <v>203</v>
      </c>
      <c r="G65" s="53">
        <v>43902.628391203703</v>
      </c>
      <c r="H65">
        <v>33</v>
      </c>
      <c r="I65">
        <v>13209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4</v>
      </c>
      <c r="R65" t="s">
        <v>27</v>
      </c>
      <c r="S65" t="s">
        <v>349</v>
      </c>
      <c r="T65" t="s">
        <v>349</v>
      </c>
      <c r="U65">
        <v>0</v>
      </c>
      <c r="V65">
        <v>6091.55</v>
      </c>
      <c r="W65">
        <v>0</v>
      </c>
    </row>
    <row r="66" spans="1:23" x14ac:dyDescent="0.25">
      <c r="A66" s="1">
        <v>43862</v>
      </c>
      <c r="B66" s="1">
        <v>43862</v>
      </c>
      <c r="C66" t="s">
        <v>157</v>
      </c>
      <c r="D66" t="s">
        <v>54</v>
      </c>
      <c r="E66" t="s">
        <v>21</v>
      </c>
      <c r="F66" t="s">
        <v>203</v>
      </c>
      <c r="G66" s="53">
        <v>43902.628391203703</v>
      </c>
      <c r="H66">
        <v>33</v>
      </c>
      <c r="I66">
        <v>13209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5</v>
      </c>
      <c r="R66" t="s">
        <v>28</v>
      </c>
      <c r="S66" t="s">
        <v>349</v>
      </c>
      <c r="T66" t="s">
        <v>349</v>
      </c>
      <c r="U66">
        <v>0</v>
      </c>
      <c r="V66">
        <v>5908.1</v>
      </c>
      <c r="W66">
        <v>0</v>
      </c>
    </row>
    <row r="67" spans="1:23" x14ac:dyDescent="0.25">
      <c r="A67" s="1">
        <v>43891</v>
      </c>
      <c r="B67" s="1">
        <v>43891</v>
      </c>
      <c r="C67" t="s">
        <v>157</v>
      </c>
      <c r="D67" t="s">
        <v>54</v>
      </c>
      <c r="E67" t="s">
        <v>21</v>
      </c>
      <c r="F67" t="s">
        <v>206</v>
      </c>
      <c r="G67" s="53">
        <v>43928.620706018519</v>
      </c>
      <c r="H67">
        <v>33</v>
      </c>
      <c r="I67">
        <v>13219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1</v>
      </c>
      <c r="R67" t="s">
        <v>83</v>
      </c>
      <c r="S67" t="s">
        <v>349</v>
      </c>
      <c r="T67" t="s">
        <v>349</v>
      </c>
      <c r="U67">
        <v>0</v>
      </c>
      <c r="V67">
        <v>6208.06</v>
      </c>
      <c r="W67">
        <v>0</v>
      </c>
    </row>
    <row r="68" spans="1:23" x14ac:dyDescent="0.25">
      <c r="A68" s="1">
        <v>43891</v>
      </c>
      <c r="B68" s="1">
        <v>43891</v>
      </c>
      <c r="C68" t="s">
        <v>157</v>
      </c>
      <c r="D68" t="s">
        <v>54</v>
      </c>
      <c r="E68" t="s">
        <v>21</v>
      </c>
      <c r="F68" t="s">
        <v>206</v>
      </c>
      <c r="G68" s="53">
        <v>43928.620706018519</v>
      </c>
      <c r="H68">
        <v>33</v>
      </c>
      <c r="I68">
        <v>13219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2</v>
      </c>
      <c r="R68" t="s">
        <v>94</v>
      </c>
      <c r="S68" t="s">
        <v>349</v>
      </c>
      <c r="T68" t="s">
        <v>349</v>
      </c>
      <c r="U68">
        <v>0</v>
      </c>
      <c r="V68">
        <v>6283.67</v>
      </c>
      <c r="W68">
        <v>0</v>
      </c>
    </row>
    <row r="69" spans="1:23" x14ac:dyDescent="0.25">
      <c r="A69" s="1">
        <v>43891</v>
      </c>
      <c r="B69" s="1">
        <v>43891</v>
      </c>
      <c r="C69" t="s">
        <v>157</v>
      </c>
      <c r="D69" t="s">
        <v>54</v>
      </c>
      <c r="E69" t="s">
        <v>21</v>
      </c>
      <c r="F69" t="s">
        <v>206</v>
      </c>
      <c r="G69" s="53">
        <v>43928.620706018519</v>
      </c>
      <c r="H69">
        <v>33</v>
      </c>
      <c r="I69">
        <v>13219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 t="s">
        <v>349</v>
      </c>
      <c r="T69" t="s">
        <v>349</v>
      </c>
      <c r="U69">
        <v>0</v>
      </c>
      <c r="V69">
        <v>5891.37</v>
      </c>
      <c r="W69">
        <v>0</v>
      </c>
    </row>
    <row r="70" spans="1:23" x14ac:dyDescent="0.25">
      <c r="A70" s="1">
        <v>43891</v>
      </c>
      <c r="B70" s="1">
        <v>43891</v>
      </c>
      <c r="C70" t="s">
        <v>157</v>
      </c>
      <c r="D70" t="s">
        <v>54</v>
      </c>
      <c r="E70" t="s">
        <v>21</v>
      </c>
      <c r="F70" t="s">
        <v>206</v>
      </c>
      <c r="G70" s="53">
        <v>43928.620706018519</v>
      </c>
      <c r="H70">
        <v>33</v>
      </c>
      <c r="I70">
        <v>13219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4</v>
      </c>
      <c r="R70" t="s">
        <v>27</v>
      </c>
      <c r="S70" t="s">
        <v>349</v>
      </c>
      <c r="T70" t="s">
        <v>349</v>
      </c>
      <c r="U70">
        <v>0</v>
      </c>
      <c r="V70">
        <v>6091.55</v>
      </c>
      <c r="W70">
        <v>0</v>
      </c>
    </row>
    <row r="71" spans="1:23" x14ac:dyDescent="0.25">
      <c r="A71" s="1">
        <v>43891</v>
      </c>
      <c r="B71" s="1">
        <v>43891</v>
      </c>
      <c r="C71" t="s">
        <v>157</v>
      </c>
      <c r="D71" t="s">
        <v>54</v>
      </c>
      <c r="E71" t="s">
        <v>21</v>
      </c>
      <c r="F71" t="s">
        <v>206</v>
      </c>
      <c r="G71" s="53">
        <v>43928.620706018519</v>
      </c>
      <c r="H71">
        <v>33</v>
      </c>
      <c r="I71">
        <v>13219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5</v>
      </c>
      <c r="R71" t="s">
        <v>28</v>
      </c>
      <c r="S71" t="s">
        <v>349</v>
      </c>
      <c r="T71" t="s">
        <v>349</v>
      </c>
      <c r="U71">
        <v>0</v>
      </c>
      <c r="V71">
        <v>5908.1</v>
      </c>
      <c r="W71">
        <v>0</v>
      </c>
    </row>
    <row r="72" spans="1:23" x14ac:dyDescent="0.25">
      <c r="A72" s="1">
        <v>43922</v>
      </c>
      <c r="B72" s="1">
        <v>43922</v>
      </c>
      <c r="C72" t="s">
        <v>157</v>
      </c>
      <c r="D72" t="s">
        <v>54</v>
      </c>
      <c r="E72" t="s">
        <v>21</v>
      </c>
      <c r="F72" t="s">
        <v>212</v>
      </c>
      <c r="G72" s="53">
        <v>43959.644641203704</v>
      </c>
      <c r="H72">
        <v>33</v>
      </c>
      <c r="I72">
        <v>13722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1</v>
      </c>
      <c r="R72" t="s">
        <v>83</v>
      </c>
      <c r="S72" t="s">
        <v>349</v>
      </c>
      <c r="T72" t="s">
        <v>349</v>
      </c>
      <c r="U72">
        <v>0</v>
      </c>
      <c r="V72">
        <v>6077.2</v>
      </c>
      <c r="W72">
        <v>0</v>
      </c>
    </row>
    <row r="73" spans="1:23" x14ac:dyDescent="0.25">
      <c r="A73" s="1">
        <v>43922</v>
      </c>
      <c r="B73" s="1">
        <v>43922</v>
      </c>
      <c r="C73" t="s">
        <v>157</v>
      </c>
      <c r="D73" t="s">
        <v>54</v>
      </c>
      <c r="E73" t="s">
        <v>21</v>
      </c>
      <c r="F73" t="s">
        <v>212</v>
      </c>
      <c r="G73" s="53">
        <v>43959.644641203704</v>
      </c>
      <c r="H73">
        <v>33</v>
      </c>
      <c r="I73">
        <v>13722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 t="s">
        <v>349</v>
      </c>
      <c r="T73" t="s">
        <v>349</v>
      </c>
      <c r="U73">
        <v>0</v>
      </c>
      <c r="V73">
        <v>6151.21</v>
      </c>
      <c r="W73">
        <v>0</v>
      </c>
    </row>
    <row r="74" spans="1:23" x14ac:dyDescent="0.25">
      <c r="A74" s="1">
        <v>43922</v>
      </c>
      <c r="B74" s="1">
        <v>43922</v>
      </c>
      <c r="C74" t="s">
        <v>157</v>
      </c>
      <c r="D74" t="s">
        <v>54</v>
      </c>
      <c r="E74" t="s">
        <v>21</v>
      </c>
      <c r="F74" t="s">
        <v>212</v>
      </c>
      <c r="G74" s="53">
        <v>43959.644641203704</v>
      </c>
      <c r="H74">
        <v>33</v>
      </c>
      <c r="I74">
        <v>13722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 t="s">
        <v>349</v>
      </c>
      <c r="T74" t="s">
        <v>349</v>
      </c>
      <c r="U74">
        <v>0</v>
      </c>
      <c r="V74">
        <v>5767.18</v>
      </c>
      <c r="W74">
        <v>0</v>
      </c>
    </row>
    <row r="75" spans="1:23" x14ac:dyDescent="0.25">
      <c r="A75" s="1">
        <v>43922</v>
      </c>
      <c r="B75" s="1">
        <v>43922</v>
      </c>
      <c r="C75" t="s">
        <v>157</v>
      </c>
      <c r="D75" t="s">
        <v>54</v>
      </c>
      <c r="E75" t="s">
        <v>21</v>
      </c>
      <c r="F75" t="s">
        <v>212</v>
      </c>
      <c r="G75" s="53">
        <v>43959.644641203704</v>
      </c>
      <c r="H75">
        <v>33</v>
      </c>
      <c r="I75">
        <v>13722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4</v>
      </c>
      <c r="R75" t="s">
        <v>27</v>
      </c>
      <c r="S75" t="s">
        <v>349</v>
      </c>
      <c r="T75" t="s">
        <v>349</v>
      </c>
      <c r="U75">
        <v>0</v>
      </c>
      <c r="V75">
        <v>5963.14</v>
      </c>
      <c r="W75">
        <v>0</v>
      </c>
    </row>
    <row r="76" spans="1:23" x14ac:dyDescent="0.25">
      <c r="A76" s="1">
        <v>43922</v>
      </c>
      <c r="B76" s="1">
        <v>43922</v>
      </c>
      <c r="C76" t="s">
        <v>157</v>
      </c>
      <c r="D76" t="s">
        <v>54</v>
      </c>
      <c r="E76" t="s">
        <v>21</v>
      </c>
      <c r="F76" t="s">
        <v>212</v>
      </c>
      <c r="G76" s="53">
        <v>43959.644641203704</v>
      </c>
      <c r="H76">
        <v>33</v>
      </c>
      <c r="I76">
        <v>13722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 t="s">
        <v>349</v>
      </c>
      <c r="T76" t="s">
        <v>349</v>
      </c>
      <c r="U76">
        <v>0</v>
      </c>
      <c r="V76">
        <v>5783.56</v>
      </c>
      <c r="W76">
        <v>0</v>
      </c>
    </row>
    <row r="77" spans="1:23" x14ac:dyDescent="0.25">
      <c r="A77" s="1">
        <v>43952</v>
      </c>
      <c r="B77" s="1">
        <v>43952</v>
      </c>
      <c r="C77" t="s">
        <v>157</v>
      </c>
      <c r="D77" t="s">
        <v>54</v>
      </c>
      <c r="E77" t="s">
        <v>21</v>
      </c>
      <c r="F77" t="s">
        <v>221</v>
      </c>
      <c r="G77" s="53">
        <v>43987.496550925927</v>
      </c>
      <c r="H77">
        <v>33</v>
      </c>
      <c r="I77">
        <v>14013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349</v>
      </c>
      <c r="T77" t="s">
        <v>349</v>
      </c>
      <c r="U77">
        <v>0</v>
      </c>
      <c r="V77">
        <v>6077.2</v>
      </c>
      <c r="W77">
        <v>0</v>
      </c>
    </row>
    <row r="78" spans="1:23" x14ac:dyDescent="0.25">
      <c r="A78" s="1">
        <v>43952</v>
      </c>
      <c r="B78" s="1">
        <v>43952</v>
      </c>
      <c r="C78" t="s">
        <v>157</v>
      </c>
      <c r="D78" t="s">
        <v>54</v>
      </c>
      <c r="E78" t="s">
        <v>21</v>
      </c>
      <c r="F78" t="s">
        <v>221</v>
      </c>
      <c r="G78" s="53">
        <v>43987.496550925927</v>
      </c>
      <c r="H78">
        <v>33</v>
      </c>
      <c r="I78">
        <v>14013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2</v>
      </c>
      <c r="R78" t="s">
        <v>94</v>
      </c>
      <c r="S78" t="s">
        <v>349</v>
      </c>
      <c r="T78" t="s">
        <v>349</v>
      </c>
      <c r="U78">
        <v>0</v>
      </c>
      <c r="V78">
        <v>6151.21</v>
      </c>
      <c r="W78">
        <v>0</v>
      </c>
    </row>
    <row r="79" spans="1:23" x14ac:dyDescent="0.25">
      <c r="A79" s="1">
        <v>43952</v>
      </c>
      <c r="B79" s="1">
        <v>43952</v>
      </c>
      <c r="C79" t="s">
        <v>157</v>
      </c>
      <c r="D79" t="s">
        <v>54</v>
      </c>
      <c r="E79" t="s">
        <v>21</v>
      </c>
      <c r="F79" t="s">
        <v>221</v>
      </c>
      <c r="G79" s="53">
        <v>43987.496550925927</v>
      </c>
      <c r="H79">
        <v>33</v>
      </c>
      <c r="I79">
        <v>14013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3</v>
      </c>
      <c r="R79" t="s">
        <v>81</v>
      </c>
      <c r="S79" t="s">
        <v>349</v>
      </c>
      <c r="T79" t="s">
        <v>349</v>
      </c>
      <c r="U79">
        <v>0</v>
      </c>
      <c r="V79">
        <v>5767.18</v>
      </c>
      <c r="W79">
        <v>0</v>
      </c>
    </row>
    <row r="80" spans="1:23" x14ac:dyDescent="0.25">
      <c r="A80" s="1">
        <v>43952</v>
      </c>
      <c r="B80" s="1">
        <v>43952</v>
      </c>
      <c r="C80" t="s">
        <v>157</v>
      </c>
      <c r="D80" t="s">
        <v>54</v>
      </c>
      <c r="E80" t="s">
        <v>21</v>
      </c>
      <c r="F80" t="s">
        <v>221</v>
      </c>
      <c r="G80" s="53">
        <v>43987.496550925927</v>
      </c>
      <c r="H80">
        <v>33</v>
      </c>
      <c r="I80">
        <v>14013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4</v>
      </c>
      <c r="R80" t="s">
        <v>27</v>
      </c>
      <c r="S80" t="s">
        <v>349</v>
      </c>
      <c r="T80" t="s">
        <v>349</v>
      </c>
      <c r="U80">
        <v>0</v>
      </c>
      <c r="V80">
        <v>5963.14</v>
      </c>
      <c r="W80">
        <v>0</v>
      </c>
    </row>
    <row r="81" spans="1:23" x14ac:dyDescent="0.25">
      <c r="A81" s="1">
        <v>43952</v>
      </c>
      <c r="B81" s="1">
        <v>43952</v>
      </c>
      <c r="C81" t="s">
        <v>157</v>
      </c>
      <c r="D81" t="s">
        <v>54</v>
      </c>
      <c r="E81" t="s">
        <v>21</v>
      </c>
      <c r="F81" t="s">
        <v>221</v>
      </c>
      <c r="G81" s="53">
        <v>43987.496550925927</v>
      </c>
      <c r="H81">
        <v>33</v>
      </c>
      <c r="I81">
        <v>14013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5</v>
      </c>
      <c r="R81" t="s">
        <v>28</v>
      </c>
      <c r="S81" t="s">
        <v>349</v>
      </c>
      <c r="T81" t="s">
        <v>349</v>
      </c>
      <c r="U81">
        <v>0</v>
      </c>
      <c r="V81">
        <v>5783.56</v>
      </c>
      <c r="W81">
        <v>0</v>
      </c>
    </row>
    <row r="82" spans="1:23" x14ac:dyDescent="0.25">
      <c r="A82" s="1">
        <v>43983</v>
      </c>
      <c r="B82" s="1">
        <v>43983</v>
      </c>
      <c r="C82" t="s">
        <v>157</v>
      </c>
      <c r="D82" t="s">
        <v>54</v>
      </c>
      <c r="E82" t="s">
        <v>21</v>
      </c>
      <c r="F82" t="s">
        <v>224</v>
      </c>
      <c r="G82" s="53">
        <v>44020.479664351849</v>
      </c>
      <c r="H82">
        <v>33</v>
      </c>
      <c r="I82">
        <v>14392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1</v>
      </c>
      <c r="R82" t="s">
        <v>83</v>
      </c>
      <c r="S82" t="s">
        <v>349</v>
      </c>
      <c r="T82" t="s">
        <v>349</v>
      </c>
      <c r="U82">
        <v>0</v>
      </c>
      <c r="V82">
        <v>6077.2</v>
      </c>
      <c r="W82">
        <v>0</v>
      </c>
    </row>
    <row r="83" spans="1:23" x14ac:dyDescent="0.25">
      <c r="A83" s="1">
        <v>43983</v>
      </c>
      <c r="B83" s="1">
        <v>43983</v>
      </c>
      <c r="C83" t="s">
        <v>157</v>
      </c>
      <c r="D83" t="s">
        <v>54</v>
      </c>
      <c r="E83" t="s">
        <v>21</v>
      </c>
      <c r="F83" t="s">
        <v>224</v>
      </c>
      <c r="G83" s="53">
        <v>44020.479664351849</v>
      </c>
      <c r="H83">
        <v>33</v>
      </c>
      <c r="I83">
        <v>14392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2</v>
      </c>
      <c r="R83" t="s">
        <v>94</v>
      </c>
      <c r="S83" t="s">
        <v>349</v>
      </c>
      <c r="T83" t="s">
        <v>349</v>
      </c>
      <c r="U83">
        <v>0</v>
      </c>
      <c r="V83">
        <v>6151.21</v>
      </c>
      <c r="W83">
        <v>0</v>
      </c>
    </row>
    <row r="84" spans="1:23" x14ac:dyDescent="0.25">
      <c r="A84" s="1">
        <v>43983</v>
      </c>
      <c r="B84" s="1">
        <v>43983</v>
      </c>
      <c r="C84" t="s">
        <v>157</v>
      </c>
      <c r="D84" t="s">
        <v>54</v>
      </c>
      <c r="E84" t="s">
        <v>21</v>
      </c>
      <c r="F84" t="s">
        <v>224</v>
      </c>
      <c r="G84" s="53">
        <v>44020.479664351849</v>
      </c>
      <c r="H84">
        <v>33</v>
      </c>
      <c r="I84">
        <v>14392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 t="s">
        <v>349</v>
      </c>
      <c r="T84" t="s">
        <v>349</v>
      </c>
      <c r="U84">
        <v>0</v>
      </c>
      <c r="V84">
        <v>5767.18</v>
      </c>
      <c r="W84">
        <v>0</v>
      </c>
    </row>
    <row r="85" spans="1:23" x14ac:dyDescent="0.25">
      <c r="A85" s="1">
        <v>43983</v>
      </c>
      <c r="B85" s="1">
        <v>43983</v>
      </c>
      <c r="C85" t="s">
        <v>157</v>
      </c>
      <c r="D85" t="s">
        <v>54</v>
      </c>
      <c r="E85" t="s">
        <v>21</v>
      </c>
      <c r="F85" t="s">
        <v>224</v>
      </c>
      <c r="G85" s="53">
        <v>44020.479664351849</v>
      </c>
      <c r="H85">
        <v>33</v>
      </c>
      <c r="I85">
        <v>14392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349</v>
      </c>
      <c r="T85" t="s">
        <v>349</v>
      </c>
      <c r="U85">
        <v>0</v>
      </c>
      <c r="V85">
        <v>5963.14</v>
      </c>
      <c r="W85">
        <v>0</v>
      </c>
    </row>
    <row r="86" spans="1:23" x14ac:dyDescent="0.25">
      <c r="A86" s="1">
        <v>43983</v>
      </c>
      <c r="B86" s="1">
        <v>43983</v>
      </c>
      <c r="C86" t="s">
        <v>157</v>
      </c>
      <c r="D86" t="s">
        <v>54</v>
      </c>
      <c r="E86" t="s">
        <v>21</v>
      </c>
      <c r="F86" t="s">
        <v>224</v>
      </c>
      <c r="G86" s="53">
        <v>44020.479664351849</v>
      </c>
      <c r="H86">
        <v>33</v>
      </c>
      <c r="I86">
        <v>14392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5</v>
      </c>
      <c r="R86" t="s">
        <v>28</v>
      </c>
      <c r="S86" t="s">
        <v>349</v>
      </c>
      <c r="T86" t="s">
        <v>349</v>
      </c>
      <c r="U86">
        <v>0</v>
      </c>
      <c r="V86">
        <v>5783.56</v>
      </c>
      <c r="W86">
        <v>0</v>
      </c>
    </row>
    <row r="87" spans="1:23" x14ac:dyDescent="0.25">
      <c r="A87" s="1">
        <v>44013</v>
      </c>
      <c r="B87" s="1">
        <v>44013</v>
      </c>
      <c r="C87" t="s">
        <v>157</v>
      </c>
      <c r="D87" t="s">
        <v>54</v>
      </c>
      <c r="E87" t="s">
        <v>21</v>
      </c>
      <c r="F87" t="s">
        <v>231</v>
      </c>
      <c r="G87" s="53">
        <v>44053.449259259258</v>
      </c>
      <c r="H87">
        <v>33</v>
      </c>
      <c r="I87">
        <v>14796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 t="s">
        <v>349</v>
      </c>
      <c r="T87" t="s">
        <v>349</v>
      </c>
      <c r="U87">
        <v>0</v>
      </c>
      <c r="V87">
        <v>6059.26</v>
      </c>
      <c r="W87">
        <v>0</v>
      </c>
    </row>
    <row r="88" spans="1:23" x14ac:dyDescent="0.25">
      <c r="A88" s="1">
        <v>44013</v>
      </c>
      <c r="B88" s="1">
        <v>44013</v>
      </c>
      <c r="C88" t="s">
        <v>157</v>
      </c>
      <c r="D88" t="s">
        <v>54</v>
      </c>
      <c r="E88" t="s">
        <v>21</v>
      </c>
      <c r="F88" t="s">
        <v>231</v>
      </c>
      <c r="G88" s="53">
        <v>44053.449259259258</v>
      </c>
      <c r="H88">
        <v>33</v>
      </c>
      <c r="I88">
        <v>14796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2</v>
      </c>
      <c r="R88" t="s">
        <v>94</v>
      </c>
      <c r="S88" t="s">
        <v>349</v>
      </c>
      <c r="T88" t="s">
        <v>349</v>
      </c>
      <c r="U88">
        <v>0</v>
      </c>
      <c r="V88">
        <v>6135.34</v>
      </c>
      <c r="W88">
        <v>0</v>
      </c>
    </row>
    <row r="89" spans="1:23" x14ac:dyDescent="0.25">
      <c r="A89" s="1">
        <v>44013</v>
      </c>
      <c r="B89" s="1">
        <v>44013</v>
      </c>
      <c r="C89" t="s">
        <v>157</v>
      </c>
      <c r="D89" t="s">
        <v>54</v>
      </c>
      <c r="E89" t="s">
        <v>21</v>
      </c>
      <c r="F89" t="s">
        <v>231</v>
      </c>
      <c r="G89" s="53">
        <v>44053.449259259258</v>
      </c>
      <c r="H89">
        <v>33</v>
      </c>
      <c r="I89">
        <v>14796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3</v>
      </c>
      <c r="R89" t="s">
        <v>81</v>
      </c>
      <c r="S89" t="s">
        <v>349</v>
      </c>
      <c r="T89" t="s">
        <v>349</v>
      </c>
      <c r="U89">
        <v>0</v>
      </c>
      <c r="V89">
        <v>5857.61</v>
      </c>
      <c r="W89">
        <v>0</v>
      </c>
    </row>
    <row r="90" spans="1:23" x14ac:dyDescent="0.25">
      <c r="A90" s="1">
        <v>44013</v>
      </c>
      <c r="B90" s="1">
        <v>44013</v>
      </c>
      <c r="C90" t="s">
        <v>157</v>
      </c>
      <c r="D90" t="s">
        <v>54</v>
      </c>
      <c r="E90" t="s">
        <v>21</v>
      </c>
      <c r="F90" t="s">
        <v>231</v>
      </c>
      <c r="G90" s="53">
        <v>44053.449259259258</v>
      </c>
      <c r="H90">
        <v>33</v>
      </c>
      <c r="I90">
        <v>14796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4</v>
      </c>
      <c r="R90" t="s">
        <v>27</v>
      </c>
      <c r="S90" t="s">
        <v>349</v>
      </c>
      <c r="T90" t="s">
        <v>349</v>
      </c>
      <c r="U90">
        <v>0</v>
      </c>
      <c r="V90">
        <v>5984.4</v>
      </c>
      <c r="W90">
        <v>0</v>
      </c>
    </row>
    <row r="91" spans="1:23" x14ac:dyDescent="0.25">
      <c r="A91" s="1">
        <v>44013</v>
      </c>
      <c r="B91" s="1">
        <v>44013</v>
      </c>
      <c r="C91" t="s">
        <v>157</v>
      </c>
      <c r="D91" t="s">
        <v>54</v>
      </c>
      <c r="E91" t="s">
        <v>21</v>
      </c>
      <c r="F91" t="s">
        <v>231</v>
      </c>
      <c r="G91" s="53">
        <v>44053.449259259258</v>
      </c>
      <c r="H91">
        <v>33</v>
      </c>
      <c r="I91">
        <v>14796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5</v>
      </c>
      <c r="R91" t="s">
        <v>28</v>
      </c>
      <c r="S91" t="s">
        <v>349</v>
      </c>
      <c r="T91" t="s">
        <v>349</v>
      </c>
      <c r="U91">
        <v>0</v>
      </c>
      <c r="V91">
        <v>5746.52</v>
      </c>
      <c r="W91">
        <v>0</v>
      </c>
    </row>
    <row r="92" spans="1:23" x14ac:dyDescent="0.25">
      <c r="A92" s="1">
        <v>44044</v>
      </c>
      <c r="B92" s="1">
        <v>44044</v>
      </c>
      <c r="C92" t="s">
        <v>157</v>
      </c>
      <c r="D92" t="s">
        <v>54</v>
      </c>
      <c r="E92" t="s">
        <v>21</v>
      </c>
      <c r="F92" t="s">
        <v>238</v>
      </c>
      <c r="G92" s="53">
        <v>44081.950659722221</v>
      </c>
      <c r="H92">
        <v>33</v>
      </c>
      <c r="I92">
        <v>15128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349</v>
      </c>
      <c r="T92" t="s">
        <v>349</v>
      </c>
      <c r="U92">
        <v>0</v>
      </c>
      <c r="V92">
        <v>6060.78</v>
      </c>
      <c r="W92">
        <v>0</v>
      </c>
    </row>
    <row r="93" spans="1:23" x14ac:dyDescent="0.25">
      <c r="A93" s="1">
        <v>44044</v>
      </c>
      <c r="B93" s="1">
        <v>44044</v>
      </c>
      <c r="C93" t="s">
        <v>157</v>
      </c>
      <c r="D93" t="s">
        <v>54</v>
      </c>
      <c r="E93" t="s">
        <v>21</v>
      </c>
      <c r="F93" t="s">
        <v>238</v>
      </c>
      <c r="G93" s="53">
        <v>44081.950659722221</v>
      </c>
      <c r="H93">
        <v>33</v>
      </c>
      <c r="I93">
        <v>15128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 t="s">
        <v>349</v>
      </c>
      <c r="T93" t="s">
        <v>349</v>
      </c>
      <c r="U93">
        <v>0</v>
      </c>
      <c r="V93">
        <v>6136.88</v>
      </c>
      <c r="W93">
        <v>0</v>
      </c>
    </row>
    <row r="94" spans="1:23" x14ac:dyDescent="0.25">
      <c r="A94" s="1">
        <v>44044</v>
      </c>
      <c r="B94" s="1">
        <v>44044</v>
      </c>
      <c r="C94" t="s">
        <v>157</v>
      </c>
      <c r="D94" t="s">
        <v>54</v>
      </c>
      <c r="E94" t="s">
        <v>21</v>
      </c>
      <c r="F94" t="s">
        <v>238</v>
      </c>
      <c r="G94" s="53">
        <v>44081.950659722221</v>
      </c>
      <c r="H94">
        <v>33</v>
      </c>
      <c r="I94">
        <v>15128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 t="s">
        <v>349</v>
      </c>
      <c r="T94" t="s">
        <v>349</v>
      </c>
      <c r="U94">
        <v>0</v>
      </c>
      <c r="V94">
        <v>5859.08</v>
      </c>
      <c r="W94">
        <v>0</v>
      </c>
    </row>
    <row r="95" spans="1:23" x14ac:dyDescent="0.25">
      <c r="A95" s="1">
        <v>44044</v>
      </c>
      <c r="B95" s="1">
        <v>44044</v>
      </c>
      <c r="C95" t="s">
        <v>157</v>
      </c>
      <c r="D95" t="s">
        <v>54</v>
      </c>
      <c r="E95" t="s">
        <v>21</v>
      </c>
      <c r="F95" t="s">
        <v>238</v>
      </c>
      <c r="G95" s="53">
        <v>44081.950659722221</v>
      </c>
      <c r="H95">
        <v>33</v>
      </c>
      <c r="I95">
        <v>15128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4</v>
      </c>
      <c r="R95" t="s">
        <v>27</v>
      </c>
      <c r="S95" t="s">
        <v>349</v>
      </c>
      <c r="T95" t="s">
        <v>349</v>
      </c>
      <c r="U95">
        <v>0</v>
      </c>
      <c r="V95">
        <v>5985.9</v>
      </c>
      <c r="W95">
        <v>0</v>
      </c>
    </row>
    <row r="96" spans="1:23" x14ac:dyDescent="0.25">
      <c r="A96" s="1">
        <v>44044</v>
      </c>
      <c r="B96" s="1">
        <v>44044</v>
      </c>
      <c r="C96" t="s">
        <v>157</v>
      </c>
      <c r="D96" t="s">
        <v>54</v>
      </c>
      <c r="E96" t="s">
        <v>21</v>
      </c>
      <c r="F96" t="s">
        <v>238</v>
      </c>
      <c r="G96" s="53">
        <v>44081.950659722221</v>
      </c>
      <c r="H96">
        <v>33</v>
      </c>
      <c r="I96">
        <v>15128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5</v>
      </c>
      <c r="R96" t="s">
        <v>28</v>
      </c>
      <c r="S96" t="s">
        <v>349</v>
      </c>
      <c r="T96" t="s">
        <v>349</v>
      </c>
      <c r="U96">
        <v>0</v>
      </c>
      <c r="V96">
        <v>5747.96</v>
      </c>
      <c r="W96">
        <v>0</v>
      </c>
    </row>
    <row r="97" spans="1:23" x14ac:dyDescent="0.25">
      <c r="A97" s="1">
        <v>44075</v>
      </c>
      <c r="B97" s="1">
        <v>44075</v>
      </c>
      <c r="C97" t="s">
        <v>157</v>
      </c>
      <c r="D97" t="s">
        <v>54</v>
      </c>
      <c r="E97" t="s">
        <v>21</v>
      </c>
      <c r="F97" t="s">
        <v>248</v>
      </c>
      <c r="G97" s="53">
        <v>44111.714999999997</v>
      </c>
      <c r="H97">
        <v>33</v>
      </c>
      <c r="I97">
        <v>15552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1</v>
      </c>
      <c r="R97" t="s">
        <v>83</v>
      </c>
      <c r="S97" t="s">
        <v>349</v>
      </c>
      <c r="T97" t="s">
        <v>349</v>
      </c>
      <c r="U97">
        <v>0</v>
      </c>
      <c r="V97">
        <v>6059.26</v>
      </c>
      <c r="W97">
        <v>0</v>
      </c>
    </row>
    <row r="98" spans="1:23" x14ac:dyDescent="0.25">
      <c r="A98" s="1">
        <v>44075</v>
      </c>
      <c r="B98" s="1">
        <v>44075</v>
      </c>
      <c r="C98" t="s">
        <v>157</v>
      </c>
      <c r="D98" t="s">
        <v>54</v>
      </c>
      <c r="E98" t="s">
        <v>21</v>
      </c>
      <c r="F98" t="s">
        <v>248</v>
      </c>
      <c r="G98" s="53">
        <v>44111.714999999997</v>
      </c>
      <c r="H98">
        <v>33</v>
      </c>
      <c r="I98">
        <v>15552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2</v>
      </c>
      <c r="R98" t="s">
        <v>94</v>
      </c>
      <c r="S98" t="s">
        <v>349</v>
      </c>
      <c r="T98" t="s">
        <v>349</v>
      </c>
      <c r="U98">
        <v>0</v>
      </c>
      <c r="V98">
        <v>6135.33</v>
      </c>
      <c r="W98">
        <v>0</v>
      </c>
    </row>
    <row r="99" spans="1:23" x14ac:dyDescent="0.25">
      <c r="A99" s="1">
        <v>44075</v>
      </c>
      <c r="B99" s="1">
        <v>44075</v>
      </c>
      <c r="C99" t="s">
        <v>157</v>
      </c>
      <c r="D99" t="s">
        <v>54</v>
      </c>
      <c r="E99" t="s">
        <v>21</v>
      </c>
      <c r="F99" t="s">
        <v>248</v>
      </c>
      <c r="G99" s="53">
        <v>44111.714999999997</v>
      </c>
      <c r="H99">
        <v>33</v>
      </c>
      <c r="I99">
        <v>15552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3</v>
      </c>
      <c r="R99" t="s">
        <v>81</v>
      </c>
      <c r="S99" t="s">
        <v>349</v>
      </c>
      <c r="T99" t="s">
        <v>349</v>
      </c>
      <c r="U99">
        <v>0</v>
      </c>
      <c r="V99">
        <v>5857.6</v>
      </c>
      <c r="W99">
        <v>0</v>
      </c>
    </row>
    <row r="100" spans="1:23" x14ac:dyDescent="0.25">
      <c r="A100" s="1">
        <v>44075</v>
      </c>
      <c r="B100" s="1">
        <v>44075</v>
      </c>
      <c r="C100" t="s">
        <v>157</v>
      </c>
      <c r="D100" t="s">
        <v>54</v>
      </c>
      <c r="E100" t="s">
        <v>21</v>
      </c>
      <c r="F100" t="s">
        <v>248</v>
      </c>
      <c r="G100" s="53">
        <v>44111.714999999997</v>
      </c>
      <c r="H100">
        <v>33</v>
      </c>
      <c r="I100">
        <v>15552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 t="s">
        <v>349</v>
      </c>
      <c r="T100" t="s">
        <v>349</v>
      </c>
      <c r="U100">
        <v>0</v>
      </c>
      <c r="V100">
        <v>5984.39</v>
      </c>
      <c r="W100">
        <v>0</v>
      </c>
    </row>
    <row r="101" spans="1:23" x14ac:dyDescent="0.25">
      <c r="A101" s="1">
        <v>44075</v>
      </c>
      <c r="B101" s="1">
        <v>44075</v>
      </c>
      <c r="C101" t="s">
        <v>157</v>
      </c>
      <c r="D101" t="s">
        <v>54</v>
      </c>
      <c r="E101" t="s">
        <v>21</v>
      </c>
      <c r="F101" t="s">
        <v>248</v>
      </c>
      <c r="G101" s="53">
        <v>44111.714999999997</v>
      </c>
      <c r="H101">
        <v>33</v>
      </c>
      <c r="I101">
        <v>15552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 t="s">
        <v>349</v>
      </c>
      <c r="T101" t="s">
        <v>349</v>
      </c>
      <c r="U101">
        <v>0</v>
      </c>
      <c r="V101">
        <v>5746.51</v>
      </c>
      <c r="W101">
        <v>0</v>
      </c>
    </row>
    <row r="102" spans="1:23" x14ac:dyDescent="0.25">
      <c r="A102" s="1">
        <v>44105</v>
      </c>
      <c r="B102" s="1">
        <v>44105</v>
      </c>
      <c r="C102" t="s">
        <v>157</v>
      </c>
      <c r="D102" t="s">
        <v>54</v>
      </c>
      <c r="E102" t="s">
        <v>21</v>
      </c>
      <c r="F102" t="s">
        <v>251</v>
      </c>
      <c r="G102" s="53">
        <v>44141.821956018517</v>
      </c>
      <c r="H102">
        <v>33</v>
      </c>
      <c r="I102">
        <v>15894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1</v>
      </c>
      <c r="R102" t="s">
        <v>83</v>
      </c>
      <c r="S102" t="s">
        <v>349</v>
      </c>
      <c r="T102" t="s">
        <v>349</v>
      </c>
      <c r="U102">
        <v>0</v>
      </c>
      <c r="V102">
        <v>6059.26</v>
      </c>
      <c r="W102">
        <v>0</v>
      </c>
    </row>
    <row r="103" spans="1:23" x14ac:dyDescent="0.25">
      <c r="A103" s="1">
        <v>44105</v>
      </c>
      <c r="B103" s="1">
        <v>44105</v>
      </c>
      <c r="C103" t="s">
        <v>157</v>
      </c>
      <c r="D103" t="s">
        <v>54</v>
      </c>
      <c r="E103" t="s">
        <v>21</v>
      </c>
      <c r="F103" t="s">
        <v>251</v>
      </c>
      <c r="G103" s="53">
        <v>44141.821956018517</v>
      </c>
      <c r="H103">
        <v>33</v>
      </c>
      <c r="I103">
        <v>15894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2</v>
      </c>
      <c r="R103" t="s">
        <v>94</v>
      </c>
      <c r="S103" t="s">
        <v>349</v>
      </c>
      <c r="T103" t="s">
        <v>349</v>
      </c>
      <c r="U103">
        <v>0</v>
      </c>
      <c r="V103">
        <v>6135.33</v>
      </c>
      <c r="W103">
        <v>0</v>
      </c>
    </row>
    <row r="104" spans="1:23" x14ac:dyDescent="0.25">
      <c r="A104" s="1">
        <v>44105</v>
      </c>
      <c r="B104" s="1">
        <v>44105</v>
      </c>
      <c r="C104" t="s">
        <v>157</v>
      </c>
      <c r="D104" t="s">
        <v>54</v>
      </c>
      <c r="E104" t="s">
        <v>21</v>
      </c>
      <c r="F104" t="s">
        <v>251</v>
      </c>
      <c r="G104" s="53">
        <v>44141.821956018517</v>
      </c>
      <c r="H104">
        <v>33</v>
      </c>
      <c r="I104">
        <v>15894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3</v>
      </c>
      <c r="R104" t="s">
        <v>81</v>
      </c>
      <c r="S104" t="s">
        <v>349</v>
      </c>
      <c r="T104" t="s">
        <v>349</v>
      </c>
      <c r="U104">
        <v>0</v>
      </c>
      <c r="V104">
        <v>5857.6</v>
      </c>
      <c r="W104">
        <v>0</v>
      </c>
    </row>
    <row r="105" spans="1:23" x14ac:dyDescent="0.25">
      <c r="A105" s="1">
        <v>44105</v>
      </c>
      <c r="B105" s="1">
        <v>44105</v>
      </c>
      <c r="C105" t="s">
        <v>157</v>
      </c>
      <c r="D105" t="s">
        <v>54</v>
      </c>
      <c r="E105" t="s">
        <v>21</v>
      </c>
      <c r="F105" t="s">
        <v>251</v>
      </c>
      <c r="G105" s="53">
        <v>44141.821956018517</v>
      </c>
      <c r="H105">
        <v>33</v>
      </c>
      <c r="I105">
        <v>15894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4</v>
      </c>
      <c r="R105" t="s">
        <v>27</v>
      </c>
      <c r="S105" t="s">
        <v>349</v>
      </c>
      <c r="T105" t="s">
        <v>349</v>
      </c>
      <c r="U105">
        <v>0</v>
      </c>
      <c r="V105">
        <v>5984.39</v>
      </c>
      <c r="W105">
        <v>0</v>
      </c>
    </row>
    <row r="106" spans="1:23" x14ac:dyDescent="0.25">
      <c r="A106" s="1">
        <v>44105</v>
      </c>
      <c r="B106" s="1">
        <v>44105</v>
      </c>
      <c r="C106" t="s">
        <v>157</v>
      </c>
      <c r="D106" t="s">
        <v>54</v>
      </c>
      <c r="E106" t="s">
        <v>21</v>
      </c>
      <c r="F106" t="s">
        <v>251</v>
      </c>
      <c r="G106" s="53">
        <v>44141.821956018517</v>
      </c>
      <c r="H106">
        <v>33</v>
      </c>
      <c r="I106">
        <v>15894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5</v>
      </c>
      <c r="R106" t="s">
        <v>28</v>
      </c>
      <c r="S106" t="s">
        <v>349</v>
      </c>
      <c r="T106" t="s">
        <v>349</v>
      </c>
      <c r="U106">
        <v>0</v>
      </c>
      <c r="V106">
        <v>5746.51</v>
      </c>
      <c r="W106">
        <v>0</v>
      </c>
    </row>
    <row r="107" spans="1:23" x14ac:dyDescent="0.25">
      <c r="A107" s="1">
        <v>44136</v>
      </c>
      <c r="B107" s="1">
        <v>44136</v>
      </c>
      <c r="C107" t="s">
        <v>157</v>
      </c>
      <c r="D107" t="s">
        <v>54</v>
      </c>
      <c r="E107" t="s">
        <v>21</v>
      </c>
      <c r="F107" t="s">
        <v>261</v>
      </c>
      <c r="G107" s="53">
        <v>44169.666030092594</v>
      </c>
      <c r="H107">
        <v>33</v>
      </c>
      <c r="I107">
        <v>16653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1</v>
      </c>
      <c r="R107" t="s">
        <v>83</v>
      </c>
      <c r="S107" t="s">
        <v>349</v>
      </c>
      <c r="T107" t="s">
        <v>349</v>
      </c>
      <c r="U107">
        <v>0</v>
      </c>
      <c r="V107">
        <v>6059.26</v>
      </c>
      <c r="W107">
        <v>0</v>
      </c>
    </row>
    <row r="108" spans="1:23" x14ac:dyDescent="0.25">
      <c r="A108" s="1">
        <v>44136</v>
      </c>
      <c r="B108" s="1">
        <v>44136</v>
      </c>
      <c r="C108" t="s">
        <v>157</v>
      </c>
      <c r="D108" t="s">
        <v>54</v>
      </c>
      <c r="E108" t="s">
        <v>21</v>
      </c>
      <c r="F108" t="s">
        <v>261</v>
      </c>
      <c r="G108" s="53">
        <v>44169.666030092594</v>
      </c>
      <c r="H108">
        <v>33</v>
      </c>
      <c r="I108">
        <v>16653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349</v>
      </c>
      <c r="T108" t="s">
        <v>349</v>
      </c>
      <c r="U108">
        <v>0</v>
      </c>
      <c r="V108">
        <v>6135.33</v>
      </c>
      <c r="W108">
        <v>0</v>
      </c>
    </row>
    <row r="109" spans="1:23" x14ac:dyDescent="0.25">
      <c r="A109" s="1">
        <v>44136</v>
      </c>
      <c r="B109" s="1">
        <v>44136</v>
      </c>
      <c r="C109" t="s">
        <v>157</v>
      </c>
      <c r="D109" t="s">
        <v>54</v>
      </c>
      <c r="E109" t="s">
        <v>21</v>
      </c>
      <c r="F109" t="s">
        <v>261</v>
      </c>
      <c r="G109" s="53">
        <v>44169.666030092594</v>
      </c>
      <c r="H109">
        <v>33</v>
      </c>
      <c r="I109">
        <v>16653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 t="s">
        <v>349</v>
      </c>
      <c r="T109" t="s">
        <v>349</v>
      </c>
      <c r="U109">
        <v>0</v>
      </c>
      <c r="V109">
        <v>5857.6</v>
      </c>
      <c r="W109">
        <v>0</v>
      </c>
    </row>
    <row r="110" spans="1:23" x14ac:dyDescent="0.25">
      <c r="A110" s="1">
        <v>44136</v>
      </c>
      <c r="B110" s="1">
        <v>44136</v>
      </c>
      <c r="C110" t="s">
        <v>157</v>
      </c>
      <c r="D110" t="s">
        <v>54</v>
      </c>
      <c r="E110" t="s">
        <v>21</v>
      </c>
      <c r="F110" t="s">
        <v>261</v>
      </c>
      <c r="G110" s="53">
        <v>44169.666030092594</v>
      </c>
      <c r="H110">
        <v>33</v>
      </c>
      <c r="I110">
        <v>16653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 t="s">
        <v>349</v>
      </c>
      <c r="T110" t="s">
        <v>349</v>
      </c>
      <c r="U110">
        <v>0</v>
      </c>
      <c r="V110">
        <v>5984.39</v>
      </c>
      <c r="W110">
        <v>0</v>
      </c>
    </row>
    <row r="111" spans="1:23" x14ac:dyDescent="0.25">
      <c r="A111" s="1">
        <v>44136</v>
      </c>
      <c r="B111" s="1">
        <v>44136</v>
      </c>
      <c r="C111" t="s">
        <v>157</v>
      </c>
      <c r="D111" t="s">
        <v>54</v>
      </c>
      <c r="E111" t="s">
        <v>21</v>
      </c>
      <c r="F111" t="s">
        <v>261</v>
      </c>
      <c r="G111" s="53">
        <v>44169.666030092594</v>
      </c>
      <c r="H111">
        <v>33</v>
      </c>
      <c r="I111">
        <v>16653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5</v>
      </c>
      <c r="R111" t="s">
        <v>28</v>
      </c>
      <c r="S111" t="s">
        <v>349</v>
      </c>
      <c r="T111" t="s">
        <v>349</v>
      </c>
      <c r="U111">
        <v>0</v>
      </c>
      <c r="V111">
        <v>5746.51</v>
      </c>
      <c r="W111">
        <v>0</v>
      </c>
    </row>
    <row r="112" spans="1:23" x14ac:dyDescent="0.25">
      <c r="A112" s="1">
        <v>44166</v>
      </c>
      <c r="B112" s="1">
        <v>44166</v>
      </c>
      <c r="C112" t="s">
        <v>157</v>
      </c>
      <c r="D112" t="s">
        <v>54</v>
      </c>
      <c r="E112" t="s">
        <v>21</v>
      </c>
      <c r="F112" t="s">
        <v>265</v>
      </c>
      <c r="G112" s="53">
        <v>44203.692604166667</v>
      </c>
      <c r="H112">
        <v>33</v>
      </c>
      <c r="I112">
        <v>16938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1</v>
      </c>
      <c r="R112" t="s">
        <v>83</v>
      </c>
      <c r="S112" t="s">
        <v>349</v>
      </c>
      <c r="T112" t="s">
        <v>349</v>
      </c>
      <c r="U112">
        <v>0</v>
      </c>
      <c r="V112">
        <v>6059.26</v>
      </c>
      <c r="W112">
        <v>0</v>
      </c>
    </row>
    <row r="113" spans="1:23" x14ac:dyDescent="0.25">
      <c r="A113" s="1">
        <v>44166</v>
      </c>
      <c r="B113" s="1">
        <v>44166</v>
      </c>
      <c r="C113" t="s">
        <v>157</v>
      </c>
      <c r="D113" t="s">
        <v>54</v>
      </c>
      <c r="E113" t="s">
        <v>21</v>
      </c>
      <c r="F113" t="s">
        <v>265</v>
      </c>
      <c r="G113" s="53">
        <v>44203.692604166667</v>
      </c>
      <c r="H113">
        <v>33</v>
      </c>
      <c r="I113">
        <v>16938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2</v>
      </c>
      <c r="R113" t="s">
        <v>94</v>
      </c>
      <c r="S113" t="s">
        <v>349</v>
      </c>
      <c r="T113" t="s">
        <v>349</v>
      </c>
      <c r="U113">
        <v>0</v>
      </c>
      <c r="V113">
        <v>6135.33</v>
      </c>
      <c r="W113">
        <v>0</v>
      </c>
    </row>
    <row r="114" spans="1:23" x14ac:dyDescent="0.25">
      <c r="A114" s="1">
        <v>44166</v>
      </c>
      <c r="B114" s="1">
        <v>44166</v>
      </c>
      <c r="C114" t="s">
        <v>157</v>
      </c>
      <c r="D114" t="s">
        <v>54</v>
      </c>
      <c r="E114" t="s">
        <v>21</v>
      </c>
      <c r="F114" t="s">
        <v>265</v>
      </c>
      <c r="G114" s="53">
        <v>44203.692604166667</v>
      </c>
      <c r="H114">
        <v>33</v>
      </c>
      <c r="I114">
        <v>16938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3</v>
      </c>
      <c r="R114" t="s">
        <v>81</v>
      </c>
      <c r="S114" t="s">
        <v>349</v>
      </c>
      <c r="T114" t="s">
        <v>349</v>
      </c>
      <c r="U114">
        <v>0</v>
      </c>
      <c r="V114">
        <v>5857.6</v>
      </c>
      <c r="W114">
        <v>0</v>
      </c>
    </row>
    <row r="115" spans="1:23" x14ac:dyDescent="0.25">
      <c r="A115" s="1">
        <v>44166</v>
      </c>
      <c r="B115" s="1">
        <v>44166</v>
      </c>
      <c r="C115" t="s">
        <v>157</v>
      </c>
      <c r="D115" t="s">
        <v>54</v>
      </c>
      <c r="E115" t="s">
        <v>21</v>
      </c>
      <c r="F115" t="s">
        <v>265</v>
      </c>
      <c r="G115" s="53">
        <v>44203.692604166667</v>
      </c>
      <c r="H115">
        <v>33</v>
      </c>
      <c r="I115">
        <v>16938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4</v>
      </c>
      <c r="R115" t="s">
        <v>27</v>
      </c>
      <c r="S115" t="s">
        <v>349</v>
      </c>
      <c r="T115" t="s">
        <v>349</v>
      </c>
      <c r="U115">
        <v>0</v>
      </c>
      <c r="V115">
        <v>5984.39</v>
      </c>
      <c r="W115">
        <v>0</v>
      </c>
    </row>
    <row r="116" spans="1:23" x14ac:dyDescent="0.25">
      <c r="A116" s="1">
        <v>44166</v>
      </c>
      <c r="B116" s="1">
        <v>44166</v>
      </c>
      <c r="C116" t="s">
        <v>157</v>
      </c>
      <c r="D116" t="s">
        <v>54</v>
      </c>
      <c r="E116" t="s">
        <v>21</v>
      </c>
      <c r="F116" t="s">
        <v>265</v>
      </c>
      <c r="G116" s="53">
        <v>44203.692604166667</v>
      </c>
      <c r="H116">
        <v>33</v>
      </c>
      <c r="I116">
        <v>16938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5</v>
      </c>
      <c r="R116" t="s">
        <v>28</v>
      </c>
      <c r="S116" t="s">
        <v>349</v>
      </c>
      <c r="T116" t="s">
        <v>349</v>
      </c>
      <c r="U116">
        <v>0</v>
      </c>
      <c r="V116">
        <v>5746.51</v>
      </c>
      <c r="W116">
        <v>0</v>
      </c>
    </row>
    <row r="117" spans="1:23" x14ac:dyDescent="0.25">
      <c r="A117" s="1">
        <v>44197</v>
      </c>
      <c r="B117" s="1">
        <v>44197</v>
      </c>
      <c r="C117" t="s">
        <v>157</v>
      </c>
      <c r="D117" t="s">
        <v>54</v>
      </c>
      <c r="E117" t="s">
        <v>21</v>
      </c>
      <c r="F117" t="s">
        <v>274</v>
      </c>
      <c r="G117" s="53">
        <v>44235.838287037041</v>
      </c>
      <c r="H117">
        <v>33</v>
      </c>
      <c r="I117">
        <v>17339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349</v>
      </c>
      <c r="T117" t="s">
        <v>349</v>
      </c>
      <c r="U117">
        <v>0</v>
      </c>
      <c r="V117">
        <v>5914.42</v>
      </c>
      <c r="W117">
        <v>0</v>
      </c>
    </row>
    <row r="118" spans="1:23" x14ac:dyDescent="0.25">
      <c r="A118" s="1">
        <v>44197</v>
      </c>
      <c r="B118" s="1">
        <v>44197</v>
      </c>
      <c r="C118" t="s">
        <v>157</v>
      </c>
      <c r="D118" t="s">
        <v>54</v>
      </c>
      <c r="E118" t="s">
        <v>21</v>
      </c>
      <c r="F118" t="s">
        <v>274</v>
      </c>
      <c r="G118" s="53">
        <v>44235.838287037041</v>
      </c>
      <c r="H118">
        <v>33</v>
      </c>
      <c r="I118">
        <v>17339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2</v>
      </c>
      <c r="R118" t="s">
        <v>94</v>
      </c>
      <c r="S118" t="s">
        <v>349</v>
      </c>
      <c r="T118" t="s">
        <v>349</v>
      </c>
      <c r="U118">
        <v>0</v>
      </c>
      <c r="V118">
        <v>6007.37</v>
      </c>
      <c r="W118">
        <v>0</v>
      </c>
    </row>
    <row r="119" spans="1:23" x14ac:dyDescent="0.25">
      <c r="A119" s="1">
        <v>44197</v>
      </c>
      <c r="B119" s="1">
        <v>44197</v>
      </c>
      <c r="C119" t="s">
        <v>157</v>
      </c>
      <c r="D119" t="s">
        <v>54</v>
      </c>
      <c r="E119" t="s">
        <v>21</v>
      </c>
      <c r="F119" t="s">
        <v>274</v>
      </c>
      <c r="G119" s="53">
        <v>44235.838287037041</v>
      </c>
      <c r="H119">
        <v>33</v>
      </c>
      <c r="I119">
        <v>17339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 t="s">
        <v>349</v>
      </c>
      <c r="T119" t="s">
        <v>349</v>
      </c>
      <c r="U119">
        <v>0</v>
      </c>
      <c r="V119">
        <v>5302.48</v>
      </c>
      <c r="W119">
        <v>0</v>
      </c>
    </row>
    <row r="120" spans="1:23" x14ac:dyDescent="0.25">
      <c r="A120" s="1">
        <v>44197</v>
      </c>
      <c r="B120" s="1">
        <v>44197</v>
      </c>
      <c r="C120" t="s">
        <v>157</v>
      </c>
      <c r="D120" t="s">
        <v>54</v>
      </c>
      <c r="E120" t="s">
        <v>21</v>
      </c>
      <c r="F120" t="s">
        <v>274</v>
      </c>
      <c r="G120" s="53">
        <v>44235.838287037041</v>
      </c>
      <c r="H120">
        <v>33</v>
      </c>
      <c r="I120">
        <v>17339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 t="s">
        <v>349</v>
      </c>
      <c r="T120" t="s">
        <v>349</v>
      </c>
      <c r="U120">
        <v>0</v>
      </c>
      <c r="V120">
        <v>5512.82</v>
      </c>
      <c r="W120">
        <v>0</v>
      </c>
    </row>
    <row r="121" spans="1:23" x14ac:dyDescent="0.25">
      <c r="A121" s="1">
        <v>44197</v>
      </c>
      <c r="B121" s="1">
        <v>44197</v>
      </c>
      <c r="C121" t="s">
        <v>157</v>
      </c>
      <c r="D121" t="s">
        <v>54</v>
      </c>
      <c r="E121" t="s">
        <v>21</v>
      </c>
      <c r="F121" t="s">
        <v>274</v>
      </c>
      <c r="G121" s="53">
        <v>44235.838287037041</v>
      </c>
      <c r="H121">
        <v>33</v>
      </c>
      <c r="I121">
        <v>17339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5</v>
      </c>
      <c r="R121" t="s">
        <v>28</v>
      </c>
      <c r="S121" t="s">
        <v>349</v>
      </c>
      <c r="T121" t="s">
        <v>349</v>
      </c>
      <c r="U121">
        <v>0</v>
      </c>
      <c r="V121">
        <v>5963.28</v>
      </c>
      <c r="W121">
        <v>0</v>
      </c>
    </row>
    <row r="122" spans="1:23" x14ac:dyDescent="0.25">
      <c r="A122" s="1">
        <v>44228</v>
      </c>
      <c r="B122" s="1">
        <v>44228</v>
      </c>
      <c r="C122" t="s">
        <v>157</v>
      </c>
      <c r="D122" t="s">
        <v>54</v>
      </c>
      <c r="E122" t="s">
        <v>21</v>
      </c>
      <c r="F122" t="s">
        <v>275</v>
      </c>
      <c r="G122" s="53">
        <v>44259.815057870372</v>
      </c>
      <c r="H122">
        <v>33</v>
      </c>
      <c r="I122">
        <v>17645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1</v>
      </c>
      <c r="R122" t="s">
        <v>83</v>
      </c>
      <c r="S122" t="s">
        <v>349</v>
      </c>
      <c r="T122" t="s">
        <v>349</v>
      </c>
      <c r="U122">
        <v>0</v>
      </c>
      <c r="V122">
        <v>5914.42</v>
      </c>
      <c r="W122">
        <v>0</v>
      </c>
    </row>
    <row r="123" spans="1:23" x14ac:dyDescent="0.25">
      <c r="A123" s="1">
        <v>44228</v>
      </c>
      <c r="B123" s="1">
        <v>44228</v>
      </c>
      <c r="C123" t="s">
        <v>157</v>
      </c>
      <c r="D123" t="s">
        <v>54</v>
      </c>
      <c r="E123" t="s">
        <v>21</v>
      </c>
      <c r="F123" t="s">
        <v>275</v>
      </c>
      <c r="G123" s="53">
        <v>44259.815057870372</v>
      </c>
      <c r="H123">
        <v>33</v>
      </c>
      <c r="I123">
        <v>17645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349</v>
      </c>
      <c r="T123" t="s">
        <v>349</v>
      </c>
      <c r="U123">
        <v>0</v>
      </c>
      <c r="V123">
        <v>6007.37</v>
      </c>
      <c r="W123">
        <v>0</v>
      </c>
    </row>
    <row r="124" spans="1:23" x14ac:dyDescent="0.25">
      <c r="A124" s="1">
        <v>44228</v>
      </c>
      <c r="B124" s="1">
        <v>44228</v>
      </c>
      <c r="C124" t="s">
        <v>157</v>
      </c>
      <c r="D124" t="s">
        <v>54</v>
      </c>
      <c r="E124" t="s">
        <v>21</v>
      </c>
      <c r="F124" t="s">
        <v>275</v>
      </c>
      <c r="G124" s="53">
        <v>44259.815057870372</v>
      </c>
      <c r="H124">
        <v>33</v>
      </c>
      <c r="I124">
        <v>17645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3</v>
      </c>
      <c r="R124" t="s">
        <v>81</v>
      </c>
      <c r="S124" t="s">
        <v>349</v>
      </c>
      <c r="T124" t="s">
        <v>349</v>
      </c>
      <c r="U124">
        <v>0</v>
      </c>
      <c r="V124">
        <v>5302.48</v>
      </c>
      <c r="W124">
        <v>0</v>
      </c>
    </row>
    <row r="125" spans="1:23" x14ac:dyDescent="0.25">
      <c r="A125" s="1">
        <v>44228</v>
      </c>
      <c r="B125" s="1">
        <v>44228</v>
      </c>
      <c r="C125" t="s">
        <v>157</v>
      </c>
      <c r="D125" t="s">
        <v>54</v>
      </c>
      <c r="E125" t="s">
        <v>21</v>
      </c>
      <c r="F125" t="s">
        <v>275</v>
      </c>
      <c r="G125" s="53">
        <v>44259.815057870372</v>
      </c>
      <c r="H125">
        <v>33</v>
      </c>
      <c r="I125">
        <v>17645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4</v>
      </c>
      <c r="R125" t="s">
        <v>27</v>
      </c>
      <c r="S125" t="s">
        <v>349</v>
      </c>
      <c r="T125" t="s">
        <v>349</v>
      </c>
      <c r="U125">
        <v>0</v>
      </c>
      <c r="V125">
        <v>5512.82</v>
      </c>
      <c r="W125">
        <v>0</v>
      </c>
    </row>
    <row r="126" spans="1:23" x14ac:dyDescent="0.25">
      <c r="A126" s="1">
        <v>44228</v>
      </c>
      <c r="B126" s="1">
        <v>44228</v>
      </c>
      <c r="C126" t="s">
        <v>157</v>
      </c>
      <c r="D126" t="s">
        <v>54</v>
      </c>
      <c r="E126" t="s">
        <v>21</v>
      </c>
      <c r="F126" t="s">
        <v>275</v>
      </c>
      <c r="G126" s="53">
        <v>44259.815057870372</v>
      </c>
      <c r="H126">
        <v>33</v>
      </c>
      <c r="I126">
        <v>17645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5</v>
      </c>
      <c r="R126" t="s">
        <v>28</v>
      </c>
      <c r="S126" t="s">
        <v>349</v>
      </c>
      <c r="T126" t="s">
        <v>349</v>
      </c>
      <c r="U126">
        <v>0</v>
      </c>
      <c r="V126">
        <v>5963.28</v>
      </c>
      <c r="W126">
        <v>0</v>
      </c>
    </row>
    <row r="127" spans="1:23" x14ac:dyDescent="0.25">
      <c r="A127" s="1">
        <v>44256</v>
      </c>
      <c r="B127" s="1">
        <v>44256</v>
      </c>
      <c r="C127" t="s">
        <v>157</v>
      </c>
      <c r="D127" t="s">
        <v>54</v>
      </c>
      <c r="E127" t="s">
        <v>21</v>
      </c>
      <c r="F127" t="s">
        <v>280</v>
      </c>
      <c r="G127" s="53">
        <v>44294.484247685185</v>
      </c>
      <c r="H127">
        <v>33</v>
      </c>
      <c r="I127">
        <v>18264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1</v>
      </c>
      <c r="R127" t="s">
        <v>83</v>
      </c>
      <c r="S127" t="s">
        <v>349</v>
      </c>
      <c r="T127" t="s">
        <v>349</v>
      </c>
      <c r="U127">
        <v>0</v>
      </c>
      <c r="V127">
        <v>5914.4219999999996</v>
      </c>
      <c r="W127">
        <v>0</v>
      </c>
    </row>
    <row r="128" spans="1:23" x14ac:dyDescent="0.25">
      <c r="A128" s="1">
        <v>44256</v>
      </c>
      <c r="B128" s="1">
        <v>44256</v>
      </c>
      <c r="C128" t="s">
        <v>157</v>
      </c>
      <c r="D128" t="s">
        <v>54</v>
      </c>
      <c r="E128" t="s">
        <v>21</v>
      </c>
      <c r="F128" t="s">
        <v>280</v>
      </c>
      <c r="G128" s="53">
        <v>44294.484247685185</v>
      </c>
      <c r="H128">
        <v>33</v>
      </c>
      <c r="I128">
        <v>18264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 t="s">
        <v>349</v>
      </c>
      <c r="T128" t="s">
        <v>349</v>
      </c>
      <c r="U128">
        <v>0</v>
      </c>
      <c r="V128">
        <v>6007.3739999999998</v>
      </c>
      <c r="W128">
        <v>0</v>
      </c>
    </row>
    <row r="129" spans="1:23" x14ac:dyDescent="0.25">
      <c r="A129" s="1">
        <v>44256</v>
      </c>
      <c r="B129" s="1">
        <v>44256</v>
      </c>
      <c r="C129" t="s">
        <v>157</v>
      </c>
      <c r="D129" t="s">
        <v>54</v>
      </c>
      <c r="E129" t="s">
        <v>21</v>
      </c>
      <c r="F129" t="s">
        <v>280</v>
      </c>
      <c r="G129" s="53">
        <v>44294.484247685185</v>
      </c>
      <c r="H129">
        <v>33</v>
      </c>
      <c r="I129">
        <v>18264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 t="s">
        <v>349</v>
      </c>
      <c r="T129" t="s">
        <v>349</v>
      </c>
      <c r="U129">
        <v>0</v>
      </c>
      <c r="V129">
        <v>5302.482</v>
      </c>
      <c r="W129">
        <v>0</v>
      </c>
    </row>
    <row r="130" spans="1:23" x14ac:dyDescent="0.25">
      <c r="A130" s="1">
        <v>44256</v>
      </c>
      <c r="B130" s="1">
        <v>44256</v>
      </c>
      <c r="C130" t="s">
        <v>157</v>
      </c>
      <c r="D130" t="s">
        <v>54</v>
      </c>
      <c r="E130" t="s">
        <v>21</v>
      </c>
      <c r="F130" t="s">
        <v>280</v>
      </c>
      <c r="G130" s="53">
        <v>44294.484247685185</v>
      </c>
      <c r="H130">
        <v>33</v>
      </c>
      <c r="I130">
        <v>18264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 t="s">
        <v>349</v>
      </c>
      <c r="T130" t="s">
        <v>349</v>
      </c>
      <c r="U130">
        <v>0</v>
      </c>
      <c r="V130">
        <v>5512.8180000000002</v>
      </c>
      <c r="W130">
        <v>0</v>
      </c>
    </row>
    <row r="131" spans="1:23" x14ac:dyDescent="0.25">
      <c r="A131" s="1">
        <v>44256</v>
      </c>
      <c r="B131" s="1">
        <v>44256</v>
      </c>
      <c r="C131" t="s">
        <v>157</v>
      </c>
      <c r="D131" t="s">
        <v>54</v>
      </c>
      <c r="E131" t="s">
        <v>21</v>
      </c>
      <c r="F131" t="s">
        <v>280</v>
      </c>
      <c r="G131" s="53">
        <v>44294.484247685185</v>
      </c>
      <c r="H131">
        <v>33</v>
      </c>
      <c r="I131">
        <v>18264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5</v>
      </c>
      <c r="R131" t="s">
        <v>28</v>
      </c>
      <c r="S131" t="s">
        <v>349</v>
      </c>
      <c r="T131" t="s">
        <v>349</v>
      </c>
      <c r="U131">
        <v>0</v>
      </c>
      <c r="V131">
        <v>5963.2809999999999</v>
      </c>
      <c r="W131">
        <v>0</v>
      </c>
    </row>
    <row r="132" spans="1:23" x14ac:dyDescent="0.25">
      <c r="A132" s="1">
        <v>44287</v>
      </c>
      <c r="B132" s="1">
        <v>44287</v>
      </c>
      <c r="C132" t="s">
        <v>157</v>
      </c>
      <c r="D132" t="s">
        <v>54</v>
      </c>
      <c r="E132" t="s">
        <v>21</v>
      </c>
      <c r="F132" t="s">
        <v>285</v>
      </c>
      <c r="G132" s="53">
        <v>44323.702997685185</v>
      </c>
      <c r="H132">
        <v>33</v>
      </c>
      <c r="I132">
        <v>18700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1</v>
      </c>
      <c r="R132" t="s">
        <v>83</v>
      </c>
      <c r="S132" t="s">
        <v>349</v>
      </c>
      <c r="T132" t="s">
        <v>349</v>
      </c>
      <c r="U132">
        <v>0</v>
      </c>
      <c r="V132">
        <v>5914.4219999999996</v>
      </c>
      <c r="W132">
        <v>0</v>
      </c>
    </row>
    <row r="133" spans="1:23" x14ac:dyDescent="0.25">
      <c r="A133" s="1">
        <v>44287</v>
      </c>
      <c r="B133" s="1">
        <v>44287</v>
      </c>
      <c r="C133" t="s">
        <v>157</v>
      </c>
      <c r="D133" t="s">
        <v>54</v>
      </c>
      <c r="E133" t="s">
        <v>21</v>
      </c>
      <c r="F133" t="s">
        <v>285</v>
      </c>
      <c r="G133" s="53">
        <v>44323.702997685185</v>
      </c>
      <c r="H133">
        <v>33</v>
      </c>
      <c r="I133">
        <v>18700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2</v>
      </c>
      <c r="R133" t="s">
        <v>94</v>
      </c>
      <c r="S133" t="s">
        <v>349</v>
      </c>
      <c r="T133" t="s">
        <v>349</v>
      </c>
      <c r="U133">
        <v>0</v>
      </c>
      <c r="V133">
        <v>6007.3739999999998</v>
      </c>
      <c r="W133">
        <v>0</v>
      </c>
    </row>
    <row r="134" spans="1:23" x14ac:dyDescent="0.25">
      <c r="A134" s="1">
        <v>44287</v>
      </c>
      <c r="B134" s="1">
        <v>44287</v>
      </c>
      <c r="C134" t="s">
        <v>157</v>
      </c>
      <c r="D134" t="s">
        <v>54</v>
      </c>
      <c r="E134" t="s">
        <v>21</v>
      </c>
      <c r="F134" t="s">
        <v>285</v>
      </c>
      <c r="G134" s="53">
        <v>44323.702997685185</v>
      </c>
      <c r="H134">
        <v>33</v>
      </c>
      <c r="I134">
        <v>18700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 t="s">
        <v>349</v>
      </c>
      <c r="T134" t="s">
        <v>349</v>
      </c>
      <c r="U134">
        <v>0</v>
      </c>
      <c r="V134">
        <v>5302.482</v>
      </c>
      <c r="W134">
        <v>0</v>
      </c>
    </row>
    <row r="135" spans="1:23" x14ac:dyDescent="0.25">
      <c r="A135" s="1">
        <v>44287</v>
      </c>
      <c r="B135" s="1">
        <v>44287</v>
      </c>
      <c r="C135" t="s">
        <v>157</v>
      </c>
      <c r="D135" t="s">
        <v>54</v>
      </c>
      <c r="E135" t="s">
        <v>21</v>
      </c>
      <c r="F135" t="s">
        <v>285</v>
      </c>
      <c r="G135" s="53">
        <v>44323.702997685185</v>
      </c>
      <c r="H135">
        <v>33</v>
      </c>
      <c r="I135">
        <v>18700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4</v>
      </c>
      <c r="R135" t="s">
        <v>27</v>
      </c>
      <c r="S135" t="s">
        <v>349</v>
      </c>
      <c r="T135" t="s">
        <v>349</v>
      </c>
      <c r="U135">
        <v>0</v>
      </c>
      <c r="V135">
        <v>5512.8180000000002</v>
      </c>
      <c r="W135">
        <v>0</v>
      </c>
    </row>
    <row r="136" spans="1:23" x14ac:dyDescent="0.25">
      <c r="A136" s="1">
        <v>44287</v>
      </c>
      <c r="B136" s="1">
        <v>44287</v>
      </c>
      <c r="C136" t="s">
        <v>157</v>
      </c>
      <c r="D136" t="s">
        <v>54</v>
      </c>
      <c r="E136" t="s">
        <v>21</v>
      </c>
      <c r="F136" t="s">
        <v>285</v>
      </c>
      <c r="G136" s="53">
        <v>44323.702997685185</v>
      </c>
      <c r="H136">
        <v>33</v>
      </c>
      <c r="I136">
        <v>18700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5</v>
      </c>
      <c r="R136" t="s">
        <v>28</v>
      </c>
      <c r="S136" t="s">
        <v>349</v>
      </c>
      <c r="T136" t="s">
        <v>349</v>
      </c>
      <c r="U136">
        <v>0</v>
      </c>
      <c r="V136">
        <v>5963.2809999999999</v>
      </c>
      <c r="W136">
        <v>0</v>
      </c>
    </row>
    <row r="137" spans="1:23" x14ac:dyDescent="0.25">
      <c r="B137"/>
    </row>
    <row r="138" spans="1:23" x14ac:dyDescent="0.25">
      <c r="B138"/>
    </row>
    <row r="139" spans="1:23" x14ac:dyDescent="0.25">
      <c r="B139"/>
    </row>
    <row r="140" spans="1:23" x14ac:dyDescent="0.25">
      <c r="B140"/>
    </row>
    <row r="141" spans="1:23" x14ac:dyDescent="0.25">
      <c r="B141"/>
    </row>
    <row r="142" spans="1:23" x14ac:dyDescent="0.25">
      <c r="B142"/>
    </row>
    <row r="143" spans="1:23" x14ac:dyDescent="0.25">
      <c r="B143"/>
    </row>
    <row r="144" spans="1:23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AD3261"/>
  <sheetViews>
    <sheetView topLeftCell="M1" zoomScale="85" zoomScaleNormal="85" workbookViewId="0">
      <selection activeCell="T1" sqref="T1:T1048576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54" t="s">
        <v>18</v>
      </c>
      <c r="T1" s="34" t="s">
        <v>19</v>
      </c>
      <c r="U1" s="34" t="s">
        <v>75</v>
      </c>
      <c r="V1" s="34" t="s">
        <v>20</v>
      </c>
      <c r="W1" s="34" t="s">
        <v>76</v>
      </c>
      <c r="X1" s="34" t="s">
        <v>21</v>
      </c>
      <c r="Y1" s="34" t="s">
        <v>22</v>
      </c>
      <c r="Z1" s="34" t="s">
        <v>77</v>
      </c>
      <c r="AA1" s="34" t="s">
        <v>23</v>
      </c>
      <c r="AB1" s="34" t="s">
        <v>78</v>
      </c>
      <c r="AC1" s="34" t="s">
        <v>24</v>
      </c>
      <c r="AD1" s="34" t="s">
        <v>71</v>
      </c>
    </row>
    <row r="2" spans="1:30" x14ac:dyDescent="0.25">
      <c r="A2">
        <v>600911</v>
      </c>
      <c r="B2" t="s">
        <v>99</v>
      </c>
      <c r="C2">
        <v>2016</v>
      </c>
      <c r="D2">
        <v>4</v>
      </c>
      <c r="E2" t="s">
        <v>85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102</v>
      </c>
      <c r="L2" t="s">
        <v>103</v>
      </c>
      <c r="M2">
        <v>4919.3408924699997</v>
      </c>
      <c r="N2">
        <v>0</v>
      </c>
      <c r="O2" t="s">
        <v>79</v>
      </c>
      <c r="P2" s="35">
        <v>44330.488381134259</v>
      </c>
      <c r="Q2">
        <v>5423000</v>
      </c>
      <c r="R2" t="s">
        <v>74</v>
      </c>
      <c r="S2" s="4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84</v>
      </c>
      <c r="AD2" s="35">
        <v>42461</v>
      </c>
    </row>
    <row r="3" spans="1:30" x14ac:dyDescent="0.25">
      <c r="A3">
        <v>600929</v>
      </c>
      <c r="B3" t="s">
        <v>99</v>
      </c>
      <c r="C3">
        <v>2016</v>
      </c>
      <c r="D3">
        <v>4</v>
      </c>
      <c r="E3" t="s">
        <v>87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104</v>
      </c>
      <c r="L3" t="s">
        <v>103</v>
      </c>
      <c r="M3">
        <v>1317.6215099999999</v>
      </c>
      <c r="N3">
        <v>0</v>
      </c>
      <c r="O3" t="s">
        <v>79</v>
      </c>
      <c r="P3" s="35">
        <v>44330.488381793977</v>
      </c>
      <c r="Q3">
        <v>5423034</v>
      </c>
      <c r="R3" t="s">
        <v>74</v>
      </c>
      <c r="S3" s="4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84</v>
      </c>
      <c r="AD3" s="35">
        <v>42461</v>
      </c>
    </row>
    <row r="4" spans="1:30" x14ac:dyDescent="0.25">
      <c r="A4">
        <v>607827</v>
      </c>
      <c r="B4" t="s">
        <v>105</v>
      </c>
      <c r="C4">
        <v>2016</v>
      </c>
      <c r="D4">
        <v>3</v>
      </c>
      <c r="E4" t="s">
        <v>87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104</v>
      </c>
      <c r="L4" t="s">
        <v>103</v>
      </c>
      <c r="M4">
        <v>1703.6853574199999</v>
      </c>
      <c r="N4">
        <v>0</v>
      </c>
      <c r="O4" t="s">
        <v>79</v>
      </c>
      <c r="P4" s="35">
        <v>44330.494940509263</v>
      </c>
      <c r="Q4">
        <v>5439222</v>
      </c>
      <c r="R4" t="s">
        <v>74</v>
      </c>
      <c r="S4" s="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84</v>
      </c>
      <c r="AD4" s="35">
        <v>42430</v>
      </c>
    </row>
    <row r="5" spans="1:30" x14ac:dyDescent="0.25">
      <c r="A5">
        <v>600947</v>
      </c>
      <c r="B5" t="s">
        <v>99</v>
      </c>
      <c r="C5">
        <v>2016</v>
      </c>
      <c r="D5">
        <v>4</v>
      </c>
      <c r="E5" t="s">
        <v>59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106</v>
      </c>
      <c r="L5" t="s">
        <v>103</v>
      </c>
      <c r="M5">
        <v>2065.7815005799998</v>
      </c>
      <c r="N5">
        <v>0</v>
      </c>
      <c r="O5" t="s">
        <v>79</v>
      </c>
      <c r="P5" s="35">
        <v>44330.488382442127</v>
      </c>
      <c r="Q5">
        <v>5423068</v>
      </c>
      <c r="R5" t="s">
        <v>74</v>
      </c>
      <c r="S5" s="4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84</v>
      </c>
      <c r="AD5" s="35">
        <v>42461</v>
      </c>
    </row>
    <row r="6" spans="1:30" x14ac:dyDescent="0.25">
      <c r="A6">
        <v>607809</v>
      </c>
      <c r="B6" t="s">
        <v>105</v>
      </c>
      <c r="C6">
        <v>2016</v>
      </c>
      <c r="D6">
        <v>3</v>
      </c>
      <c r="E6" t="s">
        <v>85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102</v>
      </c>
      <c r="L6" t="s">
        <v>103</v>
      </c>
      <c r="M6">
        <v>6396.77665523</v>
      </c>
      <c r="N6">
        <v>0</v>
      </c>
      <c r="O6" t="s">
        <v>79</v>
      </c>
      <c r="P6" s="35">
        <v>44330.494939849537</v>
      </c>
      <c r="Q6">
        <v>5439188</v>
      </c>
      <c r="R6" t="s">
        <v>74</v>
      </c>
      <c r="S6" s="4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84</v>
      </c>
      <c r="AD6" s="35">
        <v>42430</v>
      </c>
    </row>
    <row r="7" spans="1:30" x14ac:dyDescent="0.25">
      <c r="A7">
        <v>607845</v>
      </c>
      <c r="B7" t="s">
        <v>105</v>
      </c>
      <c r="C7">
        <v>2016</v>
      </c>
      <c r="D7">
        <v>3</v>
      </c>
      <c r="E7" t="s">
        <v>59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106</v>
      </c>
      <c r="L7" t="s">
        <v>103</v>
      </c>
      <c r="M7">
        <v>2312.6677555199999</v>
      </c>
      <c r="N7">
        <v>0</v>
      </c>
      <c r="O7" t="s">
        <v>79</v>
      </c>
      <c r="P7" s="35">
        <v>44330.494941122677</v>
      </c>
      <c r="Q7">
        <v>5439256</v>
      </c>
      <c r="R7" t="s">
        <v>74</v>
      </c>
      <c r="S7" s="4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84</v>
      </c>
      <c r="AD7" s="35">
        <v>42430</v>
      </c>
    </row>
    <row r="8" spans="1:30" x14ac:dyDescent="0.25">
      <c r="A8">
        <v>607809</v>
      </c>
      <c r="B8" t="s">
        <v>105</v>
      </c>
      <c r="C8">
        <v>2016</v>
      </c>
      <c r="D8">
        <v>3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6396.77665523</v>
      </c>
      <c r="N8">
        <v>0</v>
      </c>
      <c r="O8" t="s">
        <v>79</v>
      </c>
      <c r="P8" s="35">
        <v>44330.494939849537</v>
      </c>
      <c r="Q8">
        <v>5439187</v>
      </c>
      <c r="R8" t="s">
        <v>82</v>
      </c>
      <c r="S8" s="4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84</v>
      </c>
      <c r="AD8" s="35">
        <v>42430</v>
      </c>
    </row>
    <row r="9" spans="1:30" x14ac:dyDescent="0.25">
      <c r="A9">
        <v>607845</v>
      </c>
      <c r="B9" t="s">
        <v>105</v>
      </c>
      <c r="C9">
        <v>2016</v>
      </c>
      <c r="D9">
        <v>3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2312.6677555199999</v>
      </c>
      <c r="N9">
        <v>0</v>
      </c>
      <c r="O9" t="s">
        <v>79</v>
      </c>
      <c r="P9" s="35">
        <v>44330.494941122677</v>
      </c>
      <c r="Q9">
        <v>5439255</v>
      </c>
      <c r="R9" t="s">
        <v>82</v>
      </c>
      <c r="S9" s="4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84</v>
      </c>
      <c r="AD9" s="35">
        <v>42430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5">
        <v>44330.488381793977</v>
      </c>
      <c r="Q10">
        <v>5423033</v>
      </c>
      <c r="R10" t="s">
        <v>82</v>
      </c>
      <c r="S10" s="4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84</v>
      </c>
      <c r="AD10" s="35">
        <v>42461</v>
      </c>
    </row>
    <row r="11" spans="1:30" x14ac:dyDescent="0.25">
      <c r="A11">
        <v>600947</v>
      </c>
      <c r="B11" t="s">
        <v>99</v>
      </c>
      <c r="C11">
        <v>2016</v>
      </c>
      <c r="D11">
        <v>4</v>
      </c>
      <c r="E11" t="s">
        <v>59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106</v>
      </c>
      <c r="L11" t="s">
        <v>103</v>
      </c>
      <c r="M11">
        <v>2065.7815005799998</v>
      </c>
      <c r="N11">
        <v>0</v>
      </c>
      <c r="O11" t="s">
        <v>79</v>
      </c>
      <c r="P11" s="35">
        <v>44330.488382442127</v>
      </c>
      <c r="Q11">
        <v>5423067</v>
      </c>
      <c r="R11" t="s">
        <v>82</v>
      </c>
      <c r="S11" s="4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84</v>
      </c>
      <c r="AD11" s="35">
        <v>42461</v>
      </c>
    </row>
    <row r="12" spans="1:30" x14ac:dyDescent="0.25">
      <c r="A12">
        <v>607827</v>
      </c>
      <c r="B12" t="s">
        <v>105</v>
      </c>
      <c r="C12">
        <v>2016</v>
      </c>
      <c r="D12">
        <v>3</v>
      </c>
      <c r="E12" t="s">
        <v>87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104</v>
      </c>
      <c r="L12" t="s">
        <v>103</v>
      </c>
      <c r="M12">
        <v>1703.6853574199999</v>
      </c>
      <c r="N12">
        <v>0</v>
      </c>
      <c r="O12" t="s">
        <v>79</v>
      </c>
      <c r="P12" s="35">
        <v>44330.494940509263</v>
      </c>
      <c r="Q12">
        <v>5439221</v>
      </c>
      <c r="R12" t="s">
        <v>82</v>
      </c>
      <c r="S12" s="4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84</v>
      </c>
      <c r="AD12" s="35">
        <v>42430</v>
      </c>
    </row>
    <row r="13" spans="1:30" x14ac:dyDescent="0.25">
      <c r="A13">
        <v>600911</v>
      </c>
      <c r="B13" t="s">
        <v>99</v>
      </c>
      <c r="C13">
        <v>2016</v>
      </c>
      <c r="D13">
        <v>4</v>
      </c>
      <c r="E13" t="s">
        <v>85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102</v>
      </c>
      <c r="L13" t="s">
        <v>103</v>
      </c>
      <c r="M13">
        <v>4919.3408924699997</v>
      </c>
      <c r="N13">
        <v>0</v>
      </c>
      <c r="O13" t="s">
        <v>79</v>
      </c>
      <c r="P13" s="35">
        <v>44330.488381134259</v>
      </c>
      <c r="Q13">
        <v>5422999</v>
      </c>
      <c r="R13" t="s">
        <v>82</v>
      </c>
      <c r="S13" s="4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84</v>
      </c>
      <c r="AD13" s="35">
        <v>42461</v>
      </c>
    </row>
    <row r="14" spans="1:30" x14ac:dyDescent="0.25">
      <c r="A14">
        <v>747847</v>
      </c>
      <c r="B14" t="s">
        <v>107</v>
      </c>
      <c r="C14">
        <v>2016</v>
      </c>
      <c r="D14">
        <v>1</v>
      </c>
      <c r="E14" t="s">
        <v>85</v>
      </c>
      <c r="F14" t="s">
        <v>84</v>
      </c>
      <c r="G14" t="s">
        <v>84</v>
      </c>
      <c r="H14" t="s">
        <v>100</v>
      </c>
      <c r="I14" t="s">
        <v>100</v>
      </c>
      <c r="J14" t="s">
        <v>108</v>
      </c>
      <c r="K14" t="s">
        <v>102</v>
      </c>
      <c r="L14" t="s">
        <v>109</v>
      </c>
      <c r="M14">
        <v>4067.4409494400002</v>
      </c>
      <c r="N14">
        <v>0</v>
      </c>
      <c r="O14" t="s">
        <v>79</v>
      </c>
      <c r="P14" s="35">
        <v>44350.694832986112</v>
      </c>
      <c r="Q14">
        <v>6409298</v>
      </c>
      <c r="R14" t="s">
        <v>74</v>
      </c>
      <c r="S14" s="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84</v>
      </c>
      <c r="AD14" s="35">
        <v>42370</v>
      </c>
    </row>
    <row r="15" spans="1:30" x14ac:dyDescent="0.25">
      <c r="A15">
        <v>747883</v>
      </c>
      <c r="B15" t="s">
        <v>107</v>
      </c>
      <c r="C15">
        <v>2016</v>
      </c>
      <c r="D15">
        <v>1</v>
      </c>
      <c r="E15" t="s">
        <v>59</v>
      </c>
      <c r="F15" t="s">
        <v>84</v>
      </c>
      <c r="G15" t="s">
        <v>84</v>
      </c>
      <c r="H15" t="s">
        <v>100</v>
      </c>
      <c r="I15" t="s">
        <v>100</v>
      </c>
      <c r="J15" t="s">
        <v>108</v>
      </c>
      <c r="K15" t="s">
        <v>106</v>
      </c>
      <c r="L15" t="s">
        <v>109</v>
      </c>
      <c r="M15">
        <v>1749.0648298200001</v>
      </c>
      <c r="N15">
        <v>0</v>
      </c>
      <c r="O15" t="s">
        <v>79</v>
      </c>
      <c r="P15" s="35">
        <v>44350.694834374997</v>
      </c>
      <c r="Q15">
        <v>6409370</v>
      </c>
      <c r="R15" t="s">
        <v>74</v>
      </c>
      <c r="S15" s="4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84</v>
      </c>
      <c r="AD15" s="35">
        <v>42370</v>
      </c>
    </row>
    <row r="16" spans="1:30" x14ac:dyDescent="0.25">
      <c r="A16">
        <v>747865</v>
      </c>
      <c r="B16" t="s">
        <v>107</v>
      </c>
      <c r="C16">
        <v>2016</v>
      </c>
      <c r="D16">
        <v>1</v>
      </c>
      <c r="E16" t="s">
        <v>87</v>
      </c>
      <c r="F16" t="s">
        <v>84</v>
      </c>
      <c r="G16" t="s">
        <v>84</v>
      </c>
      <c r="H16" t="s">
        <v>100</v>
      </c>
      <c r="I16" t="s">
        <v>100</v>
      </c>
      <c r="J16" t="s">
        <v>108</v>
      </c>
      <c r="K16" t="s">
        <v>104</v>
      </c>
      <c r="L16" t="s">
        <v>109</v>
      </c>
      <c r="M16">
        <v>897.34483422000005</v>
      </c>
      <c r="N16">
        <v>0</v>
      </c>
      <c r="O16" t="s">
        <v>79</v>
      </c>
      <c r="P16" s="35">
        <v>44350.694833680558</v>
      </c>
      <c r="Q16">
        <v>6409334</v>
      </c>
      <c r="R16" t="s">
        <v>74</v>
      </c>
      <c r="S16" s="4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84</v>
      </c>
      <c r="AD16" s="35">
        <v>42370</v>
      </c>
    </row>
    <row r="17" spans="1:30" x14ac:dyDescent="0.25">
      <c r="A17">
        <v>747847</v>
      </c>
      <c r="B17" t="s">
        <v>107</v>
      </c>
      <c r="C17">
        <v>2016</v>
      </c>
      <c r="D17">
        <v>1</v>
      </c>
      <c r="E17" t="s">
        <v>85</v>
      </c>
      <c r="F17" t="s">
        <v>84</v>
      </c>
      <c r="G17" t="s">
        <v>84</v>
      </c>
      <c r="H17" t="s">
        <v>100</v>
      </c>
      <c r="I17" t="s">
        <v>100</v>
      </c>
      <c r="J17" t="s">
        <v>108</v>
      </c>
      <c r="K17" t="s">
        <v>102</v>
      </c>
      <c r="L17" t="s">
        <v>109</v>
      </c>
      <c r="M17">
        <v>4067.4409494400002</v>
      </c>
      <c r="N17">
        <v>0</v>
      </c>
      <c r="O17" t="s">
        <v>79</v>
      </c>
      <c r="P17" s="35">
        <v>44350.694832986112</v>
      </c>
      <c r="Q17">
        <v>6409297</v>
      </c>
      <c r="R17" t="s">
        <v>82</v>
      </c>
      <c r="S17" s="4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84</v>
      </c>
      <c r="AD17" s="35">
        <v>42370</v>
      </c>
    </row>
    <row r="18" spans="1:30" x14ac:dyDescent="0.25">
      <c r="A18">
        <v>747883</v>
      </c>
      <c r="B18" t="s">
        <v>107</v>
      </c>
      <c r="C18">
        <v>2016</v>
      </c>
      <c r="D18">
        <v>1</v>
      </c>
      <c r="E18" t="s">
        <v>59</v>
      </c>
      <c r="F18" t="s">
        <v>84</v>
      </c>
      <c r="G18" t="s">
        <v>84</v>
      </c>
      <c r="H18" t="s">
        <v>100</v>
      </c>
      <c r="I18" t="s">
        <v>100</v>
      </c>
      <c r="J18" t="s">
        <v>108</v>
      </c>
      <c r="K18" t="s">
        <v>106</v>
      </c>
      <c r="L18" t="s">
        <v>109</v>
      </c>
      <c r="M18">
        <v>1749.0648298200001</v>
      </c>
      <c r="N18">
        <v>0</v>
      </c>
      <c r="O18" t="s">
        <v>79</v>
      </c>
      <c r="P18" s="35">
        <v>44350.694834374997</v>
      </c>
      <c r="Q18">
        <v>6409369</v>
      </c>
      <c r="R18" t="s">
        <v>82</v>
      </c>
      <c r="S18" s="4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84</v>
      </c>
      <c r="AD18" s="35">
        <v>42370</v>
      </c>
    </row>
    <row r="19" spans="1:30" x14ac:dyDescent="0.25">
      <c r="A19">
        <v>747865</v>
      </c>
      <c r="B19" t="s">
        <v>107</v>
      </c>
      <c r="C19">
        <v>2016</v>
      </c>
      <c r="D19">
        <v>1</v>
      </c>
      <c r="E19" t="s">
        <v>87</v>
      </c>
      <c r="F19" t="s">
        <v>84</v>
      </c>
      <c r="G19" t="s">
        <v>84</v>
      </c>
      <c r="H19" t="s">
        <v>100</v>
      </c>
      <c r="I19" t="s">
        <v>100</v>
      </c>
      <c r="J19" t="s">
        <v>108</v>
      </c>
      <c r="K19" t="s">
        <v>104</v>
      </c>
      <c r="L19" t="s">
        <v>109</v>
      </c>
      <c r="M19">
        <v>897.34483422000005</v>
      </c>
      <c r="N19">
        <v>0</v>
      </c>
      <c r="O19" t="s">
        <v>79</v>
      </c>
      <c r="P19" s="35">
        <v>44350.694833680558</v>
      </c>
      <c r="Q19">
        <v>6409333</v>
      </c>
      <c r="R19" t="s">
        <v>82</v>
      </c>
      <c r="S19" s="4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84</v>
      </c>
      <c r="AD19" s="35">
        <v>42370</v>
      </c>
    </row>
    <row r="20" spans="1:30" x14ac:dyDescent="0.25">
      <c r="A20">
        <v>755003</v>
      </c>
      <c r="B20" t="s">
        <v>110</v>
      </c>
      <c r="C20">
        <v>2016</v>
      </c>
      <c r="D20">
        <v>2</v>
      </c>
      <c r="E20" t="s">
        <v>85</v>
      </c>
      <c r="F20" t="s">
        <v>84</v>
      </c>
      <c r="G20" t="s">
        <v>84</v>
      </c>
      <c r="H20" t="s">
        <v>100</v>
      </c>
      <c r="I20" t="s">
        <v>100</v>
      </c>
      <c r="J20" t="s">
        <v>111</v>
      </c>
      <c r="K20" t="s">
        <v>102</v>
      </c>
      <c r="L20" t="s">
        <v>109</v>
      </c>
      <c r="M20">
        <v>5278.3353200499996</v>
      </c>
      <c r="N20">
        <v>0</v>
      </c>
      <c r="O20" t="s">
        <v>79</v>
      </c>
      <c r="P20" s="35">
        <v>44350.700936655092</v>
      </c>
      <c r="Q20">
        <v>6425847</v>
      </c>
      <c r="R20" t="s">
        <v>74</v>
      </c>
      <c r="S20" s="4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84</v>
      </c>
      <c r="AD20" s="35">
        <v>42401</v>
      </c>
    </row>
    <row r="21" spans="1:30" x14ac:dyDescent="0.25">
      <c r="A21">
        <v>755021</v>
      </c>
      <c r="B21" t="s">
        <v>110</v>
      </c>
      <c r="C21">
        <v>2016</v>
      </c>
      <c r="D21">
        <v>2</v>
      </c>
      <c r="E21" t="s">
        <v>87</v>
      </c>
      <c r="F21" t="s">
        <v>84</v>
      </c>
      <c r="G21" t="s">
        <v>84</v>
      </c>
      <c r="H21" t="s">
        <v>100</v>
      </c>
      <c r="I21" t="s">
        <v>100</v>
      </c>
      <c r="J21" t="s">
        <v>111</v>
      </c>
      <c r="K21" t="s">
        <v>104</v>
      </c>
      <c r="L21" t="s">
        <v>109</v>
      </c>
      <c r="M21">
        <v>1241.48702998</v>
      </c>
      <c r="N21">
        <v>0</v>
      </c>
      <c r="O21" t="s">
        <v>79</v>
      </c>
      <c r="P21" s="35">
        <v>44350.700937118047</v>
      </c>
      <c r="Q21">
        <v>6425881</v>
      </c>
      <c r="R21" t="s">
        <v>74</v>
      </c>
      <c r="S21" s="4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84</v>
      </c>
      <c r="AD21" s="35">
        <v>42401</v>
      </c>
    </row>
    <row r="22" spans="1:30" x14ac:dyDescent="0.25">
      <c r="A22">
        <v>755039</v>
      </c>
      <c r="B22" t="s">
        <v>110</v>
      </c>
      <c r="C22">
        <v>2016</v>
      </c>
      <c r="D22">
        <v>2</v>
      </c>
      <c r="E22" t="s">
        <v>59</v>
      </c>
      <c r="F22" t="s">
        <v>84</v>
      </c>
      <c r="G22" t="s">
        <v>84</v>
      </c>
      <c r="H22" t="s">
        <v>100</v>
      </c>
      <c r="I22" t="s">
        <v>100</v>
      </c>
      <c r="J22" t="s">
        <v>111</v>
      </c>
      <c r="K22" t="s">
        <v>106</v>
      </c>
      <c r="L22" t="s">
        <v>109</v>
      </c>
      <c r="M22">
        <v>1904.6034659100001</v>
      </c>
      <c r="N22">
        <v>0</v>
      </c>
      <c r="O22" t="s">
        <v>79</v>
      </c>
      <c r="P22" s="35">
        <v>44350.700937847221</v>
      </c>
      <c r="Q22">
        <v>6425915</v>
      </c>
      <c r="R22" t="s">
        <v>74</v>
      </c>
      <c r="S22" s="4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84</v>
      </c>
      <c r="AD22" s="35">
        <v>42401</v>
      </c>
    </row>
    <row r="23" spans="1:30" x14ac:dyDescent="0.25">
      <c r="A23">
        <v>755039</v>
      </c>
      <c r="B23" t="s">
        <v>110</v>
      </c>
      <c r="C23">
        <v>2016</v>
      </c>
      <c r="D23">
        <v>2</v>
      </c>
      <c r="E23" t="s">
        <v>59</v>
      </c>
      <c r="F23" t="s">
        <v>84</v>
      </c>
      <c r="G23" t="s">
        <v>84</v>
      </c>
      <c r="H23" t="s">
        <v>100</v>
      </c>
      <c r="I23" t="s">
        <v>100</v>
      </c>
      <c r="J23" t="s">
        <v>111</v>
      </c>
      <c r="K23" t="s">
        <v>106</v>
      </c>
      <c r="L23" t="s">
        <v>109</v>
      </c>
      <c r="M23">
        <v>1904.6034659100001</v>
      </c>
      <c r="N23">
        <v>0</v>
      </c>
      <c r="O23" t="s">
        <v>79</v>
      </c>
      <c r="P23" s="35">
        <v>44350.700937847221</v>
      </c>
      <c r="Q23">
        <v>6425914</v>
      </c>
      <c r="R23" t="s">
        <v>82</v>
      </c>
      <c r="S23" s="4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84</v>
      </c>
      <c r="AD23" s="35">
        <v>42401</v>
      </c>
    </row>
    <row r="24" spans="1:30" x14ac:dyDescent="0.25">
      <c r="A24">
        <v>755003</v>
      </c>
      <c r="B24" t="s">
        <v>110</v>
      </c>
      <c r="C24">
        <v>2016</v>
      </c>
      <c r="D24">
        <v>2</v>
      </c>
      <c r="E24" t="s">
        <v>85</v>
      </c>
      <c r="F24" t="s">
        <v>84</v>
      </c>
      <c r="G24" t="s">
        <v>84</v>
      </c>
      <c r="H24" t="s">
        <v>100</v>
      </c>
      <c r="I24" t="s">
        <v>100</v>
      </c>
      <c r="J24" t="s">
        <v>111</v>
      </c>
      <c r="K24" t="s">
        <v>102</v>
      </c>
      <c r="L24" t="s">
        <v>109</v>
      </c>
      <c r="M24">
        <v>5278.3353200499996</v>
      </c>
      <c r="N24">
        <v>0</v>
      </c>
      <c r="O24" t="s">
        <v>79</v>
      </c>
      <c r="P24" s="35">
        <v>44350.700936655092</v>
      </c>
      <c r="Q24">
        <v>6425846</v>
      </c>
      <c r="R24" t="s">
        <v>82</v>
      </c>
      <c r="S24" s="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84</v>
      </c>
      <c r="AD24" s="35">
        <v>42401</v>
      </c>
    </row>
    <row r="25" spans="1:30" x14ac:dyDescent="0.25">
      <c r="A25">
        <v>755021</v>
      </c>
      <c r="B25" t="s">
        <v>110</v>
      </c>
      <c r="C25">
        <v>2016</v>
      </c>
      <c r="D25">
        <v>2</v>
      </c>
      <c r="E25" t="s">
        <v>87</v>
      </c>
      <c r="F25" t="s">
        <v>84</v>
      </c>
      <c r="G25" t="s">
        <v>84</v>
      </c>
      <c r="H25" t="s">
        <v>100</v>
      </c>
      <c r="I25" t="s">
        <v>100</v>
      </c>
      <c r="J25" t="s">
        <v>111</v>
      </c>
      <c r="K25" t="s">
        <v>104</v>
      </c>
      <c r="L25" t="s">
        <v>109</v>
      </c>
      <c r="M25">
        <v>1241.48702998</v>
      </c>
      <c r="N25">
        <v>0</v>
      </c>
      <c r="O25" t="s">
        <v>79</v>
      </c>
      <c r="P25" s="35">
        <v>44350.700937118047</v>
      </c>
      <c r="Q25">
        <v>6425880</v>
      </c>
      <c r="R25" t="s">
        <v>82</v>
      </c>
      <c r="S25" s="4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84</v>
      </c>
      <c r="AD25" s="35">
        <v>42401</v>
      </c>
    </row>
    <row r="26" spans="1:30" x14ac:dyDescent="0.25">
      <c r="A26">
        <v>339874</v>
      </c>
      <c r="B26" t="s">
        <v>112</v>
      </c>
      <c r="C26">
        <v>2018</v>
      </c>
      <c r="D26">
        <v>4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88</v>
      </c>
      <c r="L26" t="s">
        <v>103</v>
      </c>
      <c r="M26">
        <v>395.73036543000001</v>
      </c>
      <c r="N26">
        <v>0</v>
      </c>
      <c r="O26" t="s">
        <v>79</v>
      </c>
      <c r="P26" s="35">
        <v>44269.883115474528</v>
      </c>
      <c r="Q26">
        <v>3217183</v>
      </c>
      <c r="R26" t="s">
        <v>74</v>
      </c>
      <c r="S26" s="4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84</v>
      </c>
      <c r="AD26" s="35">
        <v>43191</v>
      </c>
    </row>
    <row r="27" spans="1:30" x14ac:dyDescent="0.25">
      <c r="A27">
        <v>339897</v>
      </c>
      <c r="B27" t="s">
        <v>112</v>
      </c>
      <c r="C27">
        <v>2018</v>
      </c>
      <c r="D27">
        <v>4</v>
      </c>
      <c r="E27" t="s">
        <v>89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90</v>
      </c>
      <c r="L27" t="s">
        <v>103</v>
      </c>
      <c r="M27">
        <v>912.57738198000004</v>
      </c>
      <c r="N27">
        <v>0</v>
      </c>
      <c r="O27" t="s">
        <v>79</v>
      </c>
      <c r="P27" s="35">
        <v>44269.883116168981</v>
      </c>
      <c r="Q27">
        <v>3217229</v>
      </c>
      <c r="R27" t="s">
        <v>74</v>
      </c>
      <c r="S27" s="4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84</v>
      </c>
      <c r="AD27" s="35">
        <v>43191</v>
      </c>
    </row>
    <row r="28" spans="1:30" x14ac:dyDescent="0.25">
      <c r="A28">
        <v>339851</v>
      </c>
      <c r="B28" t="s">
        <v>112</v>
      </c>
      <c r="C28">
        <v>2018</v>
      </c>
      <c r="D28">
        <v>4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86</v>
      </c>
      <c r="L28" t="s">
        <v>103</v>
      </c>
      <c r="M28">
        <v>2217.9983667299998</v>
      </c>
      <c r="N28">
        <v>0</v>
      </c>
      <c r="O28" t="s">
        <v>79</v>
      </c>
      <c r="P28" s="35">
        <v>44269.88311489582</v>
      </c>
      <c r="Q28">
        <v>3217137</v>
      </c>
      <c r="R28" t="s">
        <v>74</v>
      </c>
      <c r="S28" s="4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84</v>
      </c>
      <c r="AD28" s="35">
        <v>43191</v>
      </c>
    </row>
    <row r="29" spans="1:30" x14ac:dyDescent="0.25">
      <c r="A29">
        <v>119638</v>
      </c>
      <c r="B29" t="s">
        <v>113</v>
      </c>
      <c r="C29">
        <v>2018</v>
      </c>
      <c r="D29">
        <v>9</v>
      </c>
      <c r="E29" t="s">
        <v>87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88</v>
      </c>
      <c r="L29" t="s">
        <v>103</v>
      </c>
      <c r="M29">
        <v>316.65874517999998</v>
      </c>
      <c r="N29">
        <v>0</v>
      </c>
      <c r="O29" t="s">
        <v>80</v>
      </c>
      <c r="P29" s="35">
        <v>44269.85110659722</v>
      </c>
      <c r="Q29">
        <v>1081733</v>
      </c>
      <c r="R29" t="s">
        <v>81</v>
      </c>
      <c r="S29" s="4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84</v>
      </c>
      <c r="AD29" s="35">
        <v>43344</v>
      </c>
    </row>
    <row r="30" spans="1:30" x14ac:dyDescent="0.25">
      <c r="A30">
        <v>130294</v>
      </c>
      <c r="B30" t="s">
        <v>114</v>
      </c>
      <c r="C30">
        <v>2018</v>
      </c>
      <c r="D30">
        <v>10</v>
      </c>
      <c r="E30" t="s">
        <v>85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86</v>
      </c>
      <c r="L30" t="s">
        <v>103</v>
      </c>
      <c r="M30">
        <v>1428.8615156599999</v>
      </c>
      <c r="N30">
        <v>0</v>
      </c>
      <c r="O30" t="s">
        <v>80</v>
      </c>
      <c r="P30" s="35">
        <v>44269.8525723727</v>
      </c>
      <c r="Q30">
        <v>1192985</v>
      </c>
      <c r="R30" t="s">
        <v>81</v>
      </c>
      <c r="S30" s="4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84</v>
      </c>
      <c r="AD30" s="35">
        <v>43374</v>
      </c>
    </row>
    <row r="31" spans="1:30" x14ac:dyDescent="0.25">
      <c r="A31">
        <v>144832</v>
      </c>
      <c r="B31" t="s">
        <v>115</v>
      </c>
      <c r="C31">
        <v>2018</v>
      </c>
      <c r="D31">
        <v>11</v>
      </c>
      <c r="E31" t="s">
        <v>85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86</v>
      </c>
      <c r="L31" t="s">
        <v>103</v>
      </c>
      <c r="M31">
        <v>1939.5207746900001</v>
      </c>
      <c r="N31">
        <v>0</v>
      </c>
      <c r="O31" t="s">
        <v>80</v>
      </c>
      <c r="P31" s="35">
        <v>44269.854262534733</v>
      </c>
      <c r="Q31">
        <v>1336945</v>
      </c>
      <c r="R31" t="s">
        <v>81</v>
      </c>
      <c r="S31" s="4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84</v>
      </c>
      <c r="AD31" s="35">
        <v>43405</v>
      </c>
    </row>
    <row r="32" spans="1:30" x14ac:dyDescent="0.25">
      <c r="A32">
        <v>130318</v>
      </c>
      <c r="B32" t="s">
        <v>114</v>
      </c>
      <c r="C32">
        <v>2018</v>
      </c>
      <c r="D32">
        <v>10</v>
      </c>
      <c r="E32" t="s">
        <v>87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88</v>
      </c>
      <c r="L32" t="s">
        <v>103</v>
      </c>
      <c r="M32">
        <v>333.40243543999998</v>
      </c>
      <c r="N32">
        <v>0</v>
      </c>
      <c r="O32" t="s">
        <v>80</v>
      </c>
      <c r="P32" s="35">
        <v>44269.852573611111</v>
      </c>
      <c r="Q32">
        <v>1193105</v>
      </c>
      <c r="R32" t="s">
        <v>81</v>
      </c>
      <c r="S32" s="4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84</v>
      </c>
      <c r="AD32" s="35">
        <v>43374</v>
      </c>
    </row>
    <row r="33" spans="1:30" x14ac:dyDescent="0.25">
      <c r="A33">
        <v>119662</v>
      </c>
      <c r="B33" t="s">
        <v>113</v>
      </c>
      <c r="C33">
        <v>2018</v>
      </c>
      <c r="D33">
        <v>9</v>
      </c>
      <c r="E33" t="s">
        <v>89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90</v>
      </c>
      <c r="L33" t="s">
        <v>103</v>
      </c>
      <c r="M33">
        <v>843.05591856000001</v>
      </c>
      <c r="N33">
        <v>0</v>
      </c>
      <c r="O33" t="s">
        <v>80</v>
      </c>
      <c r="P33" s="35">
        <v>44269.851107986113</v>
      </c>
      <c r="Q33">
        <v>1081853</v>
      </c>
      <c r="R33" t="s">
        <v>81</v>
      </c>
      <c r="S33" s="4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84</v>
      </c>
      <c r="AD33" s="35">
        <v>43344</v>
      </c>
    </row>
    <row r="34" spans="1:30" x14ac:dyDescent="0.25">
      <c r="A34">
        <v>443785</v>
      </c>
      <c r="B34" t="s">
        <v>116</v>
      </c>
      <c r="C34">
        <v>2018</v>
      </c>
      <c r="D34">
        <v>12</v>
      </c>
      <c r="E34" t="s">
        <v>85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86</v>
      </c>
      <c r="L34" t="s">
        <v>103</v>
      </c>
      <c r="M34">
        <v>3041.3129330199999</v>
      </c>
      <c r="N34">
        <v>0</v>
      </c>
      <c r="O34" t="s">
        <v>80</v>
      </c>
      <c r="P34" s="35">
        <v>44284.514579629627</v>
      </c>
      <c r="Q34">
        <v>4215244</v>
      </c>
      <c r="R34" t="s">
        <v>81</v>
      </c>
      <c r="S34" s="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84</v>
      </c>
      <c r="AD34" s="35">
        <v>43435</v>
      </c>
    </row>
    <row r="35" spans="1:30" x14ac:dyDescent="0.25">
      <c r="A35">
        <v>119614</v>
      </c>
      <c r="B35" t="s">
        <v>113</v>
      </c>
      <c r="C35">
        <v>2018</v>
      </c>
      <c r="D35">
        <v>9</v>
      </c>
      <c r="E35" t="s">
        <v>85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86</v>
      </c>
      <c r="L35" t="s">
        <v>103</v>
      </c>
      <c r="M35">
        <v>1439.52704135</v>
      </c>
      <c r="N35">
        <v>0</v>
      </c>
      <c r="O35" t="s">
        <v>80</v>
      </c>
      <c r="P35" s="35">
        <v>44269.851105011578</v>
      </c>
      <c r="Q35">
        <v>1081613</v>
      </c>
      <c r="R35" t="s">
        <v>81</v>
      </c>
      <c r="S35" s="4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84</v>
      </c>
      <c r="AD35" s="35">
        <v>43344</v>
      </c>
    </row>
    <row r="36" spans="1:30" x14ac:dyDescent="0.25">
      <c r="A36">
        <v>144856</v>
      </c>
      <c r="B36" t="s">
        <v>115</v>
      </c>
      <c r="C36">
        <v>2018</v>
      </c>
      <c r="D36">
        <v>11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88</v>
      </c>
      <c r="L36" t="s">
        <v>103</v>
      </c>
      <c r="M36">
        <v>527.43779992999998</v>
      </c>
      <c r="N36">
        <v>0</v>
      </c>
      <c r="O36" t="s">
        <v>80</v>
      </c>
      <c r="P36" s="35">
        <v>44269.854263738423</v>
      </c>
      <c r="Q36">
        <v>1337065</v>
      </c>
      <c r="R36" t="s">
        <v>81</v>
      </c>
      <c r="S36" s="4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84</v>
      </c>
      <c r="AD36" s="35">
        <v>43405</v>
      </c>
    </row>
    <row r="37" spans="1:30" x14ac:dyDescent="0.25">
      <c r="A37">
        <v>443809</v>
      </c>
      <c r="B37" t="s">
        <v>116</v>
      </c>
      <c r="C37">
        <v>2018</v>
      </c>
      <c r="D37">
        <v>12</v>
      </c>
      <c r="E37" t="s">
        <v>87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88</v>
      </c>
      <c r="L37" t="s">
        <v>103</v>
      </c>
      <c r="M37">
        <v>824.95046656</v>
      </c>
      <c r="N37">
        <v>0</v>
      </c>
      <c r="O37" t="s">
        <v>80</v>
      </c>
      <c r="P37" s="35">
        <v>44284.514580937503</v>
      </c>
      <c r="Q37">
        <v>4215364</v>
      </c>
      <c r="R37" t="s">
        <v>81</v>
      </c>
      <c r="S37" s="4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84</v>
      </c>
      <c r="AD37" s="35">
        <v>43435</v>
      </c>
    </row>
    <row r="38" spans="1:30" x14ac:dyDescent="0.25">
      <c r="A38">
        <v>144880</v>
      </c>
      <c r="B38" t="s">
        <v>115</v>
      </c>
      <c r="C38">
        <v>2018</v>
      </c>
      <c r="D38">
        <v>11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1036.3887642100001</v>
      </c>
      <c r="N38">
        <v>0</v>
      </c>
      <c r="O38" t="s">
        <v>80</v>
      </c>
      <c r="P38" s="35">
        <v>44269.854264965281</v>
      </c>
      <c r="Q38">
        <v>1337185</v>
      </c>
      <c r="R38" t="s">
        <v>81</v>
      </c>
      <c r="S38" s="4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84</v>
      </c>
      <c r="AD38" s="35">
        <v>43405</v>
      </c>
    </row>
    <row r="39" spans="1:30" x14ac:dyDescent="0.25">
      <c r="A39">
        <v>130342</v>
      </c>
      <c r="B39" t="s">
        <v>114</v>
      </c>
      <c r="C39">
        <v>2018</v>
      </c>
      <c r="D39">
        <v>10</v>
      </c>
      <c r="E39" t="s">
        <v>89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90</v>
      </c>
      <c r="L39" t="s">
        <v>103</v>
      </c>
      <c r="M39">
        <v>879.43208655000001</v>
      </c>
      <c r="N39">
        <v>0</v>
      </c>
      <c r="O39" t="s">
        <v>80</v>
      </c>
      <c r="P39" s="35">
        <v>44269.852574803241</v>
      </c>
      <c r="Q39">
        <v>1193225</v>
      </c>
      <c r="R39" t="s">
        <v>81</v>
      </c>
      <c r="S39" s="4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84</v>
      </c>
      <c r="AD39" s="35">
        <v>43374</v>
      </c>
    </row>
    <row r="40" spans="1:30" x14ac:dyDescent="0.25">
      <c r="A40">
        <v>443833</v>
      </c>
      <c r="B40" t="s">
        <v>116</v>
      </c>
      <c r="C40">
        <v>2018</v>
      </c>
      <c r="D40">
        <v>12</v>
      </c>
      <c r="E40" t="s">
        <v>89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90</v>
      </c>
      <c r="L40" t="s">
        <v>103</v>
      </c>
      <c r="M40">
        <v>1153.4816149200001</v>
      </c>
      <c r="N40">
        <v>0</v>
      </c>
      <c r="O40" t="s">
        <v>80</v>
      </c>
      <c r="P40" s="35">
        <v>44284.51458221065</v>
      </c>
      <c r="Q40">
        <v>4215484</v>
      </c>
      <c r="R40" t="s">
        <v>81</v>
      </c>
      <c r="S40" s="4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84</v>
      </c>
      <c r="AD40" s="35">
        <v>43435</v>
      </c>
    </row>
    <row r="41" spans="1:30" x14ac:dyDescent="0.25">
      <c r="A41">
        <v>339897</v>
      </c>
      <c r="B41" t="s">
        <v>112</v>
      </c>
      <c r="C41">
        <v>2018</v>
      </c>
      <c r="D41">
        <v>4</v>
      </c>
      <c r="E41" t="s">
        <v>89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90</v>
      </c>
      <c r="L41" t="s">
        <v>103</v>
      </c>
      <c r="M41">
        <v>912.57738198000004</v>
      </c>
      <c r="N41">
        <v>0</v>
      </c>
      <c r="O41" t="s">
        <v>79</v>
      </c>
      <c r="P41" s="35">
        <v>44269.883116168981</v>
      </c>
      <c r="Q41">
        <v>3217228</v>
      </c>
      <c r="R41" t="s">
        <v>82</v>
      </c>
      <c r="S41" s="4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84</v>
      </c>
      <c r="AD41" s="35">
        <v>43191</v>
      </c>
    </row>
    <row r="42" spans="1:30" x14ac:dyDescent="0.25">
      <c r="A42">
        <v>339851</v>
      </c>
      <c r="B42" t="s">
        <v>112</v>
      </c>
      <c r="C42">
        <v>2018</v>
      </c>
      <c r="D42">
        <v>4</v>
      </c>
      <c r="E42" t="s">
        <v>85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86</v>
      </c>
      <c r="L42" t="s">
        <v>103</v>
      </c>
      <c r="M42">
        <v>2217.9983667299998</v>
      </c>
      <c r="N42">
        <v>0</v>
      </c>
      <c r="O42" t="s">
        <v>79</v>
      </c>
      <c r="P42" s="35">
        <v>44269.88311489582</v>
      </c>
      <c r="Q42">
        <v>3217136</v>
      </c>
      <c r="R42" t="s">
        <v>82</v>
      </c>
      <c r="S42" s="4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84</v>
      </c>
      <c r="AD42" s="35">
        <v>43191</v>
      </c>
    </row>
    <row r="43" spans="1:30" x14ac:dyDescent="0.25">
      <c r="A43">
        <v>339874</v>
      </c>
      <c r="B43" t="s">
        <v>112</v>
      </c>
      <c r="C43">
        <v>2018</v>
      </c>
      <c r="D43">
        <v>4</v>
      </c>
      <c r="E43" t="s">
        <v>87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88</v>
      </c>
      <c r="L43" t="s">
        <v>103</v>
      </c>
      <c r="M43">
        <v>395.73036543000001</v>
      </c>
      <c r="N43">
        <v>0</v>
      </c>
      <c r="O43" t="s">
        <v>79</v>
      </c>
      <c r="P43" s="35">
        <v>44269.883115474528</v>
      </c>
      <c r="Q43">
        <v>3217182</v>
      </c>
      <c r="R43" t="s">
        <v>82</v>
      </c>
      <c r="S43" s="4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84</v>
      </c>
      <c r="AD43" s="35">
        <v>43191</v>
      </c>
    </row>
    <row r="44" spans="1:30" x14ac:dyDescent="0.25">
      <c r="A44">
        <v>51320</v>
      </c>
      <c r="B44" t="s">
        <v>117</v>
      </c>
      <c r="C44">
        <v>2018</v>
      </c>
      <c r="D44">
        <v>2</v>
      </c>
      <c r="E44" t="s">
        <v>85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86</v>
      </c>
      <c r="L44" t="s">
        <v>103</v>
      </c>
      <c r="M44">
        <v>2992.3278786400001</v>
      </c>
      <c r="N44">
        <v>0</v>
      </c>
      <c r="O44" t="s">
        <v>79</v>
      </c>
      <c r="P44" s="35">
        <v>44269.843124270832</v>
      </c>
      <c r="Q44">
        <v>446370</v>
      </c>
      <c r="R44" t="s">
        <v>74</v>
      </c>
      <c r="S44" s="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84</v>
      </c>
      <c r="AD44" s="35">
        <v>43132</v>
      </c>
    </row>
    <row r="45" spans="1:30" x14ac:dyDescent="0.25">
      <c r="A45">
        <v>51342</v>
      </c>
      <c r="B45" t="s">
        <v>117</v>
      </c>
      <c r="C45">
        <v>2018</v>
      </c>
      <c r="D45">
        <v>2</v>
      </c>
      <c r="E45" t="s">
        <v>87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88</v>
      </c>
      <c r="L45" t="s">
        <v>103</v>
      </c>
      <c r="M45">
        <v>828.89142677999996</v>
      </c>
      <c r="N45">
        <v>0</v>
      </c>
      <c r="O45" t="s">
        <v>79</v>
      </c>
      <c r="P45" s="35">
        <v>44269.843124965279</v>
      </c>
      <c r="Q45">
        <v>446414</v>
      </c>
      <c r="R45" t="s">
        <v>74</v>
      </c>
      <c r="S45" s="4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84</v>
      </c>
      <c r="AD45" s="35">
        <v>43132</v>
      </c>
    </row>
    <row r="46" spans="1:30" x14ac:dyDescent="0.25">
      <c r="A46">
        <v>51364</v>
      </c>
      <c r="B46" t="s">
        <v>117</v>
      </c>
      <c r="C46">
        <v>2018</v>
      </c>
      <c r="D46">
        <v>2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1043.8948492300001</v>
      </c>
      <c r="N46">
        <v>0</v>
      </c>
      <c r="O46" t="s">
        <v>79</v>
      </c>
      <c r="P46" s="35">
        <v>44269.843125613428</v>
      </c>
      <c r="Q46">
        <v>446458</v>
      </c>
      <c r="R46" t="s">
        <v>74</v>
      </c>
      <c r="S46" s="4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84</v>
      </c>
      <c r="AD46" s="35">
        <v>43132</v>
      </c>
    </row>
    <row r="47" spans="1:30" x14ac:dyDescent="0.25">
      <c r="A47">
        <v>144880</v>
      </c>
      <c r="B47" t="s">
        <v>115</v>
      </c>
      <c r="C47">
        <v>2018</v>
      </c>
      <c r="D47">
        <v>11</v>
      </c>
      <c r="E47" t="s">
        <v>89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90</v>
      </c>
      <c r="L47" t="s">
        <v>103</v>
      </c>
      <c r="M47">
        <v>1036.3887642100001</v>
      </c>
      <c r="N47">
        <v>0</v>
      </c>
      <c r="O47" t="s">
        <v>80</v>
      </c>
      <c r="P47" s="35">
        <v>44269.854264965281</v>
      </c>
      <c r="Q47">
        <v>1337184</v>
      </c>
      <c r="R47" t="s">
        <v>27</v>
      </c>
      <c r="S47" s="4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84</v>
      </c>
      <c r="AD47" s="35">
        <v>43405</v>
      </c>
    </row>
    <row r="48" spans="1:30" x14ac:dyDescent="0.25">
      <c r="A48">
        <v>119662</v>
      </c>
      <c r="B48" t="s">
        <v>113</v>
      </c>
      <c r="C48">
        <v>2018</v>
      </c>
      <c r="D48">
        <v>9</v>
      </c>
      <c r="E48" t="s">
        <v>89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90</v>
      </c>
      <c r="L48" t="s">
        <v>103</v>
      </c>
      <c r="M48">
        <v>843.05591856000001</v>
      </c>
      <c r="N48">
        <v>0</v>
      </c>
      <c r="O48" t="s">
        <v>80</v>
      </c>
      <c r="P48" s="35">
        <v>44269.851107986113</v>
      </c>
      <c r="Q48">
        <v>1081852</v>
      </c>
      <c r="R48" t="s">
        <v>27</v>
      </c>
      <c r="S48" s="4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84</v>
      </c>
      <c r="AD48" s="35">
        <v>43344</v>
      </c>
    </row>
    <row r="49" spans="1:30" x14ac:dyDescent="0.25">
      <c r="A49">
        <v>119614</v>
      </c>
      <c r="B49" t="s">
        <v>113</v>
      </c>
      <c r="C49">
        <v>2018</v>
      </c>
      <c r="D49">
        <v>9</v>
      </c>
      <c r="E49" t="s">
        <v>85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86</v>
      </c>
      <c r="L49" t="s">
        <v>103</v>
      </c>
      <c r="M49">
        <v>1439.52704135</v>
      </c>
      <c r="N49">
        <v>0</v>
      </c>
      <c r="O49" t="s">
        <v>80</v>
      </c>
      <c r="P49" s="35">
        <v>44269.851105011578</v>
      </c>
      <c r="Q49">
        <v>1081612</v>
      </c>
      <c r="R49" t="s">
        <v>27</v>
      </c>
      <c r="S49" s="4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84</v>
      </c>
      <c r="AD49" s="35">
        <v>43344</v>
      </c>
    </row>
    <row r="50" spans="1:30" x14ac:dyDescent="0.25">
      <c r="A50">
        <v>130294</v>
      </c>
      <c r="B50" t="s">
        <v>114</v>
      </c>
      <c r="C50">
        <v>2018</v>
      </c>
      <c r="D50">
        <v>10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1428.8615156599999</v>
      </c>
      <c r="N50">
        <v>0</v>
      </c>
      <c r="O50" t="s">
        <v>80</v>
      </c>
      <c r="P50" s="35">
        <v>44269.8525723727</v>
      </c>
      <c r="Q50">
        <v>1192984</v>
      </c>
      <c r="R50" t="s">
        <v>27</v>
      </c>
      <c r="S50" s="4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84</v>
      </c>
      <c r="AD50" s="35">
        <v>43374</v>
      </c>
    </row>
    <row r="51" spans="1:30" x14ac:dyDescent="0.25">
      <c r="A51">
        <v>443809</v>
      </c>
      <c r="B51" t="s">
        <v>116</v>
      </c>
      <c r="C51">
        <v>2018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824.95046656</v>
      </c>
      <c r="N51">
        <v>0</v>
      </c>
      <c r="O51" t="s">
        <v>80</v>
      </c>
      <c r="P51" s="35">
        <v>44284.514580937503</v>
      </c>
      <c r="Q51">
        <v>4215363</v>
      </c>
      <c r="R51" t="s">
        <v>27</v>
      </c>
      <c r="S51" s="4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84</v>
      </c>
      <c r="AD51" s="35">
        <v>43435</v>
      </c>
    </row>
    <row r="52" spans="1:30" x14ac:dyDescent="0.25">
      <c r="A52">
        <v>144832</v>
      </c>
      <c r="B52" t="s">
        <v>115</v>
      </c>
      <c r="C52">
        <v>2018</v>
      </c>
      <c r="D52">
        <v>11</v>
      </c>
      <c r="E52" t="s">
        <v>85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86</v>
      </c>
      <c r="L52" t="s">
        <v>103</v>
      </c>
      <c r="M52">
        <v>1939.5207746900001</v>
      </c>
      <c r="N52">
        <v>0</v>
      </c>
      <c r="O52" t="s">
        <v>80</v>
      </c>
      <c r="P52" s="35">
        <v>44269.854262534733</v>
      </c>
      <c r="Q52">
        <v>1336944</v>
      </c>
      <c r="R52" t="s">
        <v>27</v>
      </c>
      <c r="S52" s="4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84</v>
      </c>
      <c r="AD52" s="35">
        <v>43405</v>
      </c>
    </row>
    <row r="53" spans="1:30" x14ac:dyDescent="0.25">
      <c r="A53">
        <v>119638</v>
      </c>
      <c r="B53" t="s">
        <v>113</v>
      </c>
      <c r="C53">
        <v>2018</v>
      </c>
      <c r="D53">
        <v>9</v>
      </c>
      <c r="E53" t="s">
        <v>87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88</v>
      </c>
      <c r="L53" t="s">
        <v>103</v>
      </c>
      <c r="M53">
        <v>316.65874517999998</v>
      </c>
      <c r="N53">
        <v>0</v>
      </c>
      <c r="O53" t="s">
        <v>80</v>
      </c>
      <c r="P53" s="35">
        <v>44269.85110659722</v>
      </c>
      <c r="Q53">
        <v>1081732</v>
      </c>
      <c r="R53" t="s">
        <v>27</v>
      </c>
      <c r="S53" s="4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84</v>
      </c>
      <c r="AD53" s="35">
        <v>43344</v>
      </c>
    </row>
    <row r="54" spans="1:30" x14ac:dyDescent="0.25">
      <c r="A54">
        <v>443833</v>
      </c>
      <c r="B54" t="s">
        <v>116</v>
      </c>
      <c r="C54">
        <v>2018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1153.4816149200001</v>
      </c>
      <c r="N54">
        <v>0</v>
      </c>
      <c r="O54" t="s">
        <v>80</v>
      </c>
      <c r="P54" s="35">
        <v>44284.51458221065</v>
      </c>
      <c r="Q54">
        <v>4215483</v>
      </c>
      <c r="R54" t="s">
        <v>27</v>
      </c>
      <c r="S54" s="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84</v>
      </c>
      <c r="AD54" s="35">
        <v>43435</v>
      </c>
    </row>
    <row r="55" spans="1:30" x14ac:dyDescent="0.25">
      <c r="A55">
        <v>443785</v>
      </c>
      <c r="B55" t="s">
        <v>116</v>
      </c>
      <c r="C55">
        <v>2018</v>
      </c>
      <c r="D55">
        <v>12</v>
      </c>
      <c r="E55" t="s">
        <v>85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86</v>
      </c>
      <c r="L55" t="s">
        <v>103</v>
      </c>
      <c r="M55">
        <v>3041.3129330199999</v>
      </c>
      <c r="N55">
        <v>0</v>
      </c>
      <c r="O55" t="s">
        <v>80</v>
      </c>
      <c r="P55" s="35">
        <v>44284.514579629627</v>
      </c>
      <c r="Q55">
        <v>4215243</v>
      </c>
      <c r="R55" t="s">
        <v>27</v>
      </c>
      <c r="S55" s="4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84</v>
      </c>
      <c r="AD55" s="35">
        <v>43435</v>
      </c>
    </row>
    <row r="56" spans="1:30" x14ac:dyDescent="0.25">
      <c r="A56">
        <v>130342</v>
      </c>
      <c r="B56" t="s">
        <v>114</v>
      </c>
      <c r="C56">
        <v>2018</v>
      </c>
      <c r="D56">
        <v>10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879.43208655000001</v>
      </c>
      <c r="N56">
        <v>0</v>
      </c>
      <c r="O56" t="s">
        <v>80</v>
      </c>
      <c r="P56" s="35">
        <v>44269.852574803241</v>
      </c>
      <c r="Q56">
        <v>1193224</v>
      </c>
      <c r="R56" t="s">
        <v>27</v>
      </c>
      <c r="S56" s="4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84</v>
      </c>
      <c r="AD56" s="35">
        <v>43374</v>
      </c>
    </row>
    <row r="57" spans="1:30" x14ac:dyDescent="0.25">
      <c r="A57">
        <v>130318</v>
      </c>
      <c r="B57" t="s">
        <v>114</v>
      </c>
      <c r="C57">
        <v>2018</v>
      </c>
      <c r="D57">
        <v>10</v>
      </c>
      <c r="E57" t="s">
        <v>87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88</v>
      </c>
      <c r="L57" t="s">
        <v>103</v>
      </c>
      <c r="M57">
        <v>333.40243543999998</v>
      </c>
      <c r="N57">
        <v>0</v>
      </c>
      <c r="O57" t="s">
        <v>80</v>
      </c>
      <c r="P57" s="35">
        <v>44269.852573611111</v>
      </c>
      <c r="Q57">
        <v>1193104</v>
      </c>
      <c r="R57" t="s">
        <v>27</v>
      </c>
      <c r="S57" s="4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84</v>
      </c>
      <c r="AD57" s="35">
        <v>43374</v>
      </c>
    </row>
    <row r="58" spans="1:30" x14ac:dyDescent="0.25">
      <c r="A58">
        <v>144856</v>
      </c>
      <c r="B58" t="s">
        <v>115</v>
      </c>
      <c r="C58">
        <v>2018</v>
      </c>
      <c r="D58">
        <v>11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527.43779992999998</v>
      </c>
      <c r="N58">
        <v>0</v>
      </c>
      <c r="O58" t="s">
        <v>80</v>
      </c>
      <c r="P58" s="35">
        <v>44269.854263738423</v>
      </c>
      <c r="Q58">
        <v>1337064</v>
      </c>
      <c r="R58" t="s">
        <v>27</v>
      </c>
      <c r="S58" s="4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84</v>
      </c>
      <c r="AD58" s="35">
        <v>43405</v>
      </c>
    </row>
    <row r="59" spans="1:30" x14ac:dyDescent="0.25">
      <c r="A59">
        <v>63558</v>
      </c>
      <c r="B59" t="s">
        <v>118</v>
      </c>
      <c r="C59">
        <v>2018</v>
      </c>
      <c r="D59">
        <v>3</v>
      </c>
      <c r="E59" t="s">
        <v>85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86</v>
      </c>
      <c r="L59" t="s">
        <v>103</v>
      </c>
      <c r="M59">
        <v>2918.7091952800001</v>
      </c>
      <c r="N59">
        <v>0</v>
      </c>
      <c r="O59" t="s">
        <v>79</v>
      </c>
      <c r="P59" s="35">
        <v>44269.844469872682</v>
      </c>
      <c r="Q59">
        <v>560913</v>
      </c>
      <c r="R59" t="s">
        <v>74</v>
      </c>
      <c r="S59" s="4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84</v>
      </c>
      <c r="AD59" s="35">
        <v>43160</v>
      </c>
    </row>
    <row r="60" spans="1:30" x14ac:dyDescent="0.25">
      <c r="A60">
        <v>63604</v>
      </c>
      <c r="B60" t="s">
        <v>118</v>
      </c>
      <c r="C60">
        <v>2018</v>
      </c>
      <c r="D60">
        <v>3</v>
      </c>
      <c r="E60" t="s">
        <v>89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90</v>
      </c>
      <c r="L60" t="s">
        <v>103</v>
      </c>
      <c r="M60">
        <v>1101.95310419</v>
      </c>
      <c r="N60">
        <v>0</v>
      </c>
      <c r="O60" t="s">
        <v>79</v>
      </c>
      <c r="P60" s="35">
        <v>44269.844471643519</v>
      </c>
      <c r="Q60">
        <v>561005</v>
      </c>
      <c r="R60" t="s">
        <v>74</v>
      </c>
      <c r="S60" s="4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84</v>
      </c>
      <c r="AD60" s="35">
        <v>43160</v>
      </c>
    </row>
    <row r="61" spans="1:30" x14ac:dyDescent="0.25">
      <c r="A61">
        <v>63581</v>
      </c>
      <c r="B61" t="s">
        <v>118</v>
      </c>
      <c r="C61">
        <v>2018</v>
      </c>
      <c r="D61">
        <v>3</v>
      </c>
      <c r="E61" t="s">
        <v>87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88</v>
      </c>
      <c r="L61" t="s">
        <v>103</v>
      </c>
      <c r="M61">
        <v>681.39686511000002</v>
      </c>
      <c r="N61">
        <v>0</v>
      </c>
      <c r="O61" t="s">
        <v>79</v>
      </c>
      <c r="P61" s="35">
        <v>44269.844470682867</v>
      </c>
      <c r="Q61">
        <v>560959</v>
      </c>
      <c r="R61" t="s">
        <v>74</v>
      </c>
      <c r="S61" s="4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84</v>
      </c>
      <c r="AD61" s="35">
        <v>43160</v>
      </c>
    </row>
    <row r="62" spans="1:30" x14ac:dyDescent="0.25">
      <c r="A62">
        <v>38545</v>
      </c>
      <c r="B62" t="s">
        <v>119</v>
      </c>
      <c r="C62">
        <v>2018</v>
      </c>
      <c r="D62">
        <v>1</v>
      </c>
      <c r="E62" t="s">
        <v>85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86</v>
      </c>
      <c r="L62" t="s">
        <v>103</v>
      </c>
      <c r="M62">
        <v>2934.8747129799999</v>
      </c>
      <c r="N62">
        <v>0</v>
      </c>
      <c r="O62" t="s">
        <v>79</v>
      </c>
      <c r="P62" s="35">
        <v>44269.841712766203</v>
      </c>
      <c r="Q62">
        <v>327738</v>
      </c>
      <c r="R62" t="s">
        <v>74</v>
      </c>
      <c r="S62" s="4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84</v>
      </c>
      <c r="AD62" s="35">
        <v>43101</v>
      </c>
    </row>
    <row r="63" spans="1:30" x14ac:dyDescent="0.25">
      <c r="A63">
        <v>38568</v>
      </c>
      <c r="B63" t="s">
        <v>119</v>
      </c>
      <c r="C63">
        <v>2018</v>
      </c>
      <c r="D63">
        <v>1</v>
      </c>
      <c r="E63" t="s">
        <v>87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88</v>
      </c>
      <c r="L63" t="s">
        <v>103</v>
      </c>
      <c r="M63">
        <v>892.08334261000005</v>
      </c>
      <c r="N63">
        <v>0</v>
      </c>
      <c r="O63" t="s">
        <v>79</v>
      </c>
      <c r="P63" s="35">
        <v>44269.841713576388</v>
      </c>
      <c r="Q63">
        <v>327784</v>
      </c>
      <c r="R63" t="s">
        <v>74</v>
      </c>
      <c r="S63" s="4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84</v>
      </c>
      <c r="AD63" s="35">
        <v>43101</v>
      </c>
    </row>
    <row r="64" spans="1:30" x14ac:dyDescent="0.25">
      <c r="A64">
        <v>38591</v>
      </c>
      <c r="B64" t="s">
        <v>119</v>
      </c>
      <c r="C64">
        <v>2018</v>
      </c>
      <c r="D64">
        <v>1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1063.1400695499999</v>
      </c>
      <c r="N64">
        <v>0</v>
      </c>
      <c r="O64" t="s">
        <v>79</v>
      </c>
      <c r="P64" s="35">
        <v>44269.841714548609</v>
      </c>
      <c r="Q64">
        <v>327830</v>
      </c>
      <c r="R64" t="s">
        <v>74</v>
      </c>
      <c r="S64" s="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84</v>
      </c>
      <c r="AD64" s="35">
        <v>43101</v>
      </c>
    </row>
    <row r="65" spans="1:30" x14ac:dyDescent="0.25">
      <c r="A65">
        <v>352684</v>
      </c>
      <c r="B65" t="s">
        <v>120</v>
      </c>
      <c r="C65">
        <v>2018</v>
      </c>
      <c r="D65">
        <v>5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2108.0789959600002</v>
      </c>
      <c r="N65">
        <v>0</v>
      </c>
      <c r="O65" t="s">
        <v>79</v>
      </c>
      <c r="P65" s="35">
        <v>44269.884373807872</v>
      </c>
      <c r="Q65">
        <v>3336167</v>
      </c>
      <c r="R65" t="s">
        <v>74</v>
      </c>
      <c r="S65" s="4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84</v>
      </c>
      <c r="AD65" s="35">
        <v>43221</v>
      </c>
    </row>
    <row r="66" spans="1:30" x14ac:dyDescent="0.25">
      <c r="A66">
        <v>352730</v>
      </c>
      <c r="B66" t="s">
        <v>120</v>
      </c>
      <c r="C66">
        <v>2018</v>
      </c>
      <c r="D66">
        <v>5</v>
      </c>
      <c r="E66" t="s">
        <v>89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90</v>
      </c>
      <c r="L66" t="s">
        <v>103</v>
      </c>
      <c r="M66">
        <v>932.17317322999997</v>
      </c>
      <c r="N66">
        <v>0</v>
      </c>
      <c r="O66" t="s">
        <v>79</v>
      </c>
      <c r="P66" s="35">
        <v>44269.884375000001</v>
      </c>
      <c r="Q66">
        <v>3336259</v>
      </c>
      <c r="R66" t="s">
        <v>74</v>
      </c>
      <c r="S66" s="4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84</v>
      </c>
      <c r="AD66" s="35">
        <v>43221</v>
      </c>
    </row>
    <row r="67" spans="1:30" x14ac:dyDescent="0.25">
      <c r="A67">
        <v>352707</v>
      </c>
      <c r="B67" t="s">
        <v>120</v>
      </c>
      <c r="C67">
        <v>2018</v>
      </c>
      <c r="D67">
        <v>5</v>
      </c>
      <c r="E67" t="s">
        <v>87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88</v>
      </c>
      <c r="L67" t="s">
        <v>103</v>
      </c>
      <c r="M67">
        <v>393.55599067000003</v>
      </c>
      <c r="N67">
        <v>0</v>
      </c>
      <c r="O67" t="s">
        <v>79</v>
      </c>
      <c r="P67" s="35">
        <v>44269.884374386573</v>
      </c>
      <c r="Q67">
        <v>3336213</v>
      </c>
      <c r="R67" t="s">
        <v>74</v>
      </c>
      <c r="S67" s="4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84</v>
      </c>
      <c r="AD67" s="35">
        <v>43221</v>
      </c>
    </row>
    <row r="68" spans="1:30" x14ac:dyDescent="0.25">
      <c r="A68">
        <v>23</v>
      </c>
      <c r="B68" t="s">
        <v>121</v>
      </c>
      <c r="C68">
        <v>2017</v>
      </c>
      <c r="D68">
        <v>9</v>
      </c>
      <c r="E68" t="s">
        <v>87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88</v>
      </c>
      <c r="L68" t="s">
        <v>103</v>
      </c>
      <c r="M68">
        <v>317.51694221999998</v>
      </c>
      <c r="N68">
        <v>0</v>
      </c>
      <c r="O68" t="s">
        <v>79</v>
      </c>
      <c r="P68" s="35">
        <v>44269.837767013887</v>
      </c>
      <c r="Q68">
        <v>46</v>
      </c>
      <c r="R68" t="s">
        <v>74</v>
      </c>
      <c r="S68" s="4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84</v>
      </c>
      <c r="AD68" s="35">
        <v>42979</v>
      </c>
    </row>
    <row r="69" spans="1:30" x14ac:dyDescent="0.25">
      <c r="A69">
        <v>2</v>
      </c>
      <c r="B69" t="s">
        <v>121</v>
      </c>
      <c r="C69">
        <v>2017</v>
      </c>
      <c r="D69">
        <v>9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1525.35760676</v>
      </c>
      <c r="N69">
        <v>0</v>
      </c>
      <c r="O69" t="s">
        <v>79</v>
      </c>
      <c r="P69" s="35">
        <v>44269.837765891207</v>
      </c>
      <c r="Q69">
        <v>4</v>
      </c>
      <c r="R69" t="s">
        <v>74</v>
      </c>
      <c r="S69" s="4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84</v>
      </c>
      <c r="AD69" s="35">
        <v>42979</v>
      </c>
    </row>
    <row r="70" spans="1:30" x14ac:dyDescent="0.25">
      <c r="A70">
        <v>44</v>
      </c>
      <c r="B70" t="s">
        <v>121</v>
      </c>
      <c r="C70">
        <v>2017</v>
      </c>
      <c r="D70">
        <v>9</v>
      </c>
      <c r="E70" t="s">
        <v>89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90</v>
      </c>
      <c r="L70" t="s">
        <v>103</v>
      </c>
      <c r="M70">
        <v>1160.3236436</v>
      </c>
      <c r="N70">
        <v>0</v>
      </c>
      <c r="O70" t="s">
        <v>79</v>
      </c>
      <c r="P70" s="35">
        <v>44269.837768090278</v>
      </c>
      <c r="Q70">
        <v>88</v>
      </c>
      <c r="R70" t="s">
        <v>74</v>
      </c>
      <c r="S70" s="4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84</v>
      </c>
      <c r="AD70" s="35">
        <v>42979</v>
      </c>
    </row>
    <row r="71" spans="1:30" x14ac:dyDescent="0.25">
      <c r="A71">
        <v>655461</v>
      </c>
      <c r="B71" t="s">
        <v>122</v>
      </c>
      <c r="C71">
        <v>2017</v>
      </c>
      <c r="D71">
        <v>1</v>
      </c>
      <c r="E71" t="s">
        <v>59</v>
      </c>
      <c r="F71" t="s">
        <v>84</v>
      </c>
      <c r="G71" t="s">
        <v>84</v>
      </c>
      <c r="H71" t="s">
        <v>25</v>
      </c>
      <c r="I71" t="s">
        <v>25</v>
      </c>
      <c r="J71" t="s">
        <v>123</v>
      </c>
      <c r="K71" t="s">
        <v>106</v>
      </c>
      <c r="L71" t="s">
        <v>103</v>
      </c>
      <c r="M71">
        <v>1996.11345764</v>
      </c>
      <c r="N71">
        <v>0</v>
      </c>
      <c r="O71" t="s">
        <v>79</v>
      </c>
      <c r="P71" s="35">
        <v>44334.054137187501</v>
      </c>
      <c r="Q71">
        <v>5805247</v>
      </c>
      <c r="R71" t="s">
        <v>74</v>
      </c>
      <c r="S71" s="4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84</v>
      </c>
      <c r="AD71" s="35">
        <v>42736</v>
      </c>
    </row>
    <row r="72" spans="1:30" x14ac:dyDescent="0.25">
      <c r="A72">
        <v>655417</v>
      </c>
      <c r="B72" t="s">
        <v>122</v>
      </c>
      <c r="C72">
        <v>2017</v>
      </c>
      <c r="D72">
        <v>1</v>
      </c>
      <c r="E72" t="s">
        <v>85</v>
      </c>
      <c r="F72" t="s">
        <v>84</v>
      </c>
      <c r="G72" t="s">
        <v>84</v>
      </c>
      <c r="H72" t="s">
        <v>25</v>
      </c>
      <c r="I72" t="s">
        <v>25</v>
      </c>
      <c r="J72" t="s">
        <v>123</v>
      </c>
      <c r="K72" t="s">
        <v>102</v>
      </c>
      <c r="L72" t="s">
        <v>103</v>
      </c>
      <c r="M72">
        <v>4925.9076084899998</v>
      </c>
      <c r="N72">
        <v>0</v>
      </c>
      <c r="O72" t="s">
        <v>79</v>
      </c>
      <c r="P72" s="35">
        <v>44334.054136030092</v>
      </c>
      <c r="Q72">
        <v>5805159</v>
      </c>
      <c r="R72" t="s">
        <v>74</v>
      </c>
      <c r="S72" s="4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84</v>
      </c>
      <c r="AD72" s="35">
        <v>42736</v>
      </c>
    </row>
    <row r="73" spans="1:30" x14ac:dyDescent="0.25">
      <c r="A73">
        <v>655439</v>
      </c>
      <c r="B73" t="s">
        <v>122</v>
      </c>
      <c r="C73">
        <v>2017</v>
      </c>
      <c r="D73">
        <v>1</v>
      </c>
      <c r="E73" t="s">
        <v>87</v>
      </c>
      <c r="F73" t="s">
        <v>84</v>
      </c>
      <c r="G73" t="s">
        <v>84</v>
      </c>
      <c r="H73" t="s">
        <v>25</v>
      </c>
      <c r="I73" t="s">
        <v>25</v>
      </c>
      <c r="J73" t="s">
        <v>123</v>
      </c>
      <c r="K73" t="s">
        <v>104</v>
      </c>
      <c r="L73" t="s">
        <v>103</v>
      </c>
      <c r="M73">
        <v>1242.4683375</v>
      </c>
      <c r="N73">
        <v>0</v>
      </c>
      <c r="O73" t="s">
        <v>79</v>
      </c>
      <c r="P73" s="35">
        <v>44334.054136608793</v>
      </c>
      <c r="Q73">
        <v>5805203</v>
      </c>
      <c r="R73" t="s">
        <v>74</v>
      </c>
      <c r="S73" s="4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84</v>
      </c>
      <c r="AD73" s="35">
        <v>42736</v>
      </c>
    </row>
    <row r="74" spans="1:30" x14ac:dyDescent="0.25">
      <c r="A74">
        <v>520721</v>
      </c>
      <c r="B74" t="s">
        <v>124</v>
      </c>
      <c r="C74">
        <v>2017</v>
      </c>
      <c r="D74">
        <v>2</v>
      </c>
      <c r="E74" t="s">
        <v>87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88</v>
      </c>
      <c r="L74" t="s">
        <v>103</v>
      </c>
      <c r="M74">
        <v>1561.42030755</v>
      </c>
      <c r="N74">
        <v>0</v>
      </c>
      <c r="O74" t="s">
        <v>79</v>
      </c>
      <c r="P74" s="35">
        <v>44330.100813923607</v>
      </c>
      <c r="Q74">
        <v>4802848</v>
      </c>
      <c r="R74" t="s">
        <v>74</v>
      </c>
      <c r="S74" s="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84</v>
      </c>
      <c r="AD74" s="35">
        <v>42767</v>
      </c>
    </row>
    <row r="75" spans="1:30" x14ac:dyDescent="0.25">
      <c r="A75">
        <v>530744</v>
      </c>
      <c r="B75" t="s">
        <v>125</v>
      </c>
      <c r="C75">
        <v>2017</v>
      </c>
      <c r="D75">
        <v>3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1611.96951592</v>
      </c>
      <c r="N75">
        <v>0</v>
      </c>
      <c r="O75" t="s">
        <v>79</v>
      </c>
      <c r="P75" s="35">
        <v>44330.101799884258</v>
      </c>
      <c r="Q75">
        <v>4888357</v>
      </c>
      <c r="R75" t="s">
        <v>74</v>
      </c>
      <c r="S75" s="4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84</v>
      </c>
      <c r="AD75" s="35">
        <v>42795</v>
      </c>
    </row>
    <row r="76" spans="1:30" x14ac:dyDescent="0.25">
      <c r="A76">
        <v>520699</v>
      </c>
      <c r="B76" t="s">
        <v>124</v>
      </c>
      <c r="C76">
        <v>2017</v>
      </c>
      <c r="D76">
        <v>2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5836.6764009500002</v>
      </c>
      <c r="N76">
        <v>0</v>
      </c>
      <c r="O76" t="s">
        <v>79</v>
      </c>
      <c r="P76" s="35">
        <v>44330.100813229168</v>
      </c>
      <c r="Q76">
        <v>4802804</v>
      </c>
      <c r="R76" t="s">
        <v>74</v>
      </c>
      <c r="S76" s="4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84</v>
      </c>
      <c r="AD76" s="35">
        <v>42767</v>
      </c>
    </row>
    <row r="77" spans="1:30" x14ac:dyDescent="0.25">
      <c r="A77">
        <v>520743</v>
      </c>
      <c r="B77" t="s">
        <v>124</v>
      </c>
      <c r="C77">
        <v>2017</v>
      </c>
      <c r="D77">
        <v>2</v>
      </c>
      <c r="E77" t="s">
        <v>89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90</v>
      </c>
      <c r="L77" t="s">
        <v>103</v>
      </c>
      <c r="M77">
        <v>1936.6982957099999</v>
      </c>
      <c r="N77">
        <v>0</v>
      </c>
      <c r="O77" t="s">
        <v>79</v>
      </c>
      <c r="P77" s="35">
        <v>44330.100814583333</v>
      </c>
      <c r="Q77">
        <v>4802892</v>
      </c>
      <c r="R77" t="s">
        <v>74</v>
      </c>
      <c r="S77" s="4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84</v>
      </c>
      <c r="AD77" s="35">
        <v>42767</v>
      </c>
    </row>
    <row r="78" spans="1:30" x14ac:dyDescent="0.25">
      <c r="A78">
        <v>530722</v>
      </c>
      <c r="B78" t="s">
        <v>125</v>
      </c>
      <c r="C78">
        <v>2017</v>
      </c>
      <c r="D78">
        <v>3</v>
      </c>
      <c r="E78" t="s">
        <v>85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86</v>
      </c>
      <c r="L78" t="s">
        <v>103</v>
      </c>
      <c r="M78">
        <v>6064.1041034099999</v>
      </c>
      <c r="N78">
        <v>0</v>
      </c>
      <c r="O78" t="s">
        <v>79</v>
      </c>
      <c r="P78" s="35">
        <v>44330.101799189812</v>
      </c>
      <c r="Q78">
        <v>4888313</v>
      </c>
      <c r="R78" t="s">
        <v>74</v>
      </c>
      <c r="S78" s="4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84</v>
      </c>
      <c r="AD78" s="35">
        <v>42795</v>
      </c>
    </row>
    <row r="79" spans="1:30" x14ac:dyDescent="0.25">
      <c r="A79">
        <v>530766</v>
      </c>
      <c r="B79" t="s">
        <v>125</v>
      </c>
      <c r="C79">
        <v>2017</v>
      </c>
      <c r="D79">
        <v>3</v>
      </c>
      <c r="E79" t="s">
        <v>89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90</v>
      </c>
      <c r="L79" t="s">
        <v>103</v>
      </c>
      <c r="M79">
        <v>1971.01751208</v>
      </c>
      <c r="N79">
        <v>0</v>
      </c>
      <c r="O79" t="s">
        <v>79</v>
      </c>
      <c r="P79" s="35">
        <v>44330.101800497687</v>
      </c>
      <c r="Q79">
        <v>4888401</v>
      </c>
      <c r="R79" t="s">
        <v>74</v>
      </c>
      <c r="S79" s="4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84</v>
      </c>
      <c r="AD79" s="35">
        <v>42795</v>
      </c>
    </row>
    <row r="80" spans="1:30" x14ac:dyDescent="0.25">
      <c r="A80">
        <v>51320</v>
      </c>
      <c r="B80" t="s">
        <v>117</v>
      </c>
      <c r="C80">
        <v>2018</v>
      </c>
      <c r="D80">
        <v>2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2992.3278786400001</v>
      </c>
      <c r="N80">
        <v>0</v>
      </c>
      <c r="O80" t="s">
        <v>79</v>
      </c>
      <c r="P80" s="35">
        <v>44269.843124270832</v>
      </c>
      <c r="Q80">
        <v>446369</v>
      </c>
      <c r="R80" t="s">
        <v>82</v>
      </c>
      <c r="S80" s="4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84</v>
      </c>
      <c r="AD80" s="35">
        <v>43132</v>
      </c>
    </row>
    <row r="81" spans="1:30" x14ac:dyDescent="0.25">
      <c r="A81">
        <v>51364</v>
      </c>
      <c r="B81" t="s">
        <v>117</v>
      </c>
      <c r="C81">
        <v>2018</v>
      </c>
      <c r="D81">
        <v>2</v>
      </c>
      <c r="E81" t="s">
        <v>89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90</v>
      </c>
      <c r="L81" t="s">
        <v>103</v>
      </c>
      <c r="M81">
        <v>1043.8948492300001</v>
      </c>
      <c r="N81">
        <v>0</v>
      </c>
      <c r="O81" t="s">
        <v>79</v>
      </c>
      <c r="P81" s="35">
        <v>44269.843125613428</v>
      </c>
      <c r="Q81">
        <v>446457</v>
      </c>
      <c r="R81" t="s">
        <v>82</v>
      </c>
      <c r="S81" s="4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84</v>
      </c>
      <c r="AD81" s="35">
        <v>43132</v>
      </c>
    </row>
    <row r="82" spans="1:30" x14ac:dyDescent="0.25">
      <c r="A82">
        <v>51342</v>
      </c>
      <c r="B82" t="s">
        <v>117</v>
      </c>
      <c r="C82">
        <v>2018</v>
      </c>
      <c r="D82">
        <v>2</v>
      </c>
      <c r="E82" t="s">
        <v>87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88</v>
      </c>
      <c r="L82" t="s">
        <v>103</v>
      </c>
      <c r="M82">
        <v>828.89142677999996</v>
      </c>
      <c r="N82">
        <v>0</v>
      </c>
      <c r="O82" t="s">
        <v>79</v>
      </c>
      <c r="P82" s="35">
        <v>44269.843124965279</v>
      </c>
      <c r="Q82">
        <v>446413</v>
      </c>
      <c r="R82" t="s">
        <v>82</v>
      </c>
      <c r="S82" s="4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84</v>
      </c>
      <c r="AD82" s="35">
        <v>43132</v>
      </c>
    </row>
    <row r="83" spans="1:30" x14ac:dyDescent="0.25">
      <c r="A83">
        <v>86397</v>
      </c>
      <c r="B83" t="s">
        <v>126</v>
      </c>
      <c r="C83">
        <v>2018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915.94283647999998</v>
      </c>
      <c r="N83">
        <v>0</v>
      </c>
      <c r="O83" t="s">
        <v>79</v>
      </c>
      <c r="P83" s="35">
        <v>44269.847218599527</v>
      </c>
      <c r="Q83">
        <v>783298</v>
      </c>
      <c r="R83" t="s">
        <v>74</v>
      </c>
      <c r="S83" s="4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84</v>
      </c>
      <c r="AD83" s="35">
        <v>43252</v>
      </c>
    </row>
    <row r="84" spans="1:30" x14ac:dyDescent="0.25">
      <c r="A84">
        <v>86373</v>
      </c>
      <c r="B84" t="s">
        <v>126</v>
      </c>
      <c r="C84">
        <v>2018</v>
      </c>
      <c r="D84">
        <v>6</v>
      </c>
      <c r="E84" t="s">
        <v>87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88</v>
      </c>
      <c r="L84" t="s">
        <v>103</v>
      </c>
      <c r="M84">
        <v>349.81857975999998</v>
      </c>
      <c r="N84">
        <v>0</v>
      </c>
      <c r="O84" t="s">
        <v>79</v>
      </c>
      <c r="P84" s="35">
        <v>44269.847217708331</v>
      </c>
      <c r="Q84">
        <v>783250</v>
      </c>
      <c r="R84" t="s">
        <v>74</v>
      </c>
      <c r="S84" s="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84</v>
      </c>
      <c r="AD84" s="35">
        <v>43252</v>
      </c>
    </row>
    <row r="85" spans="1:30" x14ac:dyDescent="0.25">
      <c r="A85">
        <v>86349</v>
      </c>
      <c r="B85" t="s">
        <v>126</v>
      </c>
      <c r="C85">
        <v>2018</v>
      </c>
      <c r="D85">
        <v>6</v>
      </c>
      <c r="E85" t="s">
        <v>85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86</v>
      </c>
      <c r="L85" t="s">
        <v>103</v>
      </c>
      <c r="M85">
        <v>1943.0653741900001</v>
      </c>
      <c r="N85">
        <v>0</v>
      </c>
      <c r="O85" t="s">
        <v>79</v>
      </c>
      <c r="P85" s="35">
        <v>44269.847216898153</v>
      </c>
      <c r="Q85">
        <v>783202</v>
      </c>
      <c r="R85" t="s">
        <v>74</v>
      </c>
      <c r="S85" s="4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84</v>
      </c>
      <c r="AD85" s="35">
        <v>43252</v>
      </c>
    </row>
    <row r="86" spans="1:30" x14ac:dyDescent="0.25">
      <c r="A86">
        <v>352730</v>
      </c>
      <c r="B86" t="s">
        <v>120</v>
      </c>
      <c r="C86">
        <v>2018</v>
      </c>
      <c r="D86">
        <v>5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932.17317322999997</v>
      </c>
      <c r="N86">
        <v>0</v>
      </c>
      <c r="O86" t="s">
        <v>79</v>
      </c>
      <c r="P86" s="35">
        <v>44269.884375000001</v>
      </c>
      <c r="Q86">
        <v>3336258</v>
      </c>
      <c r="R86" t="s">
        <v>82</v>
      </c>
      <c r="S86" s="4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84</v>
      </c>
      <c r="AD86" s="35">
        <v>43221</v>
      </c>
    </row>
    <row r="87" spans="1:30" x14ac:dyDescent="0.25">
      <c r="A87">
        <v>352707</v>
      </c>
      <c r="B87" t="s">
        <v>120</v>
      </c>
      <c r="C87">
        <v>2018</v>
      </c>
      <c r="D87">
        <v>5</v>
      </c>
      <c r="E87" t="s">
        <v>87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88</v>
      </c>
      <c r="L87" t="s">
        <v>103</v>
      </c>
      <c r="M87">
        <v>393.55599067000003</v>
      </c>
      <c r="N87">
        <v>0</v>
      </c>
      <c r="O87" t="s">
        <v>79</v>
      </c>
      <c r="P87" s="35">
        <v>44269.884374386573</v>
      </c>
      <c r="Q87">
        <v>3336212</v>
      </c>
      <c r="R87" t="s">
        <v>82</v>
      </c>
      <c r="S87" s="4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84</v>
      </c>
      <c r="AD87" s="35">
        <v>43221</v>
      </c>
    </row>
    <row r="88" spans="1:30" x14ac:dyDescent="0.25">
      <c r="A88">
        <v>352684</v>
      </c>
      <c r="B88" t="s">
        <v>120</v>
      </c>
      <c r="C88">
        <v>2018</v>
      </c>
      <c r="D88">
        <v>5</v>
      </c>
      <c r="E88" t="s">
        <v>85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86</v>
      </c>
      <c r="L88" t="s">
        <v>103</v>
      </c>
      <c r="M88">
        <v>2108.0789959600002</v>
      </c>
      <c r="N88">
        <v>0</v>
      </c>
      <c r="O88" t="s">
        <v>79</v>
      </c>
      <c r="P88" s="35">
        <v>44269.884373807872</v>
      </c>
      <c r="Q88">
        <v>3336166</v>
      </c>
      <c r="R88" t="s">
        <v>82</v>
      </c>
      <c r="S88" s="4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84</v>
      </c>
      <c r="AD88" s="35">
        <v>43221</v>
      </c>
    </row>
    <row r="89" spans="1:30" x14ac:dyDescent="0.25">
      <c r="A89">
        <v>144856</v>
      </c>
      <c r="B89" t="s">
        <v>115</v>
      </c>
      <c r="C89">
        <v>2018</v>
      </c>
      <c r="D89">
        <v>11</v>
      </c>
      <c r="E89" t="s">
        <v>87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88</v>
      </c>
      <c r="L89" t="s">
        <v>103</v>
      </c>
      <c r="M89">
        <v>527.43779992999998</v>
      </c>
      <c r="N89">
        <v>0</v>
      </c>
      <c r="O89" t="s">
        <v>80</v>
      </c>
      <c r="P89" s="35">
        <v>44269.854263738423</v>
      </c>
      <c r="Q89">
        <v>1337062</v>
      </c>
      <c r="R89" t="s">
        <v>26</v>
      </c>
      <c r="S89" s="4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84</v>
      </c>
      <c r="AD89" s="35">
        <v>43405</v>
      </c>
    </row>
    <row r="90" spans="1:30" x14ac:dyDescent="0.25">
      <c r="A90">
        <v>144832</v>
      </c>
      <c r="B90" t="s">
        <v>115</v>
      </c>
      <c r="C90">
        <v>2018</v>
      </c>
      <c r="D90">
        <v>11</v>
      </c>
      <c r="E90" t="s">
        <v>85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86</v>
      </c>
      <c r="L90" t="s">
        <v>103</v>
      </c>
      <c r="M90">
        <v>1939.5207746900001</v>
      </c>
      <c r="N90">
        <v>0</v>
      </c>
      <c r="O90" t="s">
        <v>80</v>
      </c>
      <c r="P90" s="35">
        <v>44269.854262534733</v>
      </c>
      <c r="Q90">
        <v>1336942</v>
      </c>
      <c r="R90" t="s">
        <v>26</v>
      </c>
      <c r="S90" s="4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84</v>
      </c>
      <c r="AD90" s="35">
        <v>43405</v>
      </c>
    </row>
    <row r="91" spans="1:30" x14ac:dyDescent="0.25">
      <c r="A91">
        <v>119662</v>
      </c>
      <c r="B91" t="s">
        <v>113</v>
      </c>
      <c r="C91">
        <v>2018</v>
      </c>
      <c r="D91">
        <v>9</v>
      </c>
      <c r="E91" t="s">
        <v>89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90</v>
      </c>
      <c r="L91" t="s">
        <v>103</v>
      </c>
      <c r="M91">
        <v>843.05591856000001</v>
      </c>
      <c r="N91">
        <v>0</v>
      </c>
      <c r="O91" t="s">
        <v>80</v>
      </c>
      <c r="P91" s="35">
        <v>44269.851107986113</v>
      </c>
      <c r="Q91">
        <v>1081850</v>
      </c>
      <c r="R91" t="s">
        <v>26</v>
      </c>
      <c r="S91" s="4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84</v>
      </c>
      <c r="AD91" s="35">
        <v>43344</v>
      </c>
    </row>
    <row r="92" spans="1:30" x14ac:dyDescent="0.25">
      <c r="A92">
        <v>119614</v>
      </c>
      <c r="B92" t="s">
        <v>113</v>
      </c>
      <c r="C92">
        <v>2018</v>
      </c>
      <c r="D92">
        <v>9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1439.52704135</v>
      </c>
      <c r="N92">
        <v>0</v>
      </c>
      <c r="O92" t="s">
        <v>80</v>
      </c>
      <c r="P92" s="35">
        <v>44269.851105011578</v>
      </c>
      <c r="Q92">
        <v>1081610</v>
      </c>
      <c r="R92" t="s">
        <v>26</v>
      </c>
      <c r="S92" s="4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84</v>
      </c>
      <c r="AD92" s="35">
        <v>43344</v>
      </c>
    </row>
    <row r="93" spans="1:30" x14ac:dyDescent="0.25">
      <c r="A93">
        <v>119638</v>
      </c>
      <c r="B93" t="s">
        <v>113</v>
      </c>
      <c r="C93">
        <v>2018</v>
      </c>
      <c r="D93">
        <v>9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316.65874517999998</v>
      </c>
      <c r="N93">
        <v>0</v>
      </c>
      <c r="O93" t="s">
        <v>80</v>
      </c>
      <c r="P93" s="35">
        <v>44269.85110659722</v>
      </c>
      <c r="Q93">
        <v>1081730</v>
      </c>
      <c r="R93" t="s">
        <v>26</v>
      </c>
      <c r="S93" s="4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84</v>
      </c>
      <c r="AD93" s="35">
        <v>43344</v>
      </c>
    </row>
    <row r="94" spans="1:30" x14ac:dyDescent="0.25">
      <c r="A94">
        <v>130318</v>
      </c>
      <c r="B94" t="s">
        <v>114</v>
      </c>
      <c r="C94">
        <v>2018</v>
      </c>
      <c r="D94">
        <v>10</v>
      </c>
      <c r="E94" t="s">
        <v>87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88</v>
      </c>
      <c r="L94" t="s">
        <v>103</v>
      </c>
      <c r="M94">
        <v>333.40243543999998</v>
      </c>
      <c r="N94">
        <v>0</v>
      </c>
      <c r="O94" t="s">
        <v>80</v>
      </c>
      <c r="P94" s="35">
        <v>44269.852573611111</v>
      </c>
      <c r="Q94">
        <v>1193102</v>
      </c>
      <c r="R94" t="s">
        <v>26</v>
      </c>
      <c r="S94" s="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84</v>
      </c>
      <c r="AD94" s="35">
        <v>43374</v>
      </c>
    </row>
    <row r="95" spans="1:30" x14ac:dyDescent="0.25">
      <c r="A95">
        <v>144880</v>
      </c>
      <c r="B95" t="s">
        <v>115</v>
      </c>
      <c r="C95">
        <v>2018</v>
      </c>
      <c r="D95">
        <v>11</v>
      </c>
      <c r="E95" t="s">
        <v>89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90</v>
      </c>
      <c r="L95" t="s">
        <v>103</v>
      </c>
      <c r="M95">
        <v>1036.3887642100001</v>
      </c>
      <c r="N95">
        <v>0</v>
      </c>
      <c r="O95" t="s">
        <v>80</v>
      </c>
      <c r="P95" s="35">
        <v>44269.854264965281</v>
      </c>
      <c r="Q95">
        <v>1337182</v>
      </c>
      <c r="R95" t="s">
        <v>26</v>
      </c>
      <c r="S95" s="4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84</v>
      </c>
      <c r="AD95" s="35">
        <v>43405</v>
      </c>
    </row>
    <row r="96" spans="1:30" x14ac:dyDescent="0.25">
      <c r="A96">
        <v>443785</v>
      </c>
      <c r="B96" t="s">
        <v>116</v>
      </c>
      <c r="C96">
        <v>2018</v>
      </c>
      <c r="D96">
        <v>12</v>
      </c>
      <c r="E96" t="s">
        <v>85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86</v>
      </c>
      <c r="L96" t="s">
        <v>103</v>
      </c>
      <c r="M96">
        <v>3041.3129330199999</v>
      </c>
      <c r="N96">
        <v>0</v>
      </c>
      <c r="O96" t="s">
        <v>80</v>
      </c>
      <c r="P96" s="35">
        <v>44284.514579629627</v>
      </c>
      <c r="Q96">
        <v>4215241</v>
      </c>
      <c r="R96" t="s">
        <v>26</v>
      </c>
      <c r="S96" s="4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84</v>
      </c>
      <c r="AD96" s="35">
        <v>43435</v>
      </c>
    </row>
    <row r="97" spans="1:30" x14ac:dyDescent="0.25">
      <c r="A97">
        <v>130294</v>
      </c>
      <c r="B97" t="s">
        <v>114</v>
      </c>
      <c r="C97">
        <v>2018</v>
      </c>
      <c r="D97">
        <v>10</v>
      </c>
      <c r="E97" t="s">
        <v>85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86</v>
      </c>
      <c r="L97" t="s">
        <v>103</v>
      </c>
      <c r="M97">
        <v>1428.8615156599999</v>
      </c>
      <c r="N97">
        <v>0</v>
      </c>
      <c r="O97" t="s">
        <v>80</v>
      </c>
      <c r="P97" s="35">
        <v>44269.8525723727</v>
      </c>
      <c r="Q97">
        <v>1192982</v>
      </c>
      <c r="R97" t="s">
        <v>26</v>
      </c>
      <c r="S97" s="4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84</v>
      </c>
      <c r="AD97" s="35">
        <v>43374</v>
      </c>
    </row>
    <row r="98" spans="1:30" x14ac:dyDescent="0.25">
      <c r="A98">
        <v>443833</v>
      </c>
      <c r="B98" t="s">
        <v>116</v>
      </c>
      <c r="C98">
        <v>2018</v>
      </c>
      <c r="D98">
        <v>12</v>
      </c>
      <c r="E98" t="s">
        <v>89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90</v>
      </c>
      <c r="L98" t="s">
        <v>103</v>
      </c>
      <c r="M98">
        <v>1153.4816149200001</v>
      </c>
      <c r="N98">
        <v>0</v>
      </c>
      <c r="O98" t="s">
        <v>80</v>
      </c>
      <c r="P98" s="35">
        <v>44284.51458221065</v>
      </c>
      <c r="Q98">
        <v>4215481</v>
      </c>
      <c r="R98" t="s">
        <v>26</v>
      </c>
      <c r="S98" s="4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84</v>
      </c>
      <c r="AD98" s="35">
        <v>43435</v>
      </c>
    </row>
    <row r="99" spans="1:30" x14ac:dyDescent="0.25">
      <c r="A99">
        <v>130342</v>
      </c>
      <c r="B99" t="s">
        <v>114</v>
      </c>
      <c r="C99">
        <v>2018</v>
      </c>
      <c r="D99">
        <v>10</v>
      </c>
      <c r="E99" t="s">
        <v>89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90</v>
      </c>
      <c r="L99" t="s">
        <v>103</v>
      </c>
      <c r="M99">
        <v>879.43208655000001</v>
      </c>
      <c r="N99">
        <v>0</v>
      </c>
      <c r="O99" t="s">
        <v>80</v>
      </c>
      <c r="P99" s="35">
        <v>44269.852574803241</v>
      </c>
      <c r="Q99">
        <v>1193222</v>
      </c>
      <c r="R99" t="s">
        <v>26</v>
      </c>
      <c r="S99" s="4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84</v>
      </c>
      <c r="AD99" s="35">
        <v>43374</v>
      </c>
    </row>
    <row r="100" spans="1:30" x14ac:dyDescent="0.25">
      <c r="A100">
        <v>443809</v>
      </c>
      <c r="B100" t="s">
        <v>116</v>
      </c>
      <c r="C100">
        <v>2018</v>
      </c>
      <c r="D100">
        <v>12</v>
      </c>
      <c r="E100" t="s">
        <v>87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88</v>
      </c>
      <c r="L100" t="s">
        <v>103</v>
      </c>
      <c r="M100">
        <v>824.95046656</v>
      </c>
      <c r="N100">
        <v>0</v>
      </c>
      <c r="O100" t="s">
        <v>80</v>
      </c>
      <c r="P100" s="35">
        <v>44284.514580937503</v>
      </c>
      <c r="Q100">
        <v>4215361</v>
      </c>
      <c r="R100" t="s">
        <v>26</v>
      </c>
      <c r="S100" s="4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84</v>
      </c>
      <c r="AD100" s="35">
        <v>43435</v>
      </c>
    </row>
    <row r="101" spans="1:30" x14ac:dyDescent="0.25">
      <c r="A101">
        <v>63558</v>
      </c>
      <c r="B101" t="s">
        <v>118</v>
      </c>
      <c r="C101">
        <v>2018</v>
      </c>
      <c r="D101">
        <v>3</v>
      </c>
      <c r="E101" t="s">
        <v>85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86</v>
      </c>
      <c r="L101" t="s">
        <v>103</v>
      </c>
      <c r="M101">
        <v>2918.7091952800001</v>
      </c>
      <c r="N101">
        <v>0</v>
      </c>
      <c r="O101" t="s">
        <v>79</v>
      </c>
      <c r="P101" s="35">
        <v>44269.844469872682</v>
      </c>
      <c r="Q101">
        <v>560912</v>
      </c>
      <c r="R101" t="s">
        <v>82</v>
      </c>
      <c r="S101" s="4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84</v>
      </c>
      <c r="AD101" s="35">
        <v>43160</v>
      </c>
    </row>
    <row r="102" spans="1:30" x14ac:dyDescent="0.25">
      <c r="A102">
        <v>63604</v>
      </c>
      <c r="B102" t="s">
        <v>118</v>
      </c>
      <c r="C102">
        <v>2018</v>
      </c>
      <c r="D102">
        <v>3</v>
      </c>
      <c r="E102" t="s">
        <v>89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90</v>
      </c>
      <c r="L102" t="s">
        <v>103</v>
      </c>
      <c r="M102">
        <v>1101.95310419</v>
      </c>
      <c r="N102">
        <v>0</v>
      </c>
      <c r="O102" t="s">
        <v>79</v>
      </c>
      <c r="P102" s="35">
        <v>44269.844471643519</v>
      </c>
      <c r="Q102">
        <v>561004</v>
      </c>
      <c r="R102" t="s">
        <v>82</v>
      </c>
      <c r="S102" s="4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84</v>
      </c>
      <c r="AD102" s="35">
        <v>43160</v>
      </c>
    </row>
    <row r="103" spans="1:30" x14ac:dyDescent="0.25">
      <c r="A103">
        <v>63581</v>
      </c>
      <c r="B103" t="s">
        <v>118</v>
      </c>
      <c r="C103">
        <v>2018</v>
      </c>
      <c r="D103">
        <v>3</v>
      </c>
      <c r="E103" t="s">
        <v>87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88</v>
      </c>
      <c r="L103" t="s">
        <v>103</v>
      </c>
      <c r="M103">
        <v>681.39686511000002</v>
      </c>
      <c r="N103">
        <v>0</v>
      </c>
      <c r="O103" t="s">
        <v>79</v>
      </c>
      <c r="P103" s="35">
        <v>44269.844470682867</v>
      </c>
      <c r="Q103">
        <v>560958</v>
      </c>
      <c r="R103" t="s">
        <v>82</v>
      </c>
      <c r="S103" s="4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84</v>
      </c>
      <c r="AD103" s="35">
        <v>43160</v>
      </c>
    </row>
    <row r="104" spans="1:30" x14ac:dyDescent="0.25">
      <c r="A104">
        <v>9842</v>
      </c>
      <c r="B104" t="s">
        <v>127</v>
      </c>
      <c r="C104">
        <v>2017</v>
      </c>
      <c r="D104">
        <v>10</v>
      </c>
      <c r="E104" t="s">
        <v>89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90</v>
      </c>
      <c r="L104" t="s">
        <v>103</v>
      </c>
      <c r="M104">
        <v>1325.6322066800001</v>
      </c>
      <c r="N104">
        <v>0</v>
      </c>
      <c r="O104" t="s">
        <v>79</v>
      </c>
      <c r="P104" s="35">
        <v>44269.838788229157</v>
      </c>
      <c r="Q104">
        <v>83969</v>
      </c>
      <c r="R104" t="s">
        <v>74</v>
      </c>
      <c r="S104" s="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84</v>
      </c>
      <c r="AD104" s="35">
        <v>43009</v>
      </c>
    </row>
    <row r="105" spans="1:30" x14ac:dyDescent="0.25">
      <c r="A105">
        <v>9800</v>
      </c>
      <c r="B105" t="s">
        <v>127</v>
      </c>
      <c r="C105">
        <v>2017</v>
      </c>
      <c r="D105">
        <v>10</v>
      </c>
      <c r="E105" t="s">
        <v>85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86</v>
      </c>
      <c r="L105" t="s">
        <v>103</v>
      </c>
      <c r="M105">
        <v>1690.9131185399999</v>
      </c>
      <c r="N105">
        <v>0</v>
      </c>
      <c r="O105" t="s">
        <v>79</v>
      </c>
      <c r="P105" s="35">
        <v>44269.83878622685</v>
      </c>
      <c r="Q105">
        <v>83885</v>
      </c>
      <c r="R105" t="s">
        <v>74</v>
      </c>
      <c r="S105" s="4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84</v>
      </c>
      <c r="AD105" s="35">
        <v>43009</v>
      </c>
    </row>
    <row r="106" spans="1:30" x14ac:dyDescent="0.25">
      <c r="A106">
        <v>9821</v>
      </c>
      <c r="B106" t="s">
        <v>127</v>
      </c>
      <c r="C106">
        <v>2017</v>
      </c>
      <c r="D106">
        <v>10</v>
      </c>
      <c r="E106" t="s">
        <v>87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88</v>
      </c>
      <c r="L106" t="s">
        <v>103</v>
      </c>
      <c r="M106">
        <v>345.79406583999997</v>
      </c>
      <c r="N106">
        <v>0</v>
      </c>
      <c r="O106" t="s">
        <v>79</v>
      </c>
      <c r="P106" s="35">
        <v>44269.83878726852</v>
      </c>
      <c r="Q106">
        <v>83927</v>
      </c>
      <c r="R106" t="s">
        <v>74</v>
      </c>
      <c r="S106" s="4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84</v>
      </c>
      <c r="AD106" s="35">
        <v>43009</v>
      </c>
    </row>
    <row r="107" spans="1:30" x14ac:dyDescent="0.25">
      <c r="A107">
        <v>38545</v>
      </c>
      <c r="B107" t="s">
        <v>119</v>
      </c>
      <c r="C107">
        <v>2018</v>
      </c>
      <c r="D107">
        <v>1</v>
      </c>
      <c r="E107" t="s">
        <v>85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86</v>
      </c>
      <c r="L107" t="s">
        <v>103</v>
      </c>
      <c r="M107">
        <v>2934.8747129799999</v>
      </c>
      <c r="N107">
        <v>0</v>
      </c>
      <c r="O107" t="s">
        <v>79</v>
      </c>
      <c r="P107" s="35">
        <v>44269.841712766203</v>
      </c>
      <c r="Q107">
        <v>327737</v>
      </c>
      <c r="R107" t="s">
        <v>82</v>
      </c>
      <c r="S107" s="4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84</v>
      </c>
      <c r="AD107" s="35">
        <v>43101</v>
      </c>
    </row>
    <row r="108" spans="1:30" x14ac:dyDescent="0.25">
      <c r="A108">
        <v>38591</v>
      </c>
      <c r="B108" t="s">
        <v>119</v>
      </c>
      <c r="C108">
        <v>2018</v>
      </c>
      <c r="D108">
        <v>1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1063.1400695499999</v>
      </c>
      <c r="N108">
        <v>0</v>
      </c>
      <c r="O108" t="s">
        <v>79</v>
      </c>
      <c r="P108" s="35">
        <v>44269.841714548609</v>
      </c>
      <c r="Q108">
        <v>327829</v>
      </c>
      <c r="R108" t="s">
        <v>82</v>
      </c>
      <c r="S108" s="4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84</v>
      </c>
      <c r="AD108" s="35">
        <v>43101</v>
      </c>
    </row>
    <row r="109" spans="1:30" x14ac:dyDescent="0.25">
      <c r="A109">
        <v>38568</v>
      </c>
      <c r="B109" t="s">
        <v>119</v>
      </c>
      <c r="C109">
        <v>2018</v>
      </c>
      <c r="D109">
        <v>1</v>
      </c>
      <c r="E109" t="s">
        <v>87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88</v>
      </c>
      <c r="L109" t="s">
        <v>103</v>
      </c>
      <c r="M109">
        <v>892.08334261000005</v>
      </c>
      <c r="N109">
        <v>0</v>
      </c>
      <c r="O109" t="s">
        <v>79</v>
      </c>
      <c r="P109" s="35">
        <v>44269.841713576388</v>
      </c>
      <c r="Q109">
        <v>327783</v>
      </c>
      <c r="R109" t="s">
        <v>82</v>
      </c>
      <c r="S109" s="4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84</v>
      </c>
      <c r="AD109" s="35">
        <v>43101</v>
      </c>
    </row>
    <row r="110" spans="1:30" x14ac:dyDescent="0.25">
      <c r="A110">
        <v>119614</v>
      </c>
      <c r="B110" t="s">
        <v>113</v>
      </c>
      <c r="C110">
        <v>2018</v>
      </c>
      <c r="D110">
        <v>9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1439.52704135</v>
      </c>
      <c r="N110">
        <v>0</v>
      </c>
      <c r="O110" t="s">
        <v>80</v>
      </c>
      <c r="P110" s="35">
        <v>44269.851105011578</v>
      </c>
      <c r="Q110">
        <v>1081611</v>
      </c>
      <c r="R110" t="s">
        <v>28</v>
      </c>
      <c r="S110" s="4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84</v>
      </c>
      <c r="AD110" s="35">
        <v>43344</v>
      </c>
    </row>
    <row r="111" spans="1:30" x14ac:dyDescent="0.25">
      <c r="A111">
        <v>119662</v>
      </c>
      <c r="B111" t="s">
        <v>113</v>
      </c>
      <c r="C111">
        <v>2018</v>
      </c>
      <c r="D111">
        <v>9</v>
      </c>
      <c r="E111" t="s">
        <v>89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90</v>
      </c>
      <c r="L111" t="s">
        <v>103</v>
      </c>
      <c r="M111">
        <v>843.05591856000001</v>
      </c>
      <c r="N111">
        <v>0</v>
      </c>
      <c r="O111" t="s">
        <v>80</v>
      </c>
      <c r="P111" s="35">
        <v>44269.851107986113</v>
      </c>
      <c r="Q111">
        <v>1081851</v>
      </c>
      <c r="R111" t="s">
        <v>28</v>
      </c>
      <c r="S111" s="4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84</v>
      </c>
      <c r="AD111" s="35">
        <v>43344</v>
      </c>
    </row>
    <row r="112" spans="1:30" x14ac:dyDescent="0.25">
      <c r="A112">
        <v>443785</v>
      </c>
      <c r="B112" t="s">
        <v>116</v>
      </c>
      <c r="C112">
        <v>2018</v>
      </c>
      <c r="D112">
        <v>12</v>
      </c>
      <c r="E112" t="s">
        <v>85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86</v>
      </c>
      <c r="L112" t="s">
        <v>103</v>
      </c>
      <c r="M112">
        <v>3041.3129330199999</v>
      </c>
      <c r="N112">
        <v>0</v>
      </c>
      <c r="O112" t="s">
        <v>80</v>
      </c>
      <c r="P112" s="35">
        <v>44284.514579629627</v>
      </c>
      <c r="Q112">
        <v>4215242</v>
      </c>
      <c r="R112" t="s">
        <v>28</v>
      </c>
      <c r="S112" s="4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84</v>
      </c>
      <c r="AD112" s="35">
        <v>43435</v>
      </c>
    </row>
    <row r="113" spans="1:30" x14ac:dyDescent="0.25">
      <c r="A113">
        <v>144832</v>
      </c>
      <c r="B113" t="s">
        <v>115</v>
      </c>
      <c r="C113">
        <v>2018</v>
      </c>
      <c r="D113">
        <v>11</v>
      </c>
      <c r="E113" t="s">
        <v>85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86</v>
      </c>
      <c r="L113" t="s">
        <v>103</v>
      </c>
      <c r="M113">
        <v>1939.5207746900001</v>
      </c>
      <c r="N113">
        <v>0</v>
      </c>
      <c r="O113" t="s">
        <v>80</v>
      </c>
      <c r="P113" s="35">
        <v>44269.854262534733</v>
      </c>
      <c r="Q113">
        <v>1336943</v>
      </c>
      <c r="R113" t="s">
        <v>28</v>
      </c>
      <c r="S113" s="4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84</v>
      </c>
      <c r="AD113" s="35">
        <v>43405</v>
      </c>
    </row>
    <row r="114" spans="1:30" x14ac:dyDescent="0.25">
      <c r="A114">
        <v>119638</v>
      </c>
      <c r="B114" t="s">
        <v>113</v>
      </c>
      <c r="C114">
        <v>2018</v>
      </c>
      <c r="D114">
        <v>9</v>
      </c>
      <c r="E114" t="s">
        <v>87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88</v>
      </c>
      <c r="L114" t="s">
        <v>103</v>
      </c>
      <c r="M114">
        <v>316.65874517999998</v>
      </c>
      <c r="N114">
        <v>0</v>
      </c>
      <c r="O114" t="s">
        <v>80</v>
      </c>
      <c r="P114" s="35">
        <v>44269.85110659722</v>
      </c>
      <c r="Q114">
        <v>1081731</v>
      </c>
      <c r="R114" t="s">
        <v>28</v>
      </c>
      <c r="S114" s="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84</v>
      </c>
      <c r="AD114" s="35">
        <v>43344</v>
      </c>
    </row>
    <row r="115" spans="1:30" x14ac:dyDescent="0.25">
      <c r="A115">
        <v>130342</v>
      </c>
      <c r="B115" t="s">
        <v>114</v>
      </c>
      <c r="C115">
        <v>2018</v>
      </c>
      <c r="D115">
        <v>10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879.43208655000001</v>
      </c>
      <c r="N115">
        <v>0</v>
      </c>
      <c r="O115" t="s">
        <v>80</v>
      </c>
      <c r="P115" s="35">
        <v>44269.852574803241</v>
      </c>
      <c r="Q115">
        <v>1193223</v>
      </c>
      <c r="R115" t="s">
        <v>28</v>
      </c>
      <c r="S115" s="4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84</v>
      </c>
      <c r="AD115" s="35">
        <v>43374</v>
      </c>
    </row>
    <row r="116" spans="1:30" x14ac:dyDescent="0.25">
      <c r="A116">
        <v>130318</v>
      </c>
      <c r="B116" t="s">
        <v>114</v>
      </c>
      <c r="C116">
        <v>2018</v>
      </c>
      <c r="D116">
        <v>10</v>
      </c>
      <c r="E116" t="s">
        <v>87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88</v>
      </c>
      <c r="L116" t="s">
        <v>103</v>
      </c>
      <c r="M116">
        <v>333.40243543999998</v>
      </c>
      <c r="N116">
        <v>0</v>
      </c>
      <c r="O116" t="s">
        <v>80</v>
      </c>
      <c r="P116" s="35">
        <v>44269.852573611111</v>
      </c>
      <c r="Q116">
        <v>1193103</v>
      </c>
      <c r="R116" t="s">
        <v>28</v>
      </c>
      <c r="S116" s="4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84</v>
      </c>
      <c r="AD116" s="35">
        <v>43374</v>
      </c>
    </row>
    <row r="117" spans="1:30" x14ac:dyDescent="0.25">
      <c r="A117">
        <v>144856</v>
      </c>
      <c r="B117" t="s">
        <v>115</v>
      </c>
      <c r="C117">
        <v>2018</v>
      </c>
      <c r="D117">
        <v>11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527.43779992999998</v>
      </c>
      <c r="N117">
        <v>0</v>
      </c>
      <c r="O117" t="s">
        <v>80</v>
      </c>
      <c r="P117" s="35">
        <v>44269.854263738423</v>
      </c>
      <c r="Q117">
        <v>1337063</v>
      </c>
      <c r="R117" t="s">
        <v>28</v>
      </c>
      <c r="S117" s="4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84</v>
      </c>
      <c r="AD117" s="35">
        <v>43405</v>
      </c>
    </row>
    <row r="118" spans="1:30" x14ac:dyDescent="0.25">
      <c r="A118">
        <v>130294</v>
      </c>
      <c r="B118" t="s">
        <v>114</v>
      </c>
      <c r="C118">
        <v>2018</v>
      </c>
      <c r="D118">
        <v>10</v>
      </c>
      <c r="E118" t="s">
        <v>85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86</v>
      </c>
      <c r="L118" t="s">
        <v>103</v>
      </c>
      <c r="M118">
        <v>1428.8615156599999</v>
      </c>
      <c r="N118">
        <v>0</v>
      </c>
      <c r="O118" t="s">
        <v>80</v>
      </c>
      <c r="P118" s="35">
        <v>44269.8525723727</v>
      </c>
      <c r="Q118">
        <v>1192983</v>
      </c>
      <c r="R118" t="s">
        <v>28</v>
      </c>
      <c r="S118" s="4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84</v>
      </c>
      <c r="AD118" s="35">
        <v>43374</v>
      </c>
    </row>
    <row r="119" spans="1:30" x14ac:dyDescent="0.25">
      <c r="A119">
        <v>443833</v>
      </c>
      <c r="B119" t="s">
        <v>116</v>
      </c>
      <c r="C119">
        <v>2018</v>
      </c>
      <c r="D119">
        <v>12</v>
      </c>
      <c r="E119" t="s">
        <v>89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90</v>
      </c>
      <c r="L119" t="s">
        <v>103</v>
      </c>
      <c r="M119">
        <v>1153.4816149200001</v>
      </c>
      <c r="N119">
        <v>0</v>
      </c>
      <c r="O119" t="s">
        <v>80</v>
      </c>
      <c r="P119" s="35">
        <v>44284.51458221065</v>
      </c>
      <c r="Q119">
        <v>4215482</v>
      </c>
      <c r="R119" t="s">
        <v>28</v>
      </c>
      <c r="S119" s="4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84</v>
      </c>
      <c r="AD119" s="35">
        <v>43435</v>
      </c>
    </row>
    <row r="120" spans="1:30" x14ac:dyDescent="0.25">
      <c r="A120">
        <v>443809</v>
      </c>
      <c r="B120" t="s">
        <v>116</v>
      </c>
      <c r="C120">
        <v>2018</v>
      </c>
      <c r="D120">
        <v>12</v>
      </c>
      <c r="E120" t="s">
        <v>87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88</v>
      </c>
      <c r="L120" t="s">
        <v>103</v>
      </c>
      <c r="M120">
        <v>824.95046656</v>
      </c>
      <c r="N120">
        <v>0</v>
      </c>
      <c r="O120" t="s">
        <v>80</v>
      </c>
      <c r="P120" s="35">
        <v>44284.514580937503</v>
      </c>
      <c r="Q120">
        <v>4215362</v>
      </c>
      <c r="R120" t="s">
        <v>28</v>
      </c>
      <c r="S120" s="4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84</v>
      </c>
      <c r="AD120" s="35">
        <v>43435</v>
      </c>
    </row>
    <row r="121" spans="1:30" x14ac:dyDescent="0.25">
      <c r="A121">
        <v>144880</v>
      </c>
      <c r="B121" t="s">
        <v>115</v>
      </c>
      <c r="C121">
        <v>2018</v>
      </c>
      <c r="D121">
        <v>11</v>
      </c>
      <c r="E121" t="s">
        <v>89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90</v>
      </c>
      <c r="L121" t="s">
        <v>103</v>
      </c>
      <c r="M121">
        <v>1036.3887642100001</v>
      </c>
      <c r="N121">
        <v>0</v>
      </c>
      <c r="O121" t="s">
        <v>80</v>
      </c>
      <c r="P121" s="35">
        <v>44269.854264965281</v>
      </c>
      <c r="Q121">
        <v>1337183</v>
      </c>
      <c r="R121" t="s">
        <v>28</v>
      </c>
      <c r="S121" s="4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84</v>
      </c>
      <c r="AD121" s="35">
        <v>43405</v>
      </c>
    </row>
    <row r="122" spans="1:30" x14ac:dyDescent="0.25">
      <c r="A122">
        <v>446664</v>
      </c>
      <c r="B122" t="s">
        <v>128</v>
      </c>
      <c r="C122">
        <v>2017</v>
      </c>
      <c r="D122">
        <v>11</v>
      </c>
      <c r="E122" t="s">
        <v>85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86</v>
      </c>
      <c r="L122" t="s">
        <v>103</v>
      </c>
      <c r="M122">
        <v>2041.4187845900001</v>
      </c>
      <c r="N122">
        <v>0</v>
      </c>
      <c r="O122" t="s">
        <v>79</v>
      </c>
      <c r="P122" s="35">
        <v>44284.5259379977</v>
      </c>
      <c r="Q122">
        <v>4237044</v>
      </c>
      <c r="R122" t="s">
        <v>74</v>
      </c>
      <c r="S122" s="4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84</v>
      </c>
      <c r="AD122" s="35">
        <v>43040</v>
      </c>
    </row>
    <row r="123" spans="1:30" x14ac:dyDescent="0.25">
      <c r="A123">
        <v>446686</v>
      </c>
      <c r="B123" t="s">
        <v>128</v>
      </c>
      <c r="C123">
        <v>2017</v>
      </c>
      <c r="D123">
        <v>11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547.58038690000001</v>
      </c>
      <c r="N123">
        <v>0</v>
      </c>
      <c r="O123" t="s">
        <v>79</v>
      </c>
      <c r="P123" s="35">
        <v>44284.525938576393</v>
      </c>
      <c r="Q123">
        <v>4237088</v>
      </c>
      <c r="R123" t="s">
        <v>74</v>
      </c>
      <c r="S123" s="4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84</v>
      </c>
      <c r="AD123" s="35">
        <v>43040</v>
      </c>
    </row>
    <row r="124" spans="1:30" x14ac:dyDescent="0.25">
      <c r="A124">
        <v>446708</v>
      </c>
      <c r="B124" t="s">
        <v>128</v>
      </c>
      <c r="C124">
        <v>2017</v>
      </c>
      <c r="D124">
        <v>11</v>
      </c>
      <c r="E124" t="s">
        <v>89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90</v>
      </c>
      <c r="L124" t="s">
        <v>103</v>
      </c>
      <c r="M124">
        <v>1364.6638703399999</v>
      </c>
      <c r="N124">
        <v>0</v>
      </c>
      <c r="O124" t="s">
        <v>79</v>
      </c>
      <c r="P124" s="35">
        <v>44284.525939120373</v>
      </c>
      <c r="Q124">
        <v>4237132</v>
      </c>
      <c r="R124" t="s">
        <v>74</v>
      </c>
      <c r="S124" s="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84</v>
      </c>
      <c r="AD124" s="35">
        <v>43040</v>
      </c>
    </row>
    <row r="125" spans="1:30" x14ac:dyDescent="0.25">
      <c r="A125">
        <v>714746</v>
      </c>
      <c r="B125" t="s">
        <v>129</v>
      </c>
      <c r="C125">
        <v>2016</v>
      </c>
      <c r="D125">
        <v>8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123</v>
      </c>
      <c r="K125" t="s">
        <v>104</v>
      </c>
      <c r="L125" t="s">
        <v>103</v>
      </c>
      <c r="M125">
        <v>935.63531867999995</v>
      </c>
      <c r="N125">
        <v>0</v>
      </c>
      <c r="O125" t="s">
        <v>79</v>
      </c>
      <c r="P125" s="35">
        <v>44334.103428159717</v>
      </c>
      <c r="Q125">
        <v>6248098</v>
      </c>
      <c r="R125" t="s">
        <v>74</v>
      </c>
      <c r="S125" s="4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84</v>
      </c>
      <c r="AD125" s="35">
        <v>42583</v>
      </c>
    </row>
    <row r="126" spans="1:30" x14ac:dyDescent="0.25">
      <c r="A126">
        <v>714728</v>
      </c>
      <c r="B126" t="s">
        <v>129</v>
      </c>
      <c r="C126">
        <v>2016</v>
      </c>
      <c r="D126">
        <v>8</v>
      </c>
      <c r="E126" t="s">
        <v>85</v>
      </c>
      <c r="F126" t="s">
        <v>84</v>
      </c>
      <c r="G126" t="s">
        <v>84</v>
      </c>
      <c r="H126" t="s">
        <v>25</v>
      </c>
      <c r="I126" t="s">
        <v>25</v>
      </c>
      <c r="J126" t="s">
        <v>123</v>
      </c>
      <c r="K126" t="s">
        <v>102</v>
      </c>
      <c r="L126" t="s">
        <v>103</v>
      </c>
      <c r="M126">
        <v>2647.0276601700002</v>
      </c>
      <c r="N126">
        <v>0</v>
      </c>
      <c r="O126" t="s">
        <v>79</v>
      </c>
      <c r="P126" s="35">
        <v>44334.103427696762</v>
      </c>
      <c r="Q126">
        <v>6248062</v>
      </c>
      <c r="R126" t="s">
        <v>74</v>
      </c>
      <c r="S126" s="4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84</v>
      </c>
      <c r="AD126" s="35">
        <v>42583</v>
      </c>
    </row>
    <row r="127" spans="1:30" x14ac:dyDescent="0.25">
      <c r="A127">
        <v>714764</v>
      </c>
      <c r="B127" t="s">
        <v>129</v>
      </c>
      <c r="C127">
        <v>2016</v>
      </c>
      <c r="D127">
        <v>8</v>
      </c>
      <c r="E127" t="s">
        <v>59</v>
      </c>
      <c r="F127" t="s">
        <v>84</v>
      </c>
      <c r="G127" t="s">
        <v>84</v>
      </c>
      <c r="H127" t="s">
        <v>25</v>
      </c>
      <c r="I127" t="s">
        <v>25</v>
      </c>
      <c r="J127" t="s">
        <v>123</v>
      </c>
      <c r="K127" t="s">
        <v>106</v>
      </c>
      <c r="L127" t="s">
        <v>103</v>
      </c>
      <c r="M127">
        <v>1612.5415291500001</v>
      </c>
      <c r="N127">
        <v>0</v>
      </c>
      <c r="O127" t="s">
        <v>79</v>
      </c>
      <c r="P127" s="35">
        <v>44334.103428622693</v>
      </c>
      <c r="Q127">
        <v>6248134</v>
      </c>
      <c r="R127" t="s">
        <v>74</v>
      </c>
      <c r="S127" s="4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84</v>
      </c>
      <c r="AD127" s="35">
        <v>42583</v>
      </c>
    </row>
    <row r="128" spans="1:30" x14ac:dyDescent="0.25">
      <c r="A128">
        <v>505299</v>
      </c>
      <c r="B128" t="s">
        <v>130</v>
      </c>
      <c r="C128">
        <v>2016</v>
      </c>
      <c r="D128">
        <v>11</v>
      </c>
      <c r="E128" t="s">
        <v>87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88</v>
      </c>
      <c r="L128" t="s">
        <v>103</v>
      </c>
      <c r="M128">
        <v>3.0402221699999998</v>
      </c>
      <c r="N128">
        <v>0</v>
      </c>
      <c r="O128" t="s">
        <v>79</v>
      </c>
      <c r="P128" s="35">
        <v>44330.099023298608</v>
      </c>
      <c r="Q128">
        <v>4677104</v>
      </c>
      <c r="R128" t="s">
        <v>74</v>
      </c>
      <c r="S128" s="4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84</v>
      </c>
      <c r="AD128" s="35">
        <v>42675</v>
      </c>
    </row>
    <row r="129" spans="1:30" x14ac:dyDescent="0.25">
      <c r="A129">
        <v>490499</v>
      </c>
      <c r="B129" t="s">
        <v>131</v>
      </c>
      <c r="C129">
        <v>2016</v>
      </c>
      <c r="D129">
        <v>9</v>
      </c>
      <c r="E129" t="s">
        <v>87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104</v>
      </c>
      <c r="L129" t="s">
        <v>103</v>
      </c>
      <c r="M129">
        <v>672.74702771</v>
      </c>
      <c r="N129">
        <v>0</v>
      </c>
      <c r="O129" t="s">
        <v>79</v>
      </c>
      <c r="P129" s="35">
        <v>44330.097784641213</v>
      </c>
      <c r="Q129">
        <v>4588298</v>
      </c>
      <c r="R129" t="s">
        <v>74</v>
      </c>
      <c r="S129" s="4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84</v>
      </c>
      <c r="AD129" s="35">
        <v>42614</v>
      </c>
    </row>
    <row r="130" spans="1:30" x14ac:dyDescent="0.25">
      <c r="A130">
        <v>518451</v>
      </c>
      <c r="B130" t="s">
        <v>132</v>
      </c>
      <c r="C130">
        <v>2016</v>
      </c>
      <c r="D130">
        <v>12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5.24655E-3</v>
      </c>
      <c r="N130">
        <v>0</v>
      </c>
      <c r="O130" t="s">
        <v>79</v>
      </c>
      <c r="P130" s="35">
        <v>44330.100235682869</v>
      </c>
      <c r="Q130">
        <v>4792710</v>
      </c>
      <c r="R130" t="s">
        <v>74</v>
      </c>
      <c r="S130" s="4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84</v>
      </c>
      <c r="AD130" s="35">
        <v>42705</v>
      </c>
    </row>
    <row r="131" spans="1:30" x14ac:dyDescent="0.25">
      <c r="A131">
        <v>490481</v>
      </c>
      <c r="B131" t="s">
        <v>131</v>
      </c>
      <c r="C131">
        <v>2016</v>
      </c>
      <c r="D131">
        <v>9</v>
      </c>
      <c r="E131" t="s">
        <v>85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86</v>
      </c>
      <c r="L131" t="s">
        <v>103</v>
      </c>
      <c r="M131">
        <v>2263.3159081700001</v>
      </c>
      <c r="N131">
        <v>0</v>
      </c>
      <c r="O131" t="s">
        <v>79</v>
      </c>
      <c r="P131" s="35">
        <v>44330.097784143523</v>
      </c>
      <c r="Q131">
        <v>4588262</v>
      </c>
      <c r="R131" t="s">
        <v>74</v>
      </c>
      <c r="S131" s="4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84</v>
      </c>
      <c r="AD131" s="35">
        <v>42614</v>
      </c>
    </row>
    <row r="132" spans="1:30" x14ac:dyDescent="0.25">
      <c r="A132">
        <v>490517</v>
      </c>
      <c r="B132" t="s">
        <v>131</v>
      </c>
      <c r="C132">
        <v>2016</v>
      </c>
      <c r="D132">
        <v>9</v>
      </c>
      <c r="E132" t="s">
        <v>89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90</v>
      </c>
      <c r="L132" t="s">
        <v>103</v>
      </c>
      <c r="M132">
        <v>1264.39372551</v>
      </c>
      <c r="N132">
        <v>0</v>
      </c>
      <c r="O132" t="s">
        <v>79</v>
      </c>
      <c r="P132" s="35">
        <v>44330.097785150458</v>
      </c>
      <c r="Q132">
        <v>4588334</v>
      </c>
      <c r="R132" t="s">
        <v>74</v>
      </c>
      <c r="S132" s="4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84</v>
      </c>
      <c r="AD132" s="35">
        <v>42614</v>
      </c>
    </row>
    <row r="133" spans="1:30" x14ac:dyDescent="0.25">
      <c r="A133">
        <v>505281</v>
      </c>
      <c r="B133" t="s">
        <v>130</v>
      </c>
      <c r="C133">
        <v>2016</v>
      </c>
      <c r="D133">
        <v>11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10.93651025</v>
      </c>
      <c r="N133">
        <v>0</v>
      </c>
      <c r="O133" t="s">
        <v>79</v>
      </c>
      <c r="P133" s="35">
        <v>44330.09902276619</v>
      </c>
      <c r="Q133">
        <v>4677068</v>
      </c>
      <c r="R133" t="s">
        <v>74</v>
      </c>
      <c r="S133" s="4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84</v>
      </c>
      <c r="AD133" s="35">
        <v>42675</v>
      </c>
    </row>
    <row r="134" spans="1:30" x14ac:dyDescent="0.25">
      <c r="A134">
        <v>496212</v>
      </c>
      <c r="B134" t="s">
        <v>133</v>
      </c>
      <c r="C134">
        <v>2016</v>
      </c>
      <c r="D134">
        <v>10</v>
      </c>
      <c r="E134" t="s">
        <v>89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90</v>
      </c>
      <c r="L134" t="s">
        <v>103</v>
      </c>
      <c r="M134">
        <v>717.31728549000002</v>
      </c>
      <c r="N134">
        <v>0</v>
      </c>
      <c r="O134" t="s">
        <v>79</v>
      </c>
      <c r="P134" s="35">
        <v>44330.098264814813</v>
      </c>
      <c r="Q134">
        <v>4615654</v>
      </c>
      <c r="R134" t="s">
        <v>74</v>
      </c>
      <c r="S134" s="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84</v>
      </c>
      <c r="AD134" s="35">
        <v>42644</v>
      </c>
    </row>
    <row r="135" spans="1:30" x14ac:dyDescent="0.25">
      <c r="A135">
        <v>518469</v>
      </c>
      <c r="B135" t="s">
        <v>132</v>
      </c>
      <c r="C135">
        <v>2016</v>
      </c>
      <c r="D135">
        <v>12</v>
      </c>
      <c r="E135" t="s">
        <v>89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90</v>
      </c>
      <c r="L135" t="s">
        <v>103</v>
      </c>
      <c r="M135">
        <v>7.6207699999999998E-3</v>
      </c>
      <c r="N135">
        <v>0</v>
      </c>
      <c r="O135" t="s">
        <v>79</v>
      </c>
      <c r="P135" s="35">
        <v>44330.100236226863</v>
      </c>
      <c r="Q135">
        <v>4792746</v>
      </c>
      <c r="R135" t="s">
        <v>74</v>
      </c>
      <c r="S135" s="4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84</v>
      </c>
      <c r="AD135" s="35">
        <v>42705</v>
      </c>
    </row>
    <row r="136" spans="1:30" x14ac:dyDescent="0.25">
      <c r="A136">
        <v>672470</v>
      </c>
      <c r="B136" t="s">
        <v>134</v>
      </c>
      <c r="C136">
        <v>2016</v>
      </c>
      <c r="D136">
        <v>5</v>
      </c>
      <c r="E136" t="s">
        <v>87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104</v>
      </c>
      <c r="L136" t="s">
        <v>103</v>
      </c>
      <c r="M136">
        <v>1352.1891427099999</v>
      </c>
      <c r="N136">
        <v>0</v>
      </c>
      <c r="O136" t="s">
        <v>79</v>
      </c>
      <c r="P136" s="35">
        <v>44334.07016489582</v>
      </c>
      <c r="Q136">
        <v>5939551</v>
      </c>
      <c r="R136" t="s">
        <v>74</v>
      </c>
      <c r="S136" s="4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84</v>
      </c>
      <c r="AD136" s="35">
        <v>42491</v>
      </c>
    </row>
    <row r="137" spans="1:30" x14ac:dyDescent="0.25">
      <c r="A137">
        <v>518433</v>
      </c>
      <c r="B137" t="s">
        <v>132</v>
      </c>
      <c r="C137">
        <v>2016</v>
      </c>
      <c r="D137">
        <v>12</v>
      </c>
      <c r="E137" t="s">
        <v>85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86</v>
      </c>
      <c r="L137" t="s">
        <v>103</v>
      </c>
      <c r="M137">
        <v>2.1233140000000001E-2</v>
      </c>
      <c r="N137">
        <v>0</v>
      </c>
      <c r="O137" t="s">
        <v>79</v>
      </c>
      <c r="P137" s="35">
        <v>44330.1002351852</v>
      </c>
      <c r="Q137">
        <v>4792674</v>
      </c>
      <c r="R137" t="s">
        <v>74</v>
      </c>
      <c r="S137" s="4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84</v>
      </c>
      <c r="AD137" s="35">
        <v>42705</v>
      </c>
    </row>
    <row r="138" spans="1:30" x14ac:dyDescent="0.25">
      <c r="A138">
        <v>672452</v>
      </c>
      <c r="B138" t="s">
        <v>134</v>
      </c>
      <c r="C138">
        <v>2016</v>
      </c>
      <c r="D138">
        <v>5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102</v>
      </c>
      <c r="L138" t="s">
        <v>103</v>
      </c>
      <c r="M138">
        <v>4669.0953959799999</v>
      </c>
      <c r="N138">
        <v>0</v>
      </c>
      <c r="O138" t="s">
        <v>79</v>
      </c>
      <c r="P138" s="35">
        <v>44334.070164432873</v>
      </c>
      <c r="Q138">
        <v>5939515</v>
      </c>
      <c r="R138" t="s">
        <v>74</v>
      </c>
      <c r="S138" s="4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84</v>
      </c>
      <c r="AD138" s="35">
        <v>42491</v>
      </c>
    </row>
    <row r="139" spans="1:30" x14ac:dyDescent="0.25">
      <c r="A139">
        <v>730808</v>
      </c>
      <c r="B139" t="s">
        <v>135</v>
      </c>
      <c r="C139">
        <v>2016</v>
      </c>
      <c r="D139">
        <v>7</v>
      </c>
      <c r="E139" t="s">
        <v>59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106</v>
      </c>
      <c r="L139" t="s">
        <v>103</v>
      </c>
      <c r="M139">
        <v>2027.083069</v>
      </c>
      <c r="N139">
        <v>0</v>
      </c>
      <c r="O139" t="s">
        <v>79</v>
      </c>
      <c r="P139" s="35">
        <v>44334.10707554398</v>
      </c>
      <c r="Q139">
        <v>6360147</v>
      </c>
      <c r="R139" t="s">
        <v>74</v>
      </c>
      <c r="S139" s="4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84</v>
      </c>
      <c r="AD139" s="35">
        <v>42552</v>
      </c>
    </row>
    <row r="140" spans="1:30" x14ac:dyDescent="0.25">
      <c r="A140">
        <v>496176</v>
      </c>
      <c r="B140" t="s">
        <v>133</v>
      </c>
      <c r="C140">
        <v>2016</v>
      </c>
      <c r="D140">
        <v>10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1382.4463402700001</v>
      </c>
      <c r="N140">
        <v>0</v>
      </c>
      <c r="O140" t="s">
        <v>79</v>
      </c>
      <c r="P140" s="35">
        <v>44330.098263807871</v>
      </c>
      <c r="Q140">
        <v>4615582</v>
      </c>
      <c r="R140" t="s">
        <v>74</v>
      </c>
      <c r="S140" s="4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84</v>
      </c>
      <c r="AD140" s="35">
        <v>42644</v>
      </c>
    </row>
    <row r="141" spans="1:30" x14ac:dyDescent="0.25">
      <c r="A141">
        <v>505317</v>
      </c>
      <c r="B141" t="s">
        <v>130</v>
      </c>
      <c r="C141">
        <v>2016</v>
      </c>
      <c r="D141">
        <v>11</v>
      </c>
      <c r="E141" t="s">
        <v>89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90</v>
      </c>
      <c r="L141" t="s">
        <v>103</v>
      </c>
      <c r="M141">
        <v>4.6410682200000002</v>
      </c>
      <c r="N141">
        <v>0</v>
      </c>
      <c r="O141" t="s">
        <v>79</v>
      </c>
      <c r="P141" s="35">
        <v>44330.099023842587</v>
      </c>
      <c r="Q141">
        <v>4677140</v>
      </c>
      <c r="R141" t="s">
        <v>74</v>
      </c>
      <c r="S141" s="4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84</v>
      </c>
      <c r="AD141" s="35">
        <v>42675</v>
      </c>
    </row>
    <row r="142" spans="1:30" x14ac:dyDescent="0.25">
      <c r="A142">
        <v>672488</v>
      </c>
      <c r="B142" t="s">
        <v>134</v>
      </c>
      <c r="C142">
        <v>2016</v>
      </c>
      <c r="D142">
        <v>5</v>
      </c>
      <c r="E142" t="s">
        <v>59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106</v>
      </c>
      <c r="L142" t="s">
        <v>103</v>
      </c>
      <c r="M142">
        <v>2057.3166490100002</v>
      </c>
      <c r="N142">
        <v>0</v>
      </c>
      <c r="O142" t="s">
        <v>79</v>
      </c>
      <c r="P142" s="35">
        <v>44334.070165358797</v>
      </c>
      <c r="Q142">
        <v>5939587</v>
      </c>
      <c r="R142" t="s">
        <v>74</v>
      </c>
      <c r="S142" s="4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84</v>
      </c>
      <c r="AD142" s="35">
        <v>42491</v>
      </c>
    </row>
    <row r="143" spans="1:30" x14ac:dyDescent="0.25">
      <c r="A143">
        <v>723860</v>
      </c>
      <c r="B143" t="s">
        <v>136</v>
      </c>
      <c r="C143">
        <v>2016</v>
      </c>
      <c r="D143">
        <v>6</v>
      </c>
      <c r="E143" t="s">
        <v>87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104</v>
      </c>
      <c r="L143" t="s">
        <v>103</v>
      </c>
      <c r="M143">
        <v>1074.09600742</v>
      </c>
      <c r="N143">
        <v>0</v>
      </c>
      <c r="O143" t="s">
        <v>79</v>
      </c>
      <c r="P143" s="35">
        <v>44334.10644262733</v>
      </c>
      <c r="Q143">
        <v>6309599</v>
      </c>
      <c r="R143" t="s">
        <v>74</v>
      </c>
      <c r="S143" s="4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84</v>
      </c>
      <c r="AD143" s="35">
        <v>42522</v>
      </c>
    </row>
    <row r="144" spans="1:30" x14ac:dyDescent="0.25">
      <c r="A144">
        <v>723842</v>
      </c>
      <c r="B144" t="s">
        <v>136</v>
      </c>
      <c r="C144">
        <v>2016</v>
      </c>
      <c r="D144">
        <v>6</v>
      </c>
      <c r="E144" t="s">
        <v>85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102</v>
      </c>
      <c r="L144" t="s">
        <v>103</v>
      </c>
      <c r="M144">
        <v>3755.8750081799999</v>
      </c>
      <c r="N144">
        <v>0</v>
      </c>
      <c r="O144" t="s">
        <v>79</v>
      </c>
      <c r="P144" s="35">
        <v>44334.106442164353</v>
      </c>
      <c r="Q144">
        <v>6309563</v>
      </c>
      <c r="R144" t="s">
        <v>74</v>
      </c>
      <c r="S144" s="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84</v>
      </c>
      <c r="AD144" s="35">
        <v>42522</v>
      </c>
    </row>
    <row r="145" spans="1:30" x14ac:dyDescent="0.25">
      <c r="A145">
        <v>496194</v>
      </c>
      <c r="B145" t="s">
        <v>133</v>
      </c>
      <c r="C145">
        <v>2016</v>
      </c>
      <c r="D145">
        <v>10</v>
      </c>
      <c r="E145" t="s">
        <v>87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88</v>
      </c>
      <c r="L145" t="s">
        <v>103</v>
      </c>
      <c r="M145">
        <v>420.24133938</v>
      </c>
      <c r="N145">
        <v>0</v>
      </c>
      <c r="O145" t="s">
        <v>79</v>
      </c>
      <c r="P145" s="35">
        <v>44330.098264351851</v>
      </c>
      <c r="Q145">
        <v>4615618</v>
      </c>
      <c r="R145" t="s">
        <v>74</v>
      </c>
      <c r="S145" s="4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84</v>
      </c>
      <c r="AD145" s="35">
        <v>42644</v>
      </c>
    </row>
    <row r="146" spans="1:30" x14ac:dyDescent="0.25">
      <c r="A146">
        <v>723878</v>
      </c>
      <c r="B146" t="s">
        <v>136</v>
      </c>
      <c r="C146">
        <v>2016</v>
      </c>
      <c r="D146">
        <v>6</v>
      </c>
      <c r="E146" t="s">
        <v>59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106</v>
      </c>
      <c r="L146" t="s">
        <v>103</v>
      </c>
      <c r="M146">
        <v>1810.25289694</v>
      </c>
      <c r="N146">
        <v>0</v>
      </c>
      <c r="O146" t="s">
        <v>79</v>
      </c>
      <c r="P146" s="35">
        <v>44334.106443090277</v>
      </c>
      <c r="Q146">
        <v>6309635</v>
      </c>
      <c r="R146" t="s">
        <v>74</v>
      </c>
      <c r="S146" s="4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84</v>
      </c>
      <c r="AD146" s="35">
        <v>42522</v>
      </c>
    </row>
    <row r="147" spans="1:30" x14ac:dyDescent="0.25">
      <c r="A147">
        <v>730772</v>
      </c>
      <c r="B147" t="s">
        <v>135</v>
      </c>
      <c r="C147">
        <v>2016</v>
      </c>
      <c r="D147">
        <v>7</v>
      </c>
      <c r="E147" t="s">
        <v>85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102</v>
      </c>
      <c r="L147" t="s">
        <v>103</v>
      </c>
      <c r="M147">
        <v>3778.6930292400002</v>
      </c>
      <c r="N147">
        <v>0</v>
      </c>
      <c r="O147" t="s">
        <v>79</v>
      </c>
      <c r="P147" s="35">
        <v>44334.107074571759</v>
      </c>
      <c r="Q147">
        <v>6360075</v>
      </c>
      <c r="R147" t="s">
        <v>74</v>
      </c>
      <c r="S147" s="4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84</v>
      </c>
      <c r="AD147" s="35">
        <v>42552</v>
      </c>
    </row>
    <row r="148" spans="1:30" x14ac:dyDescent="0.25">
      <c r="A148">
        <v>730790</v>
      </c>
      <c r="B148" t="s">
        <v>135</v>
      </c>
      <c r="C148">
        <v>2016</v>
      </c>
      <c r="D148">
        <v>7</v>
      </c>
      <c r="E148" t="s">
        <v>87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104</v>
      </c>
      <c r="L148" t="s">
        <v>103</v>
      </c>
      <c r="M148">
        <v>1169.0560399599999</v>
      </c>
      <c r="N148">
        <v>0</v>
      </c>
      <c r="O148" t="s">
        <v>79</v>
      </c>
      <c r="P148" s="35">
        <v>44334.107075081018</v>
      </c>
      <c r="Q148">
        <v>6360111</v>
      </c>
      <c r="R148" t="s">
        <v>74</v>
      </c>
      <c r="S148" s="4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84</v>
      </c>
      <c r="AD148" s="35">
        <v>42552</v>
      </c>
    </row>
    <row r="149" spans="1:30" x14ac:dyDescent="0.25">
      <c r="A149">
        <v>580771</v>
      </c>
      <c r="B149" t="s">
        <v>137</v>
      </c>
      <c r="C149">
        <v>2017</v>
      </c>
      <c r="D149">
        <v>8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1825.75210223</v>
      </c>
      <c r="N149">
        <v>0</v>
      </c>
      <c r="O149" t="s">
        <v>79</v>
      </c>
      <c r="P149" s="35">
        <v>44330.106720752323</v>
      </c>
      <c r="Q149">
        <v>5313253</v>
      </c>
      <c r="R149" t="s">
        <v>74</v>
      </c>
      <c r="S149" s="4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84</v>
      </c>
      <c r="AD149" s="35">
        <v>42948</v>
      </c>
    </row>
    <row r="150" spans="1:30" x14ac:dyDescent="0.25">
      <c r="A150">
        <v>580793</v>
      </c>
      <c r="B150" t="s">
        <v>137</v>
      </c>
      <c r="C150">
        <v>2017</v>
      </c>
      <c r="D150">
        <v>8</v>
      </c>
      <c r="E150" t="s">
        <v>87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88</v>
      </c>
      <c r="L150" t="s">
        <v>103</v>
      </c>
      <c r="M150">
        <v>317.95009379999999</v>
      </c>
      <c r="N150">
        <v>0</v>
      </c>
      <c r="O150" t="s">
        <v>79</v>
      </c>
      <c r="P150" s="35">
        <v>44330.106721331023</v>
      </c>
      <c r="Q150">
        <v>5313297</v>
      </c>
      <c r="R150" t="s">
        <v>74</v>
      </c>
      <c r="S150" s="4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84</v>
      </c>
      <c r="AD150" s="35">
        <v>42948</v>
      </c>
    </row>
    <row r="151" spans="1:30" x14ac:dyDescent="0.25">
      <c r="A151">
        <v>580815</v>
      </c>
      <c r="B151" t="s">
        <v>137</v>
      </c>
      <c r="C151">
        <v>2017</v>
      </c>
      <c r="D151">
        <v>8</v>
      </c>
      <c r="E151" t="s">
        <v>89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90</v>
      </c>
      <c r="L151" t="s">
        <v>103</v>
      </c>
      <c r="M151">
        <v>1252.6346749899999</v>
      </c>
      <c r="N151">
        <v>0</v>
      </c>
      <c r="O151" t="s">
        <v>79</v>
      </c>
      <c r="P151" s="35">
        <v>44330.106721909717</v>
      </c>
      <c r="Q151">
        <v>5313341</v>
      </c>
      <c r="R151" t="s">
        <v>74</v>
      </c>
      <c r="S151" s="4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84</v>
      </c>
      <c r="AD151" s="35">
        <v>42948</v>
      </c>
    </row>
    <row r="152" spans="1:30" x14ac:dyDescent="0.25">
      <c r="A152">
        <v>456438</v>
      </c>
      <c r="B152" t="s">
        <v>138</v>
      </c>
      <c r="C152">
        <v>2017</v>
      </c>
      <c r="D152">
        <v>12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326.92489831</v>
      </c>
      <c r="N152">
        <v>0</v>
      </c>
      <c r="O152" t="s">
        <v>79</v>
      </c>
      <c r="P152" s="35">
        <v>44284.5268440625</v>
      </c>
      <c r="Q152">
        <v>4320961</v>
      </c>
      <c r="R152" t="s">
        <v>74</v>
      </c>
      <c r="S152" s="4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84</v>
      </c>
      <c r="AD152" s="35">
        <v>43070</v>
      </c>
    </row>
    <row r="153" spans="1:30" x14ac:dyDescent="0.25">
      <c r="A153">
        <v>456416</v>
      </c>
      <c r="B153" t="s">
        <v>138</v>
      </c>
      <c r="C153">
        <v>2017</v>
      </c>
      <c r="D153">
        <v>12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1221.88235865</v>
      </c>
      <c r="N153">
        <v>0</v>
      </c>
      <c r="O153" t="s">
        <v>79</v>
      </c>
      <c r="P153" s="35">
        <v>44284.526843402768</v>
      </c>
      <c r="Q153">
        <v>4320917</v>
      </c>
      <c r="R153" t="s">
        <v>74</v>
      </c>
      <c r="S153" s="4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84</v>
      </c>
      <c r="AD153" s="35">
        <v>43070</v>
      </c>
    </row>
    <row r="154" spans="1:30" x14ac:dyDescent="0.25">
      <c r="A154">
        <v>456460</v>
      </c>
      <c r="B154" t="s">
        <v>138</v>
      </c>
      <c r="C154">
        <v>2017</v>
      </c>
      <c r="D154">
        <v>12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577.39533010000002</v>
      </c>
      <c r="N154">
        <v>0</v>
      </c>
      <c r="O154" t="s">
        <v>79</v>
      </c>
      <c r="P154" s="35">
        <v>44284.52684471065</v>
      </c>
      <c r="Q154">
        <v>4321005</v>
      </c>
      <c r="R154" t="s">
        <v>74</v>
      </c>
      <c r="S154" s="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84</v>
      </c>
      <c r="AD154" s="35">
        <v>43070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5">
        <v>44269.847218599527</v>
      </c>
      <c r="Q155">
        <v>783297</v>
      </c>
      <c r="R155" t="s">
        <v>82</v>
      </c>
      <c r="S155" s="4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84</v>
      </c>
      <c r="AD155" s="35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5">
        <v>44269.847217708331</v>
      </c>
      <c r="Q156">
        <v>783249</v>
      </c>
      <c r="R156" t="s">
        <v>82</v>
      </c>
      <c r="S156" s="4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84</v>
      </c>
      <c r="AD156" s="35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5">
        <v>44269.847216898153</v>
      </c>
      <c r="Q157">
        <v>783201</v>
      </c>
      <c r="R157" t="s">
        <v>82</v>
      </c>
      <c r="S157" s="4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84</v>
      </c>
      <c r="AD157" s="35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5">
        <v>44269.848710416663</v>
      </c>
      <c r="Q158">
        <v>913753</v>
      </c>
      <c r="R158" t="s">
        <v>81</v>
      </c>
      <c r="S158" s="4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84</v>
      </c>
      <c r="AD158" s="35">
        <v>43282</v>
      </c>
    </row>
    <row r="159" spans="1:30" x14ac:dyDescent="0.25">
      <c r="A159">
        <v>100218</v>
      </c>
      <c r="B159" t="s">
        <v>139</v>
      </c>
      <c r="C159">
        <v>2018</v>
      </c>
      <c r="D159">
        <v>7</v>
      </c>
      <c r="E159" t="s">
        <v>87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88</v>
      </c>
      <c r="L159" t="s">
        <v>103</v>
      </c>
      <c r="M159">
        <v>347.46938798999997</v>
      </c>
      <c r="N159">
        <v>0</v>
      </c>
      <c r="O159" t="s">
        <v>80</v>
      </c>
      <c r="P159" s="35">
        <v>44269.848709224527</v>
      </c>
      <c r="Q159">
        <v>913633</v>
      </c>
      <c r="R159" t="s">
        <v>81</v>
      </c>
      <c r="S159" s="4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84</v>
      </c>
      <c r="AD159" s="35">
        <v>43282</v>
      </c>
    </row>
    <row r="160" spans="1:30" x14ac:dyDescent="0.25">
      <c r="A160">
        <v>100194</v>
      </c>
      <c r="B160" t="s">
        <v>139</v>
      </c>
      <c r="C160">
        <v>2018</v>
      </c>
      <c r="D160">
        <v>7</v>
      </c>
      <c r="E160" t="s">
        <v>85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86</v>
      </c>
      <c r="L160" t="s">
        <v>103</v>
      </c>
      <c r="M160">
        <v>1870.62563673</v>
      </c>
      <c r="N160">
        <v>0</v>
      </c>
      <c r="O160" t="s">
        <v>80</v>
      </c>
      <c r="P160" s="35">
        <v>44269.848707986108</v>
      </c>
      <c r="Q160">
        <v>913513</v>
      </c>
      <c r="R160" t="s">
        <v>81</v>
      </c>
      <c r="S160" s="4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84</v>
      </c>
      <c r="AD160" s="35">
        <v>43282</v>
      </c>
    </row>
    <row r="161" spans="1:30" x14ac:dyDescent="0.25">
      <c r="A161">
        <v>130342</v>
      </c>
      <c r="B161" t="s">
        <v>114</v>
      </c>
      <c r="C161">
        <v>2018</v>
      </c>
      <c r="D161">
        <v>10</v>
      </c>
      <c r="E161" t="s">
        <v>89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90</v>
      </c>
      <c r="L161" t="s">
        <v>103</v>
      </c>
      <c r="M161">
        <v>879.43208655000001</v>
      </c>
      <c r="N161">
        <v>0</v>
      </c>
      <c r="O161" t="s">
        <v>80</v>
      </c>
      <c r="P161" s="35">
        <v>44269.852574803241</v>
      </c>
      <c r="Q161">
        <v>1193221</v>
      </c>
      <c r="R161" t="s">
        <v>91</v>
      </c>
      <c r="S161" s="4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84</v>
      </c>
      <c r="AD161" s="35">
        <v>43374</v>
      </c>
    </row>
    <row r="162" spans="1:30" x14ac:dyDescent="0.25">
      <c r="A162">
        <v>130318</v>
      </c>
      <c r="B162" t="s">
        <v>114</v>
      </c>
      <c r="C162">
        <v>2018</v>
      </c>
      <c r="D162">
        <v>10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333.40243543999998</v>
      </c>
      <c r="N162">
        <v>0</v>
      </c>
      <c r="O162" t="s">
        <v>80</v>
      </c>
      <c r="P162" s="35">
        <v>44269.852573611111</v>
      </c>
      <c r="Q162">
        <v>1193101</v>
      </c>
      <c r="R162" t="s">
        <v>91</v>
      </c>
      <c r="S162" s="4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84</v>
      </c>
      <c r="AD162" s="35">
        <v>43374</v>
      </c>
    </row>
    <row r="163" spans="1:30" x14ac:dyDescent="0.25">
      <c r="A163">
        <v>144880</v>
      </c>
      <c r="B163" t="s">
        <v>115</v>
      </c>
      <c r="C163">
        <v>2018</v>
      </c>
      <c r="D163">
        <v>11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1036.3887642100001</v>
      </c>
      <c r="N163">
        <v>0</v>
      </c>
      <c r="O163" t="s">
        <v>80</v>
      </c>
      <c r="P163" s="35">
        <v>44269.854264965281</v>
      </c>
      <c r="Q163">
        <v>1337181</v>
      </c>
      <c r="R163" t="s">
        <v>91</v>
      </c>
      <c r="S163" s="4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84</v>
      </c>
      <c r="AD163" s="35">
        <v>43405</v>
      </c>
    </row>
    <row r="164" spans="1:30" x14ac:dyDescent="0.25">
      <c r="A164">
        <v>144832</v>
      </c>
      <c r="B164" t="s">
        <v>115</v>
      </c>
      <c r="C164">
        <v>2018</v>
      </c>
      <c r="D164">
        <v>11</v>
      </c>
      <c r="E164" t="s">
        <v>85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86</v>
      </c>
      <c r="L164" t="s">
        <v>103</v>
      </c>
      <c r="M164">
        <v>1939.5207746900001</v>
      </c>
      <c r="N164">
        <v>0</v>
      </c>
      <c r="O164" t="s">
        <v>80</v>
      </c>
      <c r="P164" s="35">
        <v>44269.854262534733</v>
      </c>
      <c r="Q164">
        <v>1336941</v>
      </c>
      <c r="R164" t="s">
        <v>91</v>
      </c>
      <c r="S164" s="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84</v>
      </c>
      <c r="AD164" s="35">
        <v>43405</v>
      </c>
    </row>
    <row r="165" spans="1:30" x14ac:dyDescent="0.25">
      <c r="A165">
        <v>119638</v>
      </c>
      <c r="B165" t="s">
        <v>113</v>
      </c>
      <c r="C165">
        <v>2018</v>
      </c>
      <c r="D165">
        <v>9</v>
      </c>
      <c r="E165" t="s">
        <v>87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88</v>
      </c>
      <c r="L165" t="s">
        <v>103</v>
      </c>
      <c r="M165">
        <v>316.65874517999998</v>
      </c>
      <c r="N165">
        <v>0</v>
      </c>
      <c r="O165" t="s">
        <v>80</v>
      </c>
      <c r="P165" s="35">
        <v>44269.85110659722</v>
      </c>
      <c r="Q165">
        <v>1081729</v>
      </c>
      <c r="R165" t="s">
        <v>91</v>
      </c>
      <c r="S165" s="4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84</v>
      </c>
      <c r="AD165" s="35">
        <v>43344</v>
      </c>
    </row>
    <row r="166" spans="1:30" x14ac:dyDescent="0.25">
      <c r="A166">
        <v>130294</v>
      </c>
      <c r="B166" t="s">
        <v>114</v>
      </c>
      <c r="C166">
        <v>2018</v>
      </c>
      <c r="D166">
        <v>10</v>
      </c>
      <c r="E166" t="s">
        <v>85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86</v>
      </c>
      <c r="L166" t="s">
        <v>103</v>
      </c>
      <c r="M166">
        <v>1428.8615156599999</v>
      </c>
      <c r="N166">
        <v>0</v>
      </c>
      <c r="O166" t="s">
        <v>80</v>
      </c>
      <c r="P166" s="35">
        <v>44269.8525723727</v>
      </c>
      <c r="Q166">
        <v>1192981</v>
      </c>
      <c r="R166" t="s">
        <v>91</v>
      </c>
      <c r="S166" s="4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84</v>
      </c>
      <c r="AD166" s="35">
        <v>43374</v>
      </c>
    </row>
    <row r="167" spans="1:30" x14ac:dyDescent="0.25">
      <c r="A167">
        <v>443833</v>
      </c>
      <c r="B167" t="s">
        <v>116</v>
      </c>
      <c r="C167">
        <v>2018</v>
      </c>
      <c r="D167">
        <v>12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1153.4816149200001</v>
      </c>
      <c r="N167">
        <v>0</v>
      </c>
      <c r="O167" t="s">
        <v>80</v>
      </c>
      <c r="P167" s="35">
        <v>44284.51458221065</v>
      </c>
      <c r="Q167">
        <v>4215480</v>
      </c>
      <c r="R167" t="s">
        <v>91</v>
      </c>
      <c r="S167" s="4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84</v>
      </c>
      <c r="AD167" s="35">
        <v>43435</v>
      </c>
    </row>
    <row r="168" spans="1:30" x14ac:dyDescent="0.25">
      <c r="A168">
        <v>119614</v>
      </c>
      <c r="B168" t="s">
        <v>113</v>
      </c>
      <c r="C168">
        <v>2018</v>
      </c>
      <c r="D168">
        <v>9</v>
      </c>
      <c r="E168" t="s">
        <v>85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86</v>
      </c>
      <c r="L168" t="s">
        <v>103</v>
      </c>
      <c r="M168">
        <v>1439.52704135</v>
      </c>
      <c r="N168">
        <v>0</v>
      </c>
      <c r="O168" t="s">
        <v>80</v>
      </c>
      <c r="P168" s="35">
        <v>44269.851105011578</v>
      </c>
      <c r="Q168">
        <v>1081609</v>
      </c>
      <c r="R168" t="s">
        <v>91</v>
      </c>
      <c r="S168" s="4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84</v>
      </c>
      <c r="AD168" s="35">
        <v>43344</v>
      </c>
    </row>
    <row r="169" spans="1:30" x14ac:dyDescent="0.25">
      <c r="A169">
        <v>119662</v>
      </c>
      <c r="B169" t="s">
        <v>113</v>
      </c>
      <c r="C169">
        <v>2018</v>
      </c>
      <c r="D169">
        <v>9</v>
      </c>
      <c r="E169" t="s">
        <v>89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90</v>
      </c>
      <c r="L169" t="s">
        <v>103</v>
      </c>
      <c r="M169">
        <v>843.05591856000001</v>
      </c>
      <c r="N169">
        <v>0</v>
      </c>
      <c r="O169" t="s">
        <v>80</v>
      </c>
      <c r="P169" s="35">
        <v>44269.851107986113</v>
      </c>
      <c r="Q169">
        <v>1081849</v>
      </c>
      <c r="R169" t="s">
        <v>91</v>
      </c>
      <c r="S169" s="4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84</v>
      </c>
      <c r="AD169" s="35">
        <v>43344</v>
      </c>
    </row>
    <row r="170" spans="1:30" x14ac:dyDescent="0.25">
      <c r="A170">
        <v>443809</v>
      </c>
      <c r="B170" t="s">
        <v>116</v>
      </c>
      <c r="C170">
        <v>2018</v>
      </c>
      <c r="D170">
        <v>12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824.95046656</v>
      </c>
      <c r="N170">
        <v>0</v>
      </c>
      <c r="O170" t="s">
        <v>80</v>
      </c>
      <c r="P170" s="35">
        <v>44284.514580937503</v>
      </c>
      <c r="Q170">
        <v>4215360</v>
      </c>
      <c r="R170" t="s">
        <v>91</v>
      </c>
      <c r="S170" s="4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84</v>
      </c>
      <c r="AD170" s="35">
        <v>43435</v>
      </c>
    </row>
    <row r="171" spans="1:30" x14ac:dyDescent="0.25">
      <c r="A171">
        <v>144856</v>
      </c>
      <c r="B171" t="s">
        <v>115</v>
      </c>
      <c r="C171">
        <v>2018</v>
      </c>
      <c r="D171">
        <v>11</v>
      </c>
      <c r="E171" t="s">
        <v>87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88</v>
      </c>
      <c r="L171" t="s">
        <v>103</v>
      </c>
      <c r="M171">
        <v>527.43779992999998</v>
      </c>
      <c r="N171">
        <v>0</v>
      </c>
      <c r="O171" t="s">
        <v>80</v>
      </c>
      <c r="P171" s="35">
        <v>44269.854263738423</v>
      </c>
      <c r="Q171">
        <v>1337061</v>
      </c>
      <c r="R171" t="s">
        <v>91</v>
      </c>
      <c r="S171" s="4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84</v>
      </c>
      <c r="AD171" s="35">
        <v>43405</v>
      </c>
    </row>
    <row r="172" spans="1:30" x14ac:dyDescent="0.25">
      <c r="A172">
        <v>443785</v>
      </c>
      <c r="B172" t="s">
        <v>116</v>
      </c>
      <c r="C172">
        <v>2018</v>
      </c>
      <c r="D172">
        <v>12</v>
      </c>
      <c r="E172" t="s">
        <v>85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86</v>
      </c>
      <c r="L172" t="s">
        <v>103</v>
      </c>
      <c r="M172">
        <v>3041.3129330199999</v>
      </c>
      <c r="N172">
        <v>0</v>
      </c>
      <c r="O172" t="s">
        <v>80</v>
      </c>
      <c r="P172" s="35">
        <v>44284.514579629627</v>
      </c>
      <c r="Q172">
        <v>4215240</v>
      </c>
      <c r="R172" t="s">
        <v>91</v>
      </c>
      <c r="S172" s="4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84</v>
      </c>
      <c r="AD172" s="35">
        <v>43435</v>
      </c>
    </row>
    <row r="173" spans="1:30" x14ac:dyDescent="0.25">
      <c r="A173">
        <v>113076</v>
      </c>
      <c r="B173" t="s">
        <v>140</v>
      </c>
      <c r="C173">
        <v>2018</v>
      </c>
      <c r="D173">
        <v>8</v>
      </c>
      <c r="E173" t="s">
        <v>87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88</v>
      </c>
      <c r="L173" t="s">
        <v>103</v>
      </c>
      <c r="M173">
        <v>336.78904151</v>
      </c>
      <c r="N173">
        <v>0</v>
      </c>
      <c r="O173" t="s">
        <v>80</v>
      </c>
      <c r="P173" s="35">
        <v>44269.850222337962</v>
      </c>
      <c r="Q173">
        <v>1042162</v>
      </c>
      <c r="R173" t="s">
        <v>81</v>
      </c>
      <c r="S173" s="4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84</v>
      </c>
      <c r="AD173" s="35">
        <v>43313</v>
      </c>
    </row>
    <row r="174" spans="1:30" x14ac:dyDescent="0.25">
      <c r="A174">
        <v>113100</v>
      </c>
      <c r="B174" t="s">
        <v>140</v>
      </c>
      <c r="C174">
        <v>2018</v>
      </c>
      <c r="D174">
        <v>8</v>
      </c>
      <c r="E174" t="s">
        <v>89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90</v>
      </c>
      <c r="L174" t="s">
        <v>103</v>
      </c>
      <c r="M174">
        <v>901.42463836000002</v>
      </c>
      <c r="N174">
        <v>0</v>
      </c>
      <c r="O174" t="s">
        <v>80</v>
      </c>
      <c r="P174" s="35">
        <v>44269.850223530091</v>
      </c>
      <c r="Q174">
        <v>1042282</v>
      </c>
      <c r="R174" t="s">
        <v>81</v>
      </c>
      <c r="S174" s="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84</v>
      </c>
      <c r="AD174" s="35">
        <v>43313</v>
      </c>
    </row>
    <row r="175" spans="1:30" x14ac:dyDescent="0.25">
      <c r="A175">
        <v>113052</v>
      </c>
      <c r="B175" t="s">
        <v>140</v>
      </c>
      <c r="C175">
        <v>2018</v>
      </c>
      <c r="D175">
        <v>8</v>
      </c>
      <c r="E175" t="s">
        <v>85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86</v>
      </c>
      <c r="L175" t="s">
        <v>103</v>
      </c>
      <c r="M175">
        <v>1702.89201288</v>
      </c>
      <c r="N175">
        <v>0</v>
      </c>
      <c r="O175" t="s">
        <v>80</v>
      </c>
      <c r="P175" s="35">
        <v>44269.85022109955</v>
      </c>
      <c r="Q175">
        <v>1042042</v>
      </c>
      <c r="R175" t="s">
        <v>81</v>
      </c>
      <c r="S175" s="4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84</v>
      </c>
      <c r="AD175" s="35">
        <v>43313</v>
      </c>
    </row>
    <row r="176" spans="1:30" x14ac:dyDescent="0.25">
      <c r="A176">
        <v>628657</v>
      </c>
      <c r="B176" t="s">
        <v>141</v>
      </c>
      <c r="C176">
        <v>2017</v>
      </c>
      <c r="D176">
        <v>4</v>
      </c>
      <c r="E176" t="s">
        <v>89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90</v>
      </c>
      <c r="L176" t="s">
        <v>103</v>
      </c>
      <c r="M176">
        <v>1712.75377718</v>
      </c>
      <c r="N176">
        <v>0</v>
      </c>
      <c r="O176" t="s">
        <v>79</v>
      </c>
      <c r="P176" s="35">
        <v>44334.047875810182</v>
      </c>
      <c r="Q176">
        <v>5584410</v>
      </c>
      <c r="R176" t="s">
        <v>74</v>
      </c>
      <c r="S176" s="4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84</v>
      </c>
      <c r="AD176" s="35">
        <v>42826</v>
      </c>
    </row>
    <row r="177" spans="1:30" x14ac:dyDescent="0.25">
      <c r="A177">
        <v>628613</v>
      </c>
      <c r="B177" t="s">
        <v>141</v>
      </c>
      <c r="C177">
        <v>2017</v>
      </c>
      <c r="D177">
        <v>4</v>
      </c>
      <c r="E177" t="s">
        <v>85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86</v>
      </c>
      <c r="L177" t="s">
        <v>103</v>
      </c>
      <c r="M177">
        <v>4420.2930050699997</v>
      </c>
      <c r="N177">
        <v>0</v>
      </c>
      <c r="O177" t="s">
        <v>79</v>
      </c>
      <c r="P177" s="35">
        <v>44334.04787422454</v>
      </c>
      <c r="Q177">
        <v>5584322</v>
      </c>
      <c r="R177" t="s">
        <v>74</v>
      </c>
      <c r="S177" s="4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84</v>
      </c>
      <c r="AD177" s="35">
        <v>42826</v>
      </c>
    </row>
    <row r="178" spans="1:30" x14ac:dyDescent="0.25">
      <c r="A178">
        <v>628635</v>
      </c>
      <c r="B178" t="s">
        <v>141</v>
      </c>
      <c r="C178">
        <v>2017</v>
      </c>
      <c r="D178">
        <v>4</v>
      </c>
      <c r="E178" t="s">
        <v>87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88</v>
      </c>
      <c r="L178" t="s">
        <v>103</v>
      </c>
      <c r="M178">
        <v>1117.7193056399999</v>
      </c>
      <c r="N178">
        <v>0</v>
      </c>
      <c r="O178" t="s">
        <v>79</v>
      </c>
      <c r="P178" s="35">
        <v>44334.047875034717</v>
      </c>
      <c r="Q178">
        <v>5584366</v>
      </c>
      <c r="R178" t="s">
        <v>74</v>
      </c>
      <c r="S178" s="4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84</v>
      </c>
      <c r="AD178" s="35">
        <v>42826</v>
      </c>
    </row>
    <row r="179" spans="1:30" x14ac:dyDescent="0.25">
      <c r="A179">
        <v>570927</v>
      </c>
      <c r="B179" t="s">
        <v>142</v>
      </c>
      <c r="C179">
        <v>2017</v>
      </c>
      <c r="D179">
        <v>7</v>
      </c>
      <c r="E179" t="s">
        <v>89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90</v>
      </c>
      <c r="L179" t="s">
        <v>103</v>
      </c>
      <c r="M179">
        <v>1241.0892522700001</v>
      </c>
      <c r="N179">
        <v>0</v>
      </c>
      <c r="O179" t="s">
        <v>79</v>
      </c>
      <c r="P179" s="35">
        <v>44330.105698263891</v>
      </c>
      <c r="Q179">
        <v>5229297</v>
      </c>
      <c r="R179" t="s">
        <v>74</v>
      </c>
      <c r="S179" s="4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84</v>
      </c>
      <c r="AD179" s="35">
        <v>42917</v>
      </c>
    </row>
    <row r="180" spans="1:30" x14ac:dyDescent="0.25">
      <c r="A180">
        <v>570906</v>
      </c>
      <c r="B180" t="s">
        <v>142</v>
      </c>
      <c r="C180">
        <v>2017</v>
      </c>
      <c r="D180">
        <v>7</v>
      </c>
      <c r="E180" t="s">
        <v>87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88</v>
      </c>
      <c r="L180" t="s">
        <v>103</v>
      </c>
      <c r="M180">
        <v>331.86459323999998</v>
      </c>
      <c r="N180">
        <v>0</v>
      </c>
      <c r="O180" t="s">
        <v>79</v>
      </c>
      <c r="P180" s="35">
        <v>44330.105697719897</v>
      </c>
      <c r="Q180">
        <v>5229255</v>
      </c>
      <c r="R180" t="s">
        <v>74</v>
      </c>
      <c r="S180" s="4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84</v>
      </c>
      <c r="AD180" s="35">
        <v>42917</v>
      </c>
    </row>
    <row r="181" spans="1:30" x14ac:dyDescent="0.25">
      <c r="A181">
        <v>570885</v>
      </c>
      <c r="B181" t="s">
        <v>142</v>
      </c>
      <c r="C181">
        <v>2017</v>
      </c>
      <c r="D181">
        <v>7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2146.3813947499998</v>
      </c>
      <c r="N181">
        <v>0</v>
      </c>
      <c r="O181" t="s">
        <v>79</v>
      </c>
      <c r="P181" s="35">
        <v>44330.105697106483</v>
      </c>
      <c r="Q181">
        <v>5229213</v>
      </c>
      <c r="R181" t="s">
        <v>74</v>
      </c>
      <c r="S181" s="4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84</v>
      </c>
      <c r="AD181" s="35">
        <v>42917</v>
      </c>
    </row>
    <row r="182" spans="1:30" x14ac:dyDescent="0.25">
      <c r="A182">
        <v>44</v>
      </c>
      <c r="B182" t="s">
        <v>121</v>
      </c>
      <c r="C182">
        <v>2017</v>
      </c>
      <c r="D182">
        <v>9</v>
      </c>
      <c r="E182" t="s">
        <v>89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90</v>
      </c>
      <c r="L182" t="s">
        <v>103</v>
      </c>
      <c r="M182">
        <v>1160.3236436</v>
      </c>
      <c r="N182">
        <v>0</v>
      </c>
      <c r="O182" t="s">
        <v>79</v>
      </c>
      <c r="P182" s="35">
        <v>44269.837768090278</v>
      </c>
      <c r="Q182">
        <v>87</v>
      </c>
      <c r="R182" t="s">
        <v>82</v>
      </c>
      <c r="S182" s="4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84</v>
      </c>
      <c r="AD182" s="35">
        <v>42979</v>
      </c>
    </row>
    <row r="183" spans="1:30" x14ac:dyDescent="0.25">
      <c r="A183">
        <v>2</v>
      </c>
      <c r="B183" t="s">
        <v>121</v>
      </c>
      <c r="C183">
        <v>2017</v>
      </c>
      <c r="D183">
        <v>9</v>
      </c>
      <c r="E183" t="s">
        <v>85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86</v>
      </c>
      <c r="L183" t="s">
        <v>103</v>
      </c>
      <c r="M183">
        <v>1525.35760676</v>
      </c>
      <c r="N183">
        <v>0</v>
      </c>
      <c r="O183" t="s">
        <v>79</v>
      </c>
      <c r="P183" s="35">
        <v>44269.837765891207</v>
      </c>
      <c r="Q183">
        <v>3</v>
      </c>
      <c r="R183" t="s">
        <v>82</v>
      </c>
      <c r="S183" s="4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84</v>
      </c>
      <c r="AD183" s="35">
        <v>42979</v>
      </c>
    </row>
    <row r="184" spans="1:30" x14ac:dyDescent="0.25">
      <c r="A184">
        <v>23</v>
      </c>
      <c r="B184" t="s">
        <v>121</v>
      </c>
      <c r="C184">
        <v>2017</v>
      </c>
      <c r="D184">
        <v>9</v>
      </c>
      <c r="E184" t="s">
        <v>87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88</v>
      </c>
      <c r="L184" t="s">
        <v>103</v>
      </c>
      <c r="M184">
        <v>317.51694221999998</v>
      </c>
      <c r="N184">
        <v>0</v>
      </c>
      <c r="O184" t="s">
        <v>79</v>
      </c>
      <c r="P184" s="35">
        <v>44269.837767013887</v>
      </c>
      <c r="Q184">
        <v>45</v>
      </c>
      <c r="R184" t="s">
        <v>82</v>
      </c>
      <c r="S184" s="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84</v>
      </c>
      <c r="AD184" s="35">
        <v>42979</v>
      </c>
    </row>
    <row r="185" spans="1:30" x14ac:dyDescent="0.25">
      <c r="A185">
        <v>100242</v>
      </c>
      <c r="B185" t="s">
        <v>139</v>
      </c>
      <c r="C185">
        <v>2018</v>
      </c>
      <c r="D185">
        <v>7</v>
      </c>
      <c r="E185" t="s">
        <v>89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90</v>
      </c>
      <c r="L185" t="s">
        <v>103</v>
      </c>
      <c r="M185">
        <v>953.47078386999999</v>
      </c>
      <c r="N185">
        <v>0</v>
      </c>
      <c r="O185" t="s">
        <v>80</v>
      </c>
      <c r="P185" s="35">
        <v>44269.848710416663</v>
      </c>
      <c r="Q185">
        <v>913752</v>
      </c>
      <c r="R185" t="s">
        <v>27</v>
      </c>
      <c r="S185" s="4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84</v>
      </c>
      <c r="AD185" s="35">
        <v>43282</v>
      </c>
    </row>
    <row r="186" spans="1:30" x14ac:dyDescent="0.25">
      <c r="A186">
        <v>100194</v>
      </c>
      <c r="B186" t="s">
        <v>139</v>
      </c>
      <c r="C186">
        <v>2018</v>
      </c>
      <c r="D186">
        <v>7</v>
      </c>
      <c r="E186" t="s">
        <v>85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86</v>
      </c>
      <c r="L186" t="s">
        <v>103</v>
      </c>
      <c r="M186">
        <v>1870.62563673</v>
      </c>
      <c r="N186">
        <v>0</v>
      </c>
      <c r="O186" t="s">
        <v>80</v>
      </c>
      <c r="P186" s="35">
        <v>44269.848707986108</v>
      </c>
      <c r="Q186">
        <v>913512</v>
      </c>
      <c r="R186" t="s">
        <v>27</v>
      </c>
      <c r="S186" s="4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84</v>
      </c>
      <c r="AD186" s="35">
        <v>43282</v>
      </c>
    </row>
    <row r="187" spans="1:30" x14ac:dyDescent="0.25">
      <c r="A187">
        <v>100218</v>
      </c>
      <c r="B187" t="s">
        <v>139</v>
      </c>
      <c r="C187">
        <v>2018</v>
      </c>
      <c r="D187">
        <v>7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347.46938798999997</v>
      </c>
      <c r="N187">
        <v>0</v>
      </c>
      <c r="O187" t="s">
        <v>80</v>
      </c>
      <c r="P187" s="35">
        <v>44269.848709224527</v>
      </c>
      <c r="Q187">
        <v>913632</v>
      </c>
      <c r="R187" t="s">
        <v>27</v>
      </c>
      <c r="S187" s="4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84</v>
      </c>
      <c r="AD187" s="35">
        <v>43282</v>
      </c>
    </row>
    <row r="188" spans="1:30" x14ac:dyDescent="0.25">
      <c r="A188">
        <v>560936</v>
      </c>
      <c r="B188" t="s">
        <v>143</v>
      </c>
      <c r="C188">
        <v>2017</v>
      </c>
      <c r="D188">
        <v>6</v>
      </c>
      <c r="E188" t="s">
        <v>87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88</v>
      </c>
      <c r="L188" t="s">
        <v>103</v>
      </c>
      <c r="M188">
        <v>850.28490937000004</v>
      </c>
      <c r="N188">
        <v>0</v>
      </c>
      <c r="O188" t="s">
        <v>79</v>
      </c>
      <c r="P188" s="35">
        <v>44330.104736226851</v>
      </c>
      <c r="Q188">
        <v>5144551</v>
      </c>
      <c r="R188" t="s">
        <v>74</v>
      </c>
      <c r="S188" s="4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84</v>
      </c>
      <c r="AD188" s="35">
        <v>42887</v>
      </c>
    </row>
    <row r="189" spans="1:30" x14ac:dyDescent="0.25">
      <c r="A189">
        <v>560915</v>
      </c>
      <c r="B189" t="s">
        <v>143</v>
      </c>
      <c r="C189">
        <v>2017</v>
      </c>
      <c r="D189">
        <v>6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2370.0725542700002</v>
      </c>
      <c r="N189">
        <v>0</v>
      </c>
      <c r="O189" t="s">
        <v>79</v>
      </c>
      <c r="P189" s="35">
        <v>44330.104735567133</v>
      </c>
      <c r="Q189">
        <v>5144509</v>
      </c>
      <c r="R189" t="s">
        <v>74</v>
      </c>
      <c r="S189" s="4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84</v>
      </c>
      <c r="AD189" s="35">
        <v>42887</v>
      </c>
    </row>
    <row r="190" spans="1:30" x14ac:dyDescent="0.25">
      <c r="A190">
        <v>560957</v>
      </c>
      <c r="B190" t="s">
        <v>143</v>
      </c>
      <c r="C190">
        <v>2017</v>
      </c>
      <c r="D190">
        <v>6</v>
      </c>
      <c r="E190" t="s">
        <v>89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90</v>
      </c>
      <c r="L190" t="s">
        <v>103</v>
      </c>
      <c r="M190">
        <v>1321.58655047</v>
      </c>
      <c r="N190">
        <v>0</v>
      </c>
      <c r="O190" t="s">
        <v>79</v>
      </c>
      <c r="P190" s="35">
        <v>44330.104736770831</v>
      </c>
      <c r="Q190">
        <v>5144593</v>
      </c>
      <c r="R190" t="s">
        <v>74</v>
      </c>
      <c r="S190" s="4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84</v>
      </c>
      <c r="AD190" s="35">
        <v>42887</v>
      </c>
    </row>
    <row r="191" spans="1:30" x14ac:dyDescent="0.25">
      <c r="A191">
        <v>113100</v>
      </c>
      <c r="B191" t="s">
        <v>140</v>
      </c>
      <c r="C191">
        <v>2018</v>
      </c>
      <c r="D191">
        <v>8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901.42463836000002</v>
      </c>
      <c r="N191">
        <v>0</v>
      </c>
      <c r="O191" t="s">
        <v>80</v>
      </c>
      <c r="P191" s="35">
        <v>44269.850223530091</v>
      </c>
      <c r="Q191">
        <v>1042281</v>
      </c>
      <c r="R191" t="s">
        <v>27</v>
      </c>
      <c r="S191" s="4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84</v>
      </c>
      <c r="AD191" s="35">
        <v>43313</v>
      </c>
    </row>
    <row r="192" spans="1:30" x14ac:dyDescent="0.25">
      <c r="A192">
        <v>113052</v>
      </c>
      <c r="B192" t="s">
        <v>140</v>
      </c>
      <c r="C192">
        <v>2018</v>
      </c>
      <c r="D192">
        <v>8</v>
      </c>
      <c r="E192" t="s">
        <v>85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86</v>
      </c>
      <c r="L192" t="s">
        <v>103</v>
      </c>
      <c r="M192">
        <v>1702.89201288</v>
      </c>
      <c r="N192">
        <v>0</v>
      </c>
      <c r="O192" t="s">
        <v>80</v>
      </c>
      <c r="P192" s="35">
        <v>44269.85022109955</v>
      </c>
      <c r="Q192">
        <v>1042041</v>
      </c>
      <c r="R192" t="s">
        <v>27</v>
      </c>
      <c r="S192" s="4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84</v>
      </c>
      <c r="AD192" s="35">
        <v>43313</v>
      </c>
    </row>
    <row r="193" spans="1:30" x14ac:dyDescent="0.25">
      <c r="A193">
        <v>113076</v>
      </c>
      <c r="B193" t="s">
        <v>140</v>
      </c>
      <c r="C193">
        <v>2018</v>
      </c>
      <c r="D193">
        <v>8</v>
      </c>
      <c r="E193" t="s">
        <v>87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88</v>
      </c>
      <c r="L193" t="s">
        <v>103</v>
      </c>
      <c r="M193">
        <v>336.78904151</v>
      </c>
      <c r="N193">
        <v>0</v>
      </c>
      <c r="O193" t="s">
        <v>80</v>
      </c>
      <c r="P193" s="35">
        <v>44269.850222337962</v>
      </c>
      <c r="Q193">
        <v>1042161</v>
      </c>
      <c r="R193" t="s">
        <v>27</v>
      </c>
      <c r="S193" s="4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84</v>
      </c>
      <c r="AD193" s="35">
        <v>43313</v>
      </c>
    </row>
    <row r="194" spans="1:30" x14ac:dyDescent="0.25">
      <c r="A194">
        <v>550961</v>
      </c>
      <c r="B194" t="s">
        <v>144</v>
      </c>
      <c r="C194">
        <v>2017</v>
      </c>
      <c r="D194">
        <v>5</v>
      </c>
      <c r="E194" t="s">
        <v>87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88</v>
      </c>
      <c r="L194" t="s">
        <v>103</v>
      </c>
      <c r="M194">
        <v>999.01457314000004</v>
      </c>
      <c r="N194">
        <v>0</v>
      </c>
      <c r="O194" t="s">
        <v>79</v>
      </c>
      <c r="P194" s="35">
        <v>44330.10375185185</v>
      </c>
      <c r="Q194">
        <v>5059817</v>
      </c>
      <c r="R194" t="s">
        <v>74</v>
      </c>
      <c r="S194" s="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84</v>
      </c>
      <c r="AD194" s="35">
        <v>42856</v>
      </c>
    </row>
    <row r="195" spans="1:30" x14ac:dyDescent="0.25">
      <c r="A195">
        <v>550940</v>
      </c>
      <c r="B195" t="s">
        <v>144</v>
      </c>
      <c r="C195">
        <v>2017</v>
      </c>
      <c r="D195">
        <v>5</v>
      </c>
      <c r="E195" t="s">
        <v>85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86</v>
      </c>
      <c r="L195" t="s">
        <v>103</v>
      </c>
      <c r="M195">
        <v>2827.3129987100001</v>
      </c>
      <c r="N195">
        <v>0</v>
      </c>
      <c r="O195" t="s">
        <v>79</v>
      </c>
      <c r="P195" s="35">
        <v>44330.103751238428</v>
      </c>
      <c r="Q195">
        <v>5059775</v>
      </c>
      <c r="R195" t="s">
        <v>74</v>
      </c>
      <c r="S195" s="4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84</v>
      </c>
      <c r="AD195" s="35">
        <v>42856</v>
      </c>
    </row>
    <row r="196" spans="1:30" x14ac:dyDescent="0.25">
      <c r="A196">
        <v>550982</v>
      </c>
      <c r="B196" t="s">
        <v>144</v>
      </c>
      <c r="C196">
        <v>2017</v>
      </c>
      <c r="D196">
        <v>5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1465.7128444299999</v>
      </c>
      <c r="N196">
        <v>0</v>
      </c>
      <c r="O196" t="s">
        <v>79</v>
      </c>
      <c r="P196" s="35">
        <v>44330.103752581017</v>
      </c>
      <c r="Q196">
        <v>5059859</v>
      </c>
      <c r="R196" t="s">
        <v>74</v>
      </c>
      <c r="S196" s="4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84</v>
      </c>
      <c r="AD196" s="35">
        <v>42856</v>
      </c>
    </row>
    <row r="197" spans="1:30" x14ac:dyDescent="0.25">
      <c r="A197">
        <v>9842</v>
      </c>
      <c r="B197" t="s">
        <v>127</v>
      </c>
      <c r="C197">
        <v>2017</v>
      </c>
      <c r="D197">
        <v>10</v>
      </c>
      <c r="E197" t="s">
        <v>89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90</v>
      </c>
      <c r="L197" t="s">
        <v>103</v>
      </c>
      <c r="M197">
        <v>1325.6322066800001</v>
      </c>
      <c r="N197">
        <v>0</v>
      </c>
      <c r="O197" t="s">
        <v>79</v>
      </c>
      <c r="P197" s="35">
        <v>44269.838788229157</v>
      </c>
      <c r="Q197">
        <v>83968</v>
      </c>
      <c r="R197" t="s">
        <v>82</v>
      </c>
      <c r="S197" s="4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84</v>
      </c>
      <c r="AD197" s="35">
        <v>43009</v>
      </c>
    </row>
    <row r="198" spans="1:30" x14ac:dyDescent="0.25">
      <c r="A198">
        <v>9821</v>
      </c>
      <c r="B198" t="s">
        <v>127</v>
      </c>
      <c r="C198">
        <v>2017</v>
      </c>
      <c r="D198">
        <v>10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345.79406583999997</v>
      </c>
      <c r="N198">
        <v>0</v>
      </c>
      <c r="O198" t="s">
        <v>79</v>
      </c>
      <c r="P198" s="35">
        <v>44269.83878726852</v>
      </c>
      <c r="Q198">
        <v>83926</v>
      </c>
      <c r="R198" t="s">
        <v>82</v>
      </c>
      <c r="S198" s="4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84</v>
      </c>
      <c r="AD198" s="35">
        <v>43009</v>
      </c>
    </row>
    <row r="199" spans="1:30" x14ac:dyDescent="0.25">
      <c r="A199">
        <v>9800</v>
      </c>
      <c r="B199" t="s">
        <v>127</v>
      </c>
      <c r="C199">
        <v>2017</v>
      </c>
      <c r="D199">
        <v>10</v>
      </c>
      <c r="E199" t="s">
        <v>85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86</v>
      </c>
      <c r="L199" t="s">
        <v>103</v>
      </c>
      <c r="M199">
        <v>1690.9131185399999</v>
      </c>
      <c r="N199">
        <v>0</v>
      </c>
      <c r="O199" t="s">
        <v>79</v>
      </c>
      <c r="P199" s="35">
        <v>44269.83878622685</v>
      </c>
      <c r="Q199">
        <v>83884</v>
      </c>
      <c r="R199" t="s">
        <v>82</v>
      </c>
      <c r="S199" s="4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84</v>
      </c>
      <c r="AD199" s="35">
        <v>43009</v>
      </c>
    </row>
    <row r="200" spans="1:30" x14ac:dyDescent="0.25">
      <c r="A200">
        <v>174692</v>
      </c>
      <c r="B200" t="s">
        <v>145</v>
      </c>
      <c r="C200">
        <v>2019</v>
      </c>
      <c r="D200">
        <v>1</v>
      </c>
      <c r="E200" t="s">
        <v>90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1057.08780013</v>
      </c>
      <c r="N200">
        <v>0</v>
      </c>
      <c r="O200" t="s">
        <v>80</v>
      </c>
      <c r="P200" s="35">
        <v>44269.857912731481</v>
      </c>
      <c r="Q200">
        <v>1659736</v>
      </c>
      <c r="R200" t="s">
        <v>81</v>
      </c>
      <c r="S200" s="4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84</v>
      </c>
      <c r="AD200" s="35">
        <v>43466</v>
      </c>
    </row>
    <row r="201" spans="1:30" x14ac:dyDescent="0.25">
      <c r="A201">
        <v>257193</v>
      </c>
      <c r="B201" t="s">
        <v>146</v>
      </c>
      <c r="C201">
        <v>2019</v>
      </c>
      <c r="D201">
        <v>7</v>
      </c>
      <c r="E201" t="s">
        <v>88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259.70617061000002</v>
      </c>
      <c r="N201">
        <v>0</v>
      </c>
      <c r="O201" t="s">
        <v>80</v>
      </c>
      <c r="P201" s="35">
        <v>44269.868005127311</v>
      </c>
      <c r="Q201">
        <v>2439666</v>
      </c>
      <c r="R201" t="s">
        <v>81</v>
      </c>
      <c r="S201" s="4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84</v>
      </c>
      <c r="AD201" s="35">
        <v>43647</v>
      </c>
    </row>
    <row r="202" spans="1:30" x14ac:dyDescent="0.25">
      <c r="A202">
        <v>187283</v>
      </c>
      <c r="B202" t="s">
        <v>147</v>
      </c>
      <c r="C202">
        <v>2019</v>
      </c>
      <c r="D202">
        <v>2</v>
      </c>
      <c r="E202" t="s">
        <v>90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90</v>
      </c>
      <c r="L202" t="s">
        <v>103</v>
      </c>
      <c r="M202">
        <v>1177.9328353799999</v>
      </c>
      <c r="N202">
        <v>0</v>
      </c>
      <c r="O202" t="s">
        <v>80</v>
      </c>
      <c r="P202" s="35">
        <v>44269.859437847219</v>
      </c>
      <c r="Q202">
        <v>1779150</v>
      </c>
      <c r="R202" t="s">
        <v>81</v>
      </c>
      <c r="S202" s="4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84</v>
      </c>
      <c r="AD202" s="35">
        <v>43497</v>
      </c>
    </row>
    <row r="203" spans="1:30" x14ac:dyDescent="0.25">
      <c r="A203">
        <v>187229</v>
      </c>
      <c r="B203" t="s">
        <v>147</v>
      </c>
      <c r="C203">
        <v>2019</v>
      </c>
      <c r="D203">
        <v>2</v>
      </c>
      <c r="E203" t="s">
        <v>86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86</v>
      </c>
      <c r="L203" t="s">
        <v>103</v>
      </c>
      <c r="M203">
        <v>2097.42093987</v>
      </c>
      <c r="N203">
        <v>0</v>
      </c>
      <c r="O203" t="s">
        <v>80</v>
      </c>
      <c r="P203" s="35">
        <v>44269.859435266189</v>
      </c>
      <c r="Q203">
        <v>1778880</v>
      </c>
      <c r="R203" t="s">
        <v>81</v>
      </c>
      <c r="S203" s="4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84</v>
      </c>
      <c r="AD203" s="35">
        <v>43497</v>
      </c>
    </row>
    <row r="204" spans="1:30" x14ac:dyDescent="0.25">
      <c r="A204">
        <v>174638</v>
      </c>
      <c r="B204" t="s">
        <v>145</v>
      </c>
      <c r="C204">
        <v>2019</v>
      </c>
      <c r="D204">
        <v>1</v>
      </c>
      <c r="E204" t="s">
        <v>86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86</v>
      </c>
      <c r="L204" t="s">
        <v>103</v>
      </c>
      <c r="M204">
        <v>2213.9654676300001</v>
      </c>
      <c r="N204">
        <v>0</v>
      </c>
      <c r="O204" t="s">
        <v>80</v>
      </c>
      <c r="P204" s="35">
        <v>44269.857910185186</v>
      </c>
      <c r="Q204">
        <v>1659466</v>
      </c>
      <c r="R204" t="s">
        <v>81</v>
      </c>
      <c r="S204" s="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84</v>
      </c>
      <c r="AD204" s="35">
        <v>43466</v>
      </c>
    </row>
    <row r="205" spans="1:30" x14ac:dyDescent="0.25">
      <c r="A205">
        <v>314988</v>
      </c>
      <c r="B205" t="s">
        <v>148</v>
      </c>
      <c r="C205">
        <v>2019</v>
      </c>
      <c r="D205">
        <v>12</v>
      </c>
      <c r="E205" t="s">
        <v>86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2155.3283754300001</v>
      </c>
      <c r="N205">
        <v>0</v>
      </c>
      <c r="O205" t="s">
        <v>80</v>
      </c>
      <c r="P205" s="35">
        <v>44269.875250428238</v>
      </c>
      <c r="Q205">
        <v>2979367</v>
      </c>
      <c r="R205" t="s">
        <v>81</v>
      </c>
      <c r="S205" s="4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84</v>
      </c>
      <c r="AD205" s="35">
        <v>43800</v>
      </c>
    </row>
    <row r="206" spans="1:30" x14ac:dyDescent="0.25">
      <c r="A206">
        <v>174665</v>
      </c>
      <c r="B206" t="s">
        <v>145</v>
      </c>
      <c r="C206">
        <v>2019</v>
      </c>
      <c r="D206">
        <v>1</v>
      </c>
      <c r="E206" t="s">
        <v>88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502.14165592000001</v>
      </c>
      <c r="N206">
        <v>0</v>
      </c>
      <c r="O206" t="s">
        <v>80</v>
      </c>
      <c r="P206" s="35">
        <v>44269.857911458334</v>
      </c>
      <c r="Q206">
        <v>1659601</v>
      </c>
      <c r="R206" t="s">
        <v>81</v>
      </c>
      <c r="S206" s="4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84</v>
      </c>
      <c r="AD206" s="35">
        <v>43466</v>
      </c>
    </row>
    <row r="207" spans="1:30" x14ac:dyDescent="0.25">
      <c r="A207">
        <v>190928</v>
      </c>
      <c r="B207" t="s">
        <v>149</v>
      </c>
      <c r="C207">
        <v>2019</v>
      </c>
      <c r="D207">
        <v>3</v>
      </c>
      <c r="E207" t="s">
        <v>86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1987.4110310900001</v>
      </c>
      <c r="N207">
        <v>0</v>
      </c>
      <c r="O207" t="s">
        <v>80</v>
      </c>
      <c r="P207" s="35">
        <v>44269.860194062501</v>
      </c>
      <c r="Q207">
        <v>1806286</v>
      </c>
      <c r="R207" t="s">
        <v>81</v>
      </c>
      <c r="S207" s="4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84</v>
      </c>
      <c r="AD207" s="35">
        <v>43525</v>
      </c>
    </row>
    <row r="208" spans="1:30" x14ac:dyDescent="0.25">
      <c r="A208">
        <v>215992</v>
      </c>
      <c r="B208" t="s">
        <v>150</v>
      </c>
      <c r="C208">
        <v>2019</v>
      </c>
      <c r="D208">
        <v>4</v>
      </c>
      <c r="E208" t="s">
        <v>90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807.94171081000002</v>
      </c>
      <c r="N208">
        <v>0</v>
      </c>
      <c r="O208" t="s">
        <v>80</v>
      </c>
      <c r="P208" s="35">
        <v>44269.862962037027</v>
      </c>
      <c r="Q208">
        <v>2049902</v>
      </c>
      <c r="R208" t="s">
        <v>81</v>
      </c>
      <c r="S208" s="4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84</v>
      </c>
      <c r="AD208" s="35">
        <v>43556</v>
      </c>
    </row>
    <row r="209" spans="1:30" x14ac:dyDescent="0.25">
      <c r="A209">
        <v>315042</v>
      </c>
      <c r="B209" t="s">
        <v>148</v>
      </c>
      <c r="C209">
        <v>2019</v>
      </c>
      <c r="D209">
        <v>12</v>
      </c>
      <c r="E209" t="s">
        <v>90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90</v>
      </c>
      <c r="L209" t="s">
        <v>103</v>
      </c>
      <c r="M209">
        <v>491.15728963999999</v>
      </c>
      <c r="N209">
        <v>0</v>
      </c>
      <c r="O209" t="s">
        <v>80</v>
      </c>
      <c r="P209" s="35">
        <v>44269.875253009261</v>
      </c>
      <c r="Q209">
        <v>2979637</v>
      </c>
      <c r="R209" t="s">
        <v>81</v>
      </c>
      <c r="S209" s="4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84</v>
      </c>
      <c r="AD209" s="35">
        <v>43800</v>
      </c>
    </row>
    <row r="210" spans="1:30" x14ac:dyDescent="0.25">
      <c r="A210">
        <v>270939</v>
      </c>
      <c r="B210" t="s">
        <v>151</v>
      </c>
      <c r="C210">
        <v>2019</v>
      </c>
      <c r="D210">
        <v>8</v>
      </c>
      <c r="E210" t="s">
        <v>86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86</v>
      </c>
      <c r="L210" t="s">
        <v>103</v>
      </c>
      <c r="M210">
        <v>1193.87028252</v>
      </c>
      <c r="N210">
        <v>0</v>
      </c>
      <c r="O210" t="s">
        <v>80</v>
      </c>
      <c r="P210" s="35">
        <v>44269.869630439818</v>
      </c>
      <c r="Q210">
        <v>2569923</v>
      </c>
      <c r="R210" t="s">
        <v>81</v>
      </c>
      <c r="S210" s="4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84</v>
      </c>
      <c r="AD210" s="35">
        <v>43678</v>
      </c>
    </row>
    <row r="211" spans="1:30" x14ac:dyDescent="0.25">
      <c r="A211">
        <v>190982</v>
      </c>
      <c r="B211" t="s">
        <v>149</v>
      </c>
      <c r="C211">
        <v>2019</v>
      </c>
      <c r="D211">
        <v>3</v>
      </c>
      <c r="E211" t="s">
        <v>90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90</v>
      </c>
      <c r="L211" t="s">
        <v>103</v>
      </c>
      <c r="M211">
        <v>1048.18988866</v>
      </c>
      <c r="N211">
        <v>0</v>
      </c>
      <c r="O211" t="s">
        <v>80</v>
      </c>
      <c r="P211" s="35">
        <v>44269.860196643524</v>
      </c>
      <c r="Q211">
        <v>1806556</v>
      </c>
      <c r="R211" t="s">
        <v>81</v>
      </c>
      <c r="S211" s="4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84</v>
      </c>
      <c r="AD211" s="35">
        <v>43525</v>
      </c>
    </row>
    <row r="212" spans="1:30" x14ac:dyDescent="0.25">
      <c r="A212">
        <v>187256</v>
      </c>
      <c r="B212" t="s">
        <v>147</v>
      </c>
      <c r="C212">
        <v>2019</v>
      </c>
      <c r="D212">
        <v>2</v>
      </c>
      <c r="E212" t="s">
        <v>88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483.50924042000003</v>
      </c>
      <c r="N212">
        <v>0</v>
      </c>
      <c r="O212" t="s">
        <v>80</v>
      </c>
      <c r="P212" s="35">
        <v>44269.859436574072</v>
      </c>
      <c r="Q212">
        <v>1779015</v>
      </c>
      <c r="R212" t="s">
        <v>81</v>
      </c>
      <c r="S212" s="4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84</v>
      </c>
      <c r="AD212" s="35">
        <v>43497</v>
      </c>
    </row>
    <row r="213" spans="1:30" x14ac:dyDescent="0.25">
      <c r="A213">
        <v>215965</v>
      </c>
      <c r="B213" t="s">
        <v>150</v>
      </c>
      <c r="C213">
        <v>2019</v>
      </c>
      <c r="D213">
        <v>4</v>
      </c>
      <c r="E213" t="s">
        <v>88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88</v>
      </c>
      <c r="L213" t="s">
        <v>103</v>
      </c>
      <c r="M213">
        <v>278.00060418999999</v>
      </c>
      <c r="N213">
        <v>0</v>
      </c>
      <c r="O213" t="s">
        <v>80</v>
      </c>
      <c r="P213" s="35">
        <v>44269.862960763887</v>
      </c>
      <c r="Q213">
        <v>2049767</v>
      </c>
      <c r="R213" t="s">
        <v>81</v>
      </c>
      <c r="S213" s="4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84</v>
      </c>
      <c r="AD213" s="35">
        <v>43556</v>
      </c>
    </row>
    <row r="214" spans="1:30" x14ac:dyDescent="0.25">
      <c r="A214">
        <v>190955</v>
      </c>
      <c r="B214" t="s">
        <v>149</v>
      </c>
      <c r="C214">
        <v>2019</v>
      </c>
      <c r="D214">
        <v>3</v>
      </c>
      <c r="E214" t="s">
        <v>88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88</v>
      </c>
      <c r="L214" t="s">
        <v>103</v>
      </c>
      <c r="M214">
        <v>548.80313799999999</v>
      </c>
      <c r="N214">
        <v>0</v>
      </c>
      <c r="O214" t="s">
        <v>80</v>
      </c>
      <c r="P214" s="35">
        <v>44269.86019540509</v>
      </c>
      <c r="Q214">
        <v>1806421</v>
      </c>
      <c r="R214" t="s">
        <v>81</v>
      </c>
      <c r="S214" s="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84</v>
      </c>
      <c r="AD214" s="35">
        <v>43525</v>
      </c>
    </row>
    <row r="215" spans="1:30" x14ac:dyDescent="0.25">
      <c r="A215">
        <v>229684</v>
      </c>
      <c r="B215" t="s">
        <v>152</v>
      </c>
      <c r="C215">
        <v>2019</v>
      </c>
      <c r="D215">
        <v>5</v>
      </c>
      <c r="E215" t="s">
        <v>88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306.35749342000003</v>
      </c>
      <c r="N215">
        <v>0</v>
      </c>
      <c r="O215" t="s">
        <v>80</v>
      </c>
      <c r="P215" s="35">
        <v>44269.864759108787</v>
      </c>
      <c r="Q215">
        <v>2179644</v>
      </c>
      <c r="R215" t="s">
        <v>81</v>
      </c>
      <c r="S215" s="4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84</v>
      </c>
      <c r="AD215" s="35">
        <v>43586</v>
      </c>
    </row>
    <row r="216" spans="1:30" x14ac:dyDescent="0.25">
      <c r="A216">
        <v>243411</v>
      </c>
      <c r="B216" t="s">
        <v>153</v>
      </c>
      <c r="C216">
        <v>2019</v>
      </c>
      <c r="D216">
        <v>6</v>
      </c>
      <c r="E216" t="s">
        <v>86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86</v>
      </c>
      <c r="L216" t="s">
        <v>103</v>
      </c>
      <c r="M216">
        <v>1258.64819612</v>
      </c>
      <c r="N216">
        <v>0</v>
      </c>
      <c r="O216" t="s">
        <v>80</v>
      </c>
      <c r="P216" s="35">
        <v>44269.866383564811</v>
      </c>
      <c r="Q216">
        <v>2309503</v>
      </c>
      <c r="R216" t="s">
        <v>81</v>
      </c>
      <c r="S216" s="4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84</v>
      </c>
      <c r="AD216" s="35">
        <v>43617</v>
      </c>
    </row>
    <row r="217" spans="1:30" x14ac:dyDescent="0.25">
      <c r="A217">
        <v>229711</v>
      </c>
      <c r="B217" t="s">
        <v>152</v>
      </c>
      <c r="C217">
        <v>2019</v>
      </c>
      <c r="D217">
        <v>5</v>
      </c>
      <c r="E217" t="s">
        <v>90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90</v>
      </c>
      <c r="L217" t="s">
        <v>103</v>
      </c>
      <c r="M217">
        <v>761.62555524000004</v>
      </c>
      <c r="N217">
        <v>0</v>
      </c>
      <c r="O217" t="s">
        <v>80</v>
      </c>
      <c r="P217" s="35">
        <v>44269.864760335651</v>
      </c>
      <c r="Q217">
        <v>2179779</v>
      </c>
      <c r="R217" t="s">
        <v>81</v>
      </c>
      <c r="S217" s="4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84</v>
      </c>
      <c r="AD217" s="35">
        <v>43586</v>
      </c>
    </row>
    <row r="218" spans="1:30" x14ac:dyDescent="0.25">
      <c r="A218">
        <v>273507</v>
      </c>
      <c r="B218" t="s">
        <v>154</v>
      </c>
      <c r="C218">
        <v>2019</v>
      </c>
      <c r="D218">
        <v>9</v>
      </c>
      <c r="E218" t="s">
        <v>90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90</v>
      </c>
      <c r="L218" t="s">
        <v>103</v>
      </c>
      <c r="M218">
        <v>533.50070271000004</v>
      </c>
      <c r="N218">
        <v>0</v>
      </c>
      <c r="O218" t="s">
        <v>80</v>
      </c>
      <c r="P218" s="35">
        <v>44269.870334027779</v>
      </c>
      <c r="Q218">
        <v>2587012</v>
      </c>
      <c r="R218" t="s">
        <v>81</v>
      </c>
      <c r="S218" s="4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84</v>
      </c>
      <c r="AD218" s="35">
        <v>43709</v>
      </c>
    </row>
    <row r="219" spans="1:30" x14ac:dyDescent="0.25">
      <c r="A219">
        <v>243438</v>
      </c>
      <c r="B219" t="s">
        <v>153</v>
      </c>
      <c r="C219">
        <v>2019</v>
      </c>
      <c r="D219">
        <v>6</v>
      </c>
      <c r="E219" t="s">
        <v>88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251.84571108</v>
      </c>
      <c r="N219">
        <v>0</v>
      </c>
      <c r="O219" t="s">
        <v>80</v>
      </c>
      <c r="P219" s="35">
        <v>44269.86638498844</v>
      </c>
      <c r="Q219">
        <v>2309638</v>
      </c>
      <c r="R219" t="s">
        <v>81</v>
      </c>
      <c r="S219" s="4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84</v>
      </c>
      <c r="AD219" s="35">
        <v>43617</v>
      </c>
    </row>
    <row r="220" spans="1:30" x14ac:dyDescent="0.25">
      <c r="A220">
        <v>257166</v>
      </c>
      <c r="B220" t="s">
        <v>146</v>
      </c>
      <c r="C220">
        <v>2019</v>
      </c>
      <c r="D220">
        <v>7</v>
      </c>
      <c r="E220" t="s">
        <v>86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86</v>
      </c>
      <c r="L220" t="s">
        <v>103</v>
      </c>
      <c r="M220">
        <v>1240.59596756</v>
      </c>
      <c r="N220">
        <v>0</v>
      </c>
      <c r="O220" t="s">
        <v>80</v>
      </c>
      <c r="P220" s="35">
        <v>44269.868003854157</v>
      </c>
      <c r="Q220">
        <v>2439531</v>
      </c>
      <c r="R220" t="s">
        <v>81</v>
      </c>
      <c r="S220" s="4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84</v>
      </c>
      <c r="AD220" s="35">
        <v>43647</v>
      </c>
    </row>
    <row r="221" spans="1:30" x14ac:dyDescent="0.25">
      <c r="A221">
        <v>301116</v>
      </c>
      <c r="B221" t="s">
        <v>155</v>
      </c>
      <c r="C221">
        <v>2019</v>
      </c>
      <c r="D221">
        <v>11</v>
      </c>
      <c r="E221" t="s">
        <v>88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88</v>
      </c>
      <c r="L221" t="s">
        <v>103</v>
      </c>
      <c r="M221">
        <v>633.19527639</v>
      </c>
      <c r="N221">
        <v>0</v>
      </c>
      <c r="O221" t="s">
        <v>80</v>
      </c>
      <c r="P221" s="35">
        <v>44269.873618055557</v>
      </c>
      <c r="Q221">
        <v>2848291</v>
      </c>
      <c r="R221" t="s">
        <v>81</v>
      </c>
      <c r="S221" s="4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84</v>
      </c>
      <c r="AD221" s="35">
        <v>43770</v>
      </c>
    </row>
    <row r="222" spans="1:30" x14ac:dyDescent="0.25">
      <c r="A222">
        <v>215938</v>
      </c>
      <c r="B222" t="s">
        <v>150</v>
      </c>
      <c r="C222">
        <v>2019</v>
      </c>
      <c r="D222">
        <v>4</v>
      </c>
      <c r="E222" t="s">
        <v>86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86</v>
      </c>
      <c r="L222" t="s">
        <v>103</v>
      </c>
      <c r="M222">
        <v>1388.5089304200001</v>
      </c>
      <c r="N222">
        <v>0</v>
      </c>
      <c r="O222" t="s">
        <v>80</v>
      </c>
      <c r="P222" s="35">
        <v>44269.862959456019</v>
      </c>
      <c r="Q222">
        <v>2049632</v>
      </c>
      <c r="R222" t="s">
        <v>81</v>
      </c>
      <c r="S222" s="4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84</v>
      </c>
      <c r="AD222" s="35">
        <v>43556</v>
      </c>
    </row>
    <row r="223" spans="1:30" x14ac:dyDescent="0.25">
      <c r="A223">
        <v>257220</v>
      </c>
      <c r="B223" t="s">
        <v>146</v>
      </c>
      <c r="C223">
        <v>2019</v>
      </c>
      <c r="D223">
        <v>7</v>
      </c>
      <c r="E223" t="s">
        <v>90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90</v>
      </c>
      <c r="L223" t="s">
        <v>103</v>
      </c>
      <c r="M223">
        <v>665.56227894000006</v>
      </c>
      <c r="N223">
        <v>0</v>
      </c>
      <c r="O223" t="s">
        <v>80</v>
      </c>
      <c r="P223" s="35">
        <v>44269.868006446763</v>
      </c>
      <c r="Q223">
        <v>2439801</v>
      </c>
      <c r="R223" t="s">
        <v>81</v>
      </c>
      <c r="S223" s="4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84</v>
      </c>
      <c r="AD223" s="35">
        <v>43647</v>
      </c>
    </row>
    <row r="224" spans="1:30" x14ac:dyDescent="0.25">
      <c r="A224">
        <v>270966</v>
      </c>
      <c r="B224" t="s">
        <v>151</v>
      </c>
      <c r="C224">
        <v>2019</v>
      </c>
      <c r="D224">
        <v>8</v>
      </c>
      <c r="E224" t="s">
        <v>88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293.74292012000001</v>
      </c>
      <c r="N224">
        <v>0</v>
      </c>
      <c r="O224" t="s">
        <v>80</v>
      </c>
      <c r="P224" s="35">
        <v>44269.869631712972</v>
      </c>
      <c r="Q224">
        <v>2570058</v>
      </c>
      <c r="R224" t="s">
        <v>81</v>
      </c>
      <c r="S224" s="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84</v>
      </c>
      <c r="AD224" s="35">
        <v>43678</v>
      </c>
    </row>
    <row r="225" spans="1:30" x14ac:dyDescent="0.25">
      <c r="A225">
        <v>270993</v>
      </c>
      <c r="B225" t="s">
        <v>151</v>
      </c>
      <c r="C225">
        <v>2019</v>
      </c>
      <c r="D225">
        <v>8</v>
      </c>
      <c r="E225" t="s">
        <v>90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90</v>
      </c>
      <c r="L225" t="s">
        <v>103</v>
      </c>
      <c r="M225">
        <v>553.34695345</v>
      </c>
      <c r="N225">
        <v>0</v>
      </c>
      <c r="O225" t="s">
        <v>80</v>
      </c>
      <c r="P225" s="35">
        <v>44269.869632986112</v>
      </c>
      <c r="Q225">
        <v>2570193</v>
      </c>
      <c r="R225" t="s">
        <v>81</v>
      </c>
      <c r="S225" s="4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84</v>
      </c>
      <c r="AD225" s="35">
        <v>43678</v>
      </c>
    </row>
    <row r="226" spans="1:30" x14ac:dyDescent="0.25">
      <c r="A226">
        <v>315015</v>
      </c>
      <c r="B226" t="s">
        <v>148</v>
      </c>
      <c r="C226">
        <v>2019</v>
      </c>
      <c r="D226">
        <v>12</v>
      </c>
      <c r="E226" t="s">
        <v>88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88</v>
      </c>
      <c r="L226" t="s">
        <v>103</v>
      </c>
      <c r="M226">
        <v>1168.3792061199999</v>
      </c>
      <c r="N226">
        <v>0</v>
      </c>
      <c r="O226" t="s">
        <v>80</v>
      </c>
      <c r="P226" s="35">
        <v>44269.875251701393</v>
      </c>
      <c r="Q226">
        <v>2979502</v>
      </c>
      <c r="R226" t="s">
        <v>81</v>
      </c>
      <c r="S226" s="4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84</v>
      </c>
      <c r="AD226" s="35">
        <v>43800</v>
      </c>
    </row>
    <row r="227" spans="1:30" x14ac:dyDescent="0.25">
      <c r="A227">
        <v>287325</v>
      </c>
      <c r="B227" t="s">
        <v>156</v>
      </c>
      <c r="C227">
        <v>2019</v>
      </c>
      <c r="D227">
        <v>10</v>
      </c>
      <c r="E227" t="s">
        <v>90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90</v>
      </c>
      <c r="L227" t="s">
        <v>103</v>
      </c>
      <c r="M227">
        <v>576.31545115999995</v>
      </c>
      <c r="N227">
        <v>0</v>
      </c>
      <c r="O227" t="s">
        <v>80</v>
      </c>
      <c r="P227" s="35">
        <v>44269.87196944443</v>
      </c>
      <c r="Q227">
        <v>2717719</v>
      </c>
      <c r="R227" t="s">
        <v>81</v>
      </c>
      <c r="S227" s="4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84</v>
      </c>
      <c r="AD227" s="35">
        <v>43739</v>
      </c>
    </row>
    <row r="228" spans="1:30" x14ac:dyDescent="0.25">
      <c r="A228">
        <v>273480</v>
      </c>
      <c r="B228" t="s">
        <v>154</v>
      </c>
      <c r="C228">
        <v>2019</v>
      </c>
      <c r="D228">
        <v>9</v>
      </c>
      <c r="E228" t="s">
        <v>88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88</v>
      </c>
      <c r="L228" t="s">
        <v>103</v>
      </c>
      <c r="M228">
        <v>254.44613530000001</v>
      </c>
      <c r="N228">
        <v>0</v>
      </c>
      <c r="O228" t="s">
        <v>80</v>
      </c>
      <c r="P228" s="35">
        <v>44269.870332719911</v>
      </c>
      <c r="Q228">
        <v>2586877</v>
      </c>
      <c r="R228" t="s">
        <v>81</v>
      </c>
      <c r="S228" s="4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84</v>
      </c>
      <c r="AD228" s="35">
        <v>43709</v>
      </c>
    </row>
    <row r="229" spans="1:30" x14ac:dyDescent="0.25">
      <c r="A229">
        <v>301143</v>
      </c>
      <c r="B229" t="s">
        <v>155</v>
      </c>
      <c r="C229">
        <v>2019</v>
      </c>
      <c r="D229">
        <v>11</v>
      </c>
      <c r="E229" t="s">
        <v>90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90</v>
      </c>
      <c r="L229" t="s">
        <v>103</v>
      </c>
      <c r="M229">
        <v>555.24552490999997</v>
      </c>
      <c r="N229">
        <v>0</v>
      </c>
      <c r="O229" t="s">
        <v>80</v>
      </c>
      <c r="P229" s="35">
        <v>44269.873619479164</v>
      </c>
      <c r="Q229">
        <v>2848426</v>
      </c>
      <c r="R229" t="s">
        <v>81</v>
      </c>
      <c r="S229" s="4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84</v>
      </c>
      <c r="AD229" s="35">
        <v>43770</v>
      </c>
    </row>
    <row r="230" spans="1:30" x14ac:dyDescent="0.25">
      <c r="A230">
        <v>229657</v>
      </c>
      <c r="B230" t="s">
        <v>152</v>
      </c>
      <c r="C230">
        <v>2019</v>
      </c>
      <c r="D230">
        <v>5</v>
      </c>
      <c r="E230" t="s">
        <v>86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1362.84439969</v>
      </c>
      <c r="N230">
        <v>0</v>
      </c>
      <c r="O230" t="s">
        <v>80</v>
      </c>
      <c r="P230" s="35">
        <v>44269.864757754629</v>
      </c>
      <c r="Q230">
        <v>2179509</v>
      </c>
      <c r="R230" t="s">
        <v>81</v>
      </c>
      <c r="S230" s="4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84</v>
      </c>
      <c r="AD230" s="35">
        <v>43586</v>
      </c>
    </row>
    <row r="231" spans="1:30" x14ac:dyDescent="0.25">
      <c r="A231">
        <v>287271</v>
      </c>
      <c r="B231" t="s">
        <v>156</v>
      </c>
      <c r="C231">
        <v>2019</v>
      </c>
      <c r="D231">
        <v>10</v>
      </c>
      <c r="E231" t="s">
        <v>86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86</v>
      </c>
      <c r="L231" t="s">
        <v>103</v>
      </c>
      <c r="M231">
        <v>1469.1859072899999</v>
      </c>
      <c r="N231">
        <v>0</v>
      </c>
      <c r="O231" t="s">
        <v>80</v>
      </c>
      <c r="P231" s="35">
        <v>44269.871966747683</v>
      </c>
      <c r="Q231">
        <v>2717449</v>
      </c>
      <c r="R231" t="s">
        <v>81</v>
      </c>
      <c r="S231" s="4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84</v>
      </c>
      <c r="AD231" s="35">
        <v>43739</v>
      </c>
    </row>
    <row r="232" spans="1:30" x14ac:dyDescent="0.25">
      <c r="A232">
        <v>243465</v>
      </c>
      <c r="B232" t="s">
        <v>153</v>
      </c>
      <c r="C232">
        <v>2019</v>
      </c>
      <c r="D232">
        <v>6</v>
      </c>
      <c r="E232" t="s">
        <v>90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90</v>
      </c>
      <c r="L232" t="s">
        <v>103</v>
      </c>
      <c r="M232">
        <v>676.21524277000003</v>
      </c>
      <c r="N232">
        <v>0</v>
      </c>
      <c r="O232" t="s">
        <v>80</v>
      </c>
      <c r="P232" s="35">
        <v>44269.866386307869</v>
      </c>
      <c r="Q232">
        <v>2309773</v>
      </c>
      <c r="R232" t="s">
        <v>81</v>
      </c>
      <c r="S232" s="4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84</v>
      </c>
      <c r="AD232" s="35">
        <v>43617</v>
      </c>
    </row>
    <row r="233" spans="1:30" x14ac:dyDescent="0.25">
      <c r="A233">
        <v>287298</v>
      </c>
      <c r="B233" t="s">
        <v>156</v>
      </c>
      <c r="C233">
        <v>2019</v>
      </c>
      <c r="D233">
        <v>10</v>
      </c>
      <c r="E233" t="s">
        <v>88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88</v>
      </c>
      <c r="L233" t="s">
        <v>103</v>
      </c>
      <c r="M233">
        <v>290.75618709000003</v>
      </c>
      <c r="N233">
        <v>0</v>
      </c>
      <c r="O233" t="s">
        <v>80</v>
      </c>
      <c r="P233" s="35">
        <v>44269.871968136576</v>
      </c>
      <c r="Q233">
        <v>2717584</v>
      </c>
      <c r="R233" t="s">
        <v>81</v>
      </c>
      <c r="S233" s="4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84</v>
      </c>
      <c r="AD233" s="35">
        <v>43739</v>
      </c>
    </row>
    <row r="234" spans="1:30" x14ac:dyDescent="0.25">
      <c r="A234">
        <v>273453</v>
      </c>
      <c r="B234" t="s">
        <v>154</v>
      </c>
      <c r="C234">
        <v>2019</v>
      </c>
      <c r="D234">
        <v>9</v>
      </c>
      <c r="E234" t="s">
        <v>86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86</v>
      </c>
      <c r="L234" t="s">
        <v>103</v>
      </c>
      <c r="M234">
        <v>1168.3183385699999</v>
      </c>
      <c r="N234">
        <v>0</v>
      </c>
      <c r="O234" t="s">
        <v>80</v>
      </c>
      <c r="P234" s="35">
        <v>44269.870331331018</v>
      </c>
      <c r="Q234">
        <v>2586742</v>
      </c>
      <c r="R234" t="s">
        <v>81</v>
      </c>
      <c r="S234" s="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84</v>
      </c>
      <c r="AD234" s="35">
        <v>43709</v>
      </c>
    </row>
    <row r="235" spans="1:30" x14ac:dyDescent="0.25">
      <c r="A235">
        <v>301089</v>
      </c>
      <c r="B235" t="s">
        <v>155</v>
      </c>
      <c r="C235">
        <v>2019</v>
      </c>
      <c r="D235">
        <v>11</v>
      </c>
      <c r="E235" t="s">
        <v>86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86</v>
      </c>
      <c r="L235" t="s">
        <v>103</v>
      </c>
      <c r="M235">
        <v>1777.6837430800001</v>
      </c>
      <c r="N235">
        <v>0</v>
      </c>
      <c r="O235" t="s">
        <v>80</v>
      </c>
      <c r="P235" s="35">
        <v>44269.873616666657</v>
      </c>
      <c r="Q235">
        <v>2848156</v>
      </c>
      <c r="R235" t="s">
        <v>81</v>
      </c>
      <c r="S235" s="4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84</v>
      </c>
      <c r="AD235" s="35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2922-41E2-4F44-BBA4-8A00C6BD44D1}">
  <dimension ref="A1:P76"/>
  <sheetViews>
    <sheetView workbookViewId="0">
      <selection activeCell="M2" sqref="M2"/>
    </sheetView>
  </sheetViews>
  <sheetFormatPr baseColWidth="10" defaultColWidth="9.140625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11" bestFit="1" customWidth="1"/>
    <col min="6" max="6" width="4.28515625" bestFit="1" customWidth="1"/>
    <col min="7" max="7" width="24.7109375" bestFit="1" customWidth="1"/>
    <col min="8" max="8" width="9.28515625" bestFit="1" customWidth="1"/>
    <col min="9" max="9" width="17.85546875" bestFit="1" customWidth="1"/>
    <col min="10" max="10" width="33.140625" bestFit="1" customWidth="1"/>
    <col min="11" max="11" width="11.7109375" bestFit="1" customWidth="1"/>
    <col min="12" max="12" width="20.5703125" bestFit="1" customWidth="1"/>
    <col min="13" max="14" width="12.7109375" bestFit="1" customWidth="1"/>
    <col min="15" max="15" width="9.42578125" bestFit="1" customWidth="1"/>
    <col min="16" max="16" width="18.140625" bestFit="1" customWidth="1"/>
  </cols>
  <sheetData>
    <row r="1" spans="1:16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71</v>
      </c>
    </row>
    <row r="2" spans="1:16" x14ac:dyDescent="0.25">
      <c r="A2">
        <v>119634</v>
      </c>
      <c r="B2" t="s">
        <v>113</v>
      </c>
      <c r="C2">
        <v>2018</v>
      </c>
      <c r="D2">
        <v>9</v>
      </c>
      <c r="E2" t="s">
        <v>85</v>
      </c>
      <c r="F2" t="s">
        <v>84</v>
      </c>
      <c r="G2" t="s">
        <v>84</v>
      </c>
      <c r="H2" t="s">
        <v>459</v>
      </c>
      <c r="I2" t="s">
        <v>459</v>
      </c>
      <c r="J2" t="s">
        <v>460</v>
      </c>
      <c r="K2" t="s">
        <v>86</v>
      </c>
      <c r="L2" t="s">
        <v>461</v>
      </c>
      <c r="M2">
        <v>27224.176645889998</v>
      </c>
      <c r="N2">
        <v>51.522583750000003</v>
      </c>
      <c r="O2" t="s">
        <v>80</v>
      </c>
      <c r="P2" s="35">
        <v>43344</v>
      </c>
    </row>
    <row r="3" spans="1:16" x14ac:dyDescent="0.25">
      <c r="A3">
        <v>119658</v>
      </c>
      <c r="B3" t="s">
        <v>113</v>
      </c>
      <c r="C3">
        <v>2018</v>
      </c>
      <c r="D3">
        <v>9</v>
      </c>
      <c r="E3" t="s">
        <v>87</v>
      </c>
      <c r="F3" t="s">
        <v>84</v>
      </c>
      <c r="G3" t="s">
        <v>84</v>
      </c>
      <c r="H3" t="s">
        <v>459</v>
      </c>
      <c r="I3" t="s">
        <v>459</v>
      </c>
      <c r="J3" t="s">
        <v>460</v>
      </c>
      <c r="K3" t="s">
        <v>88</v>
      </c>
      <c r="L3" t="s">
        <v>461</v>
      </c>
      <c r="M3">
        <v>5613.5665744899998</v>
      </c>
      <c r="N3">
        <v>9.6252052199999998</v>
      </c>
      <c r="O3" t="s">
        <v>80</v>
      </c>
      <c r="P3" s="35">
        <v>43344</v>
      </c>
    </row>
    <row r="4" spans="1:16" x14ac:dyDescent="0.25">
      <c r="A4">
        <v>119682</v>
      </c>
      <c r="B4" t="s">
        <v>113</v>
      </c>
      <c r="C4">
        <v>2018</v>
      </c>
      <c r="D4">
        <v>9</v>
      </c>
      <c r="E4" t="s">
        <v>89</v>
      </c>
      <c r="F4" t="s">
        <v>84</v>
      </c>
      <c r="G4" t="s">
        <v>84</v>
      </c>
      <c r="H4" t="s">
        <v>459</v>
      </c>
      <c r="I4" t="s">
        <v>459</v>
      </c>
      <c r="J4" t="s">
        <v>460</v>
      </c>
      <c r="K4" t="s">
        <v>90</v>
      </c>
      <c r="L4" t="s">
        <v>461</v>
      </c>
      <c r="M4">
        <v>14465.020136679999</v>
      </c>
      <c r="N4">
        <v>27.462350270000002</v>
      </c>
      <c r="O4" t="s">
        <v>80</v>
      </c>
      <c r="P4" s="35">
        <v>43344</v>
      </c>
    </row>
    <row r="5" spans="1:16" x14ac:dyDescent="0.25">
      <c r="A5">
        <v>130314</v>
      </c>
      <c r="B5" t="s">
        <v>114</v>
      </c>
      <c r="C5">
        <v>2018</v>
      </c>
      <c r="D5">
        <v>10</v>
      </c>
      <c r="E5" t="s">
        <v>85</v>
      </c>
      <c r="F5" t="s">
        <v>84</v>
      </c>
      <c r="G5" t="s">
        <v>84</v>
      </c>
      <c r="H5" t="s">
        <v>459</v>
      </c>
      <c r="I5" t="s">
        <v>459</v>
      </c>
      <c r="J5" t="s">
        <v>460</v>
      </c>
      <c r="K5" t="s">
        <v>86</v>
      </c>
      <c r="L5" t="s">
        <v>461</v>
      </c>
      <c r="M5">
        <v>29626.56666366</v>
      </c>
      <c r="N5">
        <v>51.522583750000003</v>
      </c>
      <c r="O5" t="s">
        <v>80</v>
      </c>
      <c r="P5" s="35">
        <v>43374</v>
      </c>
    </row>
    <row r="6" spans="1:16" x14ac:dyDescent="0.25">
      <c r="A6">
        <v>130338</v>
      </c>
      <c r="B6" t="s">
        <v>114</v>
      </c>
      <c r="C6">
        <v>2018</v>
      </c>
      <c r="D6">
        <v>10</v>
      </c>
      <c r="E6" t="s">
        <v>87</v>
      </c>
      <c r="F6" t="s">
        <v>84</v>
      </c>
      <c r="G6" t="s">
        <v>84</v>
      </c>
      <c r="H6" t="s">
        <v>459</v>
      </c>
      <c r="I6" t="s">
        <v>459</v>
      </c>
      <c r="J6" t="s">
        <v>460</v>
      </c>
      <c r="K6" t="s">
        <v>88</v>
      </c>
      <c r="L6" t="s">
        <v>461</v>
      </c>
      <c r="M6">
        <v>6998.4780702099997</v>
      </c>
      <c r="N6">
        <v>9.6252052199999998</v>
      </c>
      <c r="O6" t="s">
        <v>80</v>
      </c>
      <c r="P6" s="35">
        <v>43374</v>
      </c>
    </row>
    <row r="7" spans="1:16" x14ac:dyDescent="0.25">
      <c r="A7">
        <v>130362</v>
      </c>
      <c r="B7" t="s">
        <v>114</v>
      </c>
      <c r="C7">
        <v>2018</v>
      </c>
      <c r="D7">
        <v>10</v>
      </c>
      <c r="E7" t="s">
        <v>89</v>
      </c>
      <c r="F7" t="s">
        <v>84</v>
      </c>
      <c r="G7" t="s">
        <v>84</v>
      </c>
      <c r="H7" t="s">
        <v>459</v>
      </c>
      <c r="I7" t="s">
        <v>459</v>
      </c>
      <c r="J7" t="s">
        <v>460</v>
      </c>
      <c r="K7" t="s">
        <v>90</v>
      </c>
      <c r="L7" t="s">
        <v>461</v>
      </c>
      <c r="M7">
        <v>15767.791623769999</v>
      </c>
      <c r="N7">
        <v>27.462350270000002</v>
      </c>
      <c r="O7" t="s">
        <v>80</v>
      </c>
      <c r="P7" s="35">
        <v>43374</v>
      </c>
    </row>
    <row r="8" spans="1:16" x14ac:dyDescent="0.25">
      <c r="A8">
        <v>144852</v>
      </c>
      <c r="B8" t="s">
        <v>115</v>
      </c>
      <c r="C8">
        <v>2018</v>
      </c>
      <c r="D8">
        <v>11</v>
      </c>
      <c r="E8" t="s">
        <v>85</v>
      </c>
      <c r="F8" t="s">
        <v>84</v>
      </c>
      <c r="G8" t="s">
        <v>84</v>
      </c>
      <c r="H8" t="s">
        <v>459</v>
      </c>
      <c r="I8" t="s">
        <v>459</v>
      </c>
      <c r="J8" t="s">
        <v>460</v>
      </c>
      <c r="K8" t="s">
        <v>86</v>
      </c>
      <c r="L8" t="s">
        <v>461</v>
      </c>
      <c r="M8">
        <v>39615.985614500001</v>
      </c>
      <c r="N8">
        <v>51.522583750000003</v>
      </c>
      <c r="O8" t="s">
        <v>80</v>
      </c>
      <c r="P8" s="35">
        <v>43405</v>
      </c>
    </row>
    <row r="9" spans="1:16" x14ac:dyDescent="0.25">
      <c r="A9">
        <v>144876</v>
      </c>
      <c r="B9" t="s">
        <v>115</v>
      </c>
      <c r="C9">
        <v>2018</v>
      </c>
      <c r="D9">
        <v>11</v>
      </c>
      <c r="E9" t="s">
        <v>87</v>
      </c>
      <c r="F9" t="s">
        <v>84</v>
      </c>
      <c r="G9" t="s">
        <v>84</v>
      </c>
      <c r="H9" t="s">
        <v>459</v>
      </c>
      <c r="I9" t="s">
        <v>459</v>
      </c>
      <c r="J9" t="s">
        <v>460</v>
      </c>
      <c r="K9" t="s">
        <v>88</v>
      </c>
      <c r="L9" t="s">
        <v>461</v>
      </c>
      <c r="M9">
        <v>10527.922924140001</v>
      </c>
      <c r="N9">
        <v>9.6252052199999998</v>
      </c>
      <c r="O9" t="s">
        <v>80</v>
      </c>
      <c r="P9" s="35">
        <v>43405</v>
      </c>
    </row>
    <row r="10" spans="1:16" x14ac:dyDescent="0.25">
      <c r="A10">
        <v>144900</v>
      </c>
      <c r="B10" t="s">
        <v>115</v>
      </c>
      <c r="C10">
        <v>2018</v>
      </c>
      <c r="D10">
        <v>11</v>
      </c>
      <c r="E10" t="s">
        <v>89</v>
      </c>
      <c r="F10" t="s">
        <v>84</v>
      </c>
      <c r="G10" t="s">
        <v>84</v>
      </c>
      <c r="H10" t="s">
        <v>459</v>
      </c>
      <c r="I10" t="s">
        <v>459</v>
      </c>
      <c r="J10" t="s">
        <v>460</v>
      </c>
      <c r="K10" t="s">
        <v>90</v>
      </c>
      <c r="L10" t="s">
        <v>461</v>
      </c>
      <c r="M10">
        <v>19179.510132899999</v>
      </c>
      <c r="N10">
        <v>27.462350270000002</v>
      </c>
      <c r="O10" t="s">
        <v>80</v>
      </c>
      <c r="P10" s="35">
        <v>43405</v>
      </c>
    </row>
    <row r="11" spans="1:16" x14ac:dyDescent="0.25">
      <c r="A11">
        <v>443805</v>
      </c>
      <c r="B11" t="s">
        <v>116</v>
      </c>
      <c r="C11">
        <v>2018</v>
      </c>
      <c r="D11">
        <v>12</v>
      </c>
      <c r="E11" t="s">
        <v>85</v>
      </c>
      <c r="F11" t="s">
        <v>84</v>
      </c>
      <c r="G11" t="s">
        <v>84</v>
      </c>
      <c r="H11" t="s">
        <v>459</v>
      </c>
      <c r="I11" t="s">
        <v>459</v>
      </c>
      <c r="J11" t="s">
        <v>460</v>
      </c>
      <c r="K11" t="s">
        <v>86</v>
      </c>
      <c r="L11" t="s">
        <v>461</v>
      </c>
      <c r="M11">
        <v>57666.361365589997</v>
      </c>
      <c r="N11">
        <v>51.522583750000003</v>
      </c>
      <c r="O11" t="s">
        <v>80</v>
      </c>
      <c r="P11" s="35">
        <v>43435</v>
      </c>
    </row>
    <row r="12" spans="1:16" x14ac:dyDescent="0.25">
      <c r="A12">
        <v>443829</v>
      </c>
      <c r="B12" t="s">
        <v>116</v>
      </c>
      <c r="C12">
        <v>2018</v>
      </c>
      <c r="D12">
        <v>12</v>
      </c>
      <c r="E12" t="s">
        <v>87</v>
      </c>
      <c r="F12" t="s">
        <v>84</v>
      </c>
      <c r="G12" t="s">
        <v>84</v>
      </c>
      <c r="H12" t="s">
        <v>459</v>
      </c>
      <c r="I12" t="s">
        <v>459</v>
      </c>
      <c r="J12" t="s">
        <v>460</v>
      </c>
      <c r="K12" t="s">
        <v>88</v>
      </c>
      <c r="L12" t="s">
        <v>461</v>
      </c>
      <c r="M12">
        <v>15413.11613581</v>
      </c>
      <c r="N12">
        <v>9.6252052199999998</v>
      </c>
      <c r="O12" t="s">
        <v>80</v>
      </c>
      <c r="P12" s="35">
        <v>43435</v>
      </c>
    </row>
    <row r="13" spans="1:16" x14ac:dyDescent="0.25">
      <c r="A13">
        <v>443853</v>
      </c>
      <c r="B13" t="s">
        <v>116</v>
      </c>
      <c r="C13">
        <v>2018</v>
      </c>
      <c r="D13">
        <v>12</v>
      </c>
      <c r="E13" t="s">
        <v>89</v>
      </c>
      <c r="F13" t="s">
        <v>84</v>
      </c>
      <c r="G13" t="s">
        <v>84</v>
      </c>
      <c r="H13" t="s">
        <v>459</v>
      </c>
      <c r="I13" t="s">
        <v>459</v>
      </c>
      <c r="J13" t="s">
        <v>460</v>
      </c>
      <c r="K13" t="s">
        <v>90</v>
      </c>
      <c r="L13" t="s">
        <v>461</v>
      </c>
      <c r="M13">
        <v>21411.598711449999</v>
      </c>
      <c r="N13">
        <v>27.462350270000002</v>
      </c>
      <c r="O13" t="s">
        <v>80</v>
      </c>
      <c r="P13" s="35">
        <v>43435</v>
      </c>
    </row>
    <row r="14" spans="1:16" x14ac:dyDescent="0.25">
      <c r="A14">
        <v>174658</v>
      </c>
      <c r="B14" t="s">
        <v>145</v>
      </c>
      <c r="C14">
        <v>2019</v>
      </c>
      <c r="D14">
        <v>1</v>
      </c>
      <c r="E14" t="s">
        <v>86</v>
      </c>
      <c r="F14" t="s">
        <v>84</v>
      </c>
      <c r="G14" t="s">
        <v>84</v>
      </c>
      <c r="H14" t="s">
        <v>459</v>
      </c>
      <c r="I14" t="s">
        <v>459</v>
      </c>
      <c r="J14" t="s">
        <v>460</v>
      </c>
      <c r="K14" t="s">
        <v>86</v>
      </c>
      <c r="L14" t="s">
        <v>461</v>
      </c>
      <c r="M14">
        <v>103534.59537652999</v>
      </c>
      <c r="N14">
        <v>107.54912615000001</v>
      </c>
      <c r="O14" t="s">
        <v>80</v>
      </c>
      <c r="P14" s="35">
        <v>43466</v>
      </c>
    </row>
    <row r="15" spans="1:16" x14ac:dyDescent="0.25">
      <c r="A15">
        <v>174685</v>
      </c>
      <c r="B15" t="s">
        <v>145</v>
      </c>
      <c r="C15">
        <v>2019</v>
      </c>
      <c r="D15">
        <v>1</v>
      </c>
      <c r="E15" t="s">
        <v>88</v>
      </c>
      <c r="F15" t="s">
        <v>84</v>
      </c>
      <c r="G15" t="s">
        <v>84</v>
      </c>
      <c r="H15" t="s">
        <v>459</v>
      </c>
      <c r="I15" t="s">
        <v>459</v>
      </c>
      <c r="J15" t="s">
        <v>460</v>
      </c>
      <c r="K15" t="s">
        <v>88</v>
      </c>
      <c r="L15" t="s">
        <v>461</v>
      </c>
      <c r="M15">
        <v>23334.791758399999</v>
      </c>
      <c r="N15">
        <v>20.091818679999999</v>
      </c>
      <c r="O15" t="s">
        <v>80</v>
      </c>
      <c r="P15" s="35">
        <v>43466</v>
      </c>
    </row>
    <row r="16" spans="1:16" x14ac:dyDescent="0.25">
      <c r="A16">
        <v>174712</v>
      </c>
      <c r="B16" t="s">
        <v>145</v>
      </c>
      <c r="C16">
        <v>2019</v>
      </c>
      <c r="D16">
        <v>1</v>
      </c>
      <c r="E16" t="s">
        <v>90</v>
      </c>
      <c r="F16" t="s">
        <v>84</v>
      </c>
      <c r="G16" t="s">
        <v>84</v>
      </c>
      <c r="H16" t="s">
        <v>459</v>
      </c>
      <c r="I16" t="s">
        <v>459</v>
      </c>
      <c r="J16" t="s">
        <v>460</v>
      </c>
      <c r="K16" t="s">
        <v>90</v>
      </c>
      <c r="L16" t="s">
        <v>461</v>
      </c>
      <c r="M16">
        <v>49558.980197409997</v>
      </c>
      <c r="N16">
        <v>57.325381579999998</v>
      </c>
      <c r="O16" t="s">
        <v>80</v>
      </c>
      <c r="P16" s="35">
        <v>43466</v>
      </c>
    </row>
    <row r="17" spans="1:16" x14ac:dyDescent="0.25">
      <c r="A17">
        <v>187249</v>
      </c>
      <c r="B17" t="s">
        <v>147</v>
      </c>
      <c r="C17">
        <v>2019</v>
      </c>
      <c r="D17">
        <v>2</v>
      </c>
      <c r="E17" t="s">
        <v>86</v>
      </c>
      <c r="F17" t="s">
        <v>84</v>
      </c>
      <c r="G17" t="s">
        <v>84</v>
      </c>
      <c r="H17" t="s">
        <v>459</v>
      </c>
      <c r="I17" t="s">
        <v>459</v>
      </c>
      <c r="J17" t="s">
        <v>460</v>
      </c>
      <c r="K17" t="s">
        <v>86</v>
      </c>
      <c r="L17" t="s">
        <v>461</v>
      </c>
      <c r="M17">
        <v>98686.580052449994</v>
      </c>
      <c r="N17">
        <v>107.54912615000001</v>
      </c>
      <c r="O17" t="s">
        <v>80</v>
      </c>
      <c r="P17" s="35">
        <v>43497</v>
      </c>
    </row>
    <row r="18" spans="1:16" x14ac:dyDescent="0.25">
      <c r="A18">
        <v>187276</v>
      </c>
      <c r="B18" t="s">
        <v>147</v>
      </c>
      <c r="C18">
        <v>2019</v>
      </c>
      <c r="D18">
        <v>2</v>
      </c>
      <c r="E18" t="s">
        <v>88</v>
      </c>
      <c r="F18" t="s">
        <v>84</v>
      </c>
      <c r="G18" t="s">
        <v>84</v>
      </c>
      <c r="H18" t="s">
        <v>459</v>
      </c>
      <c r="I18" t="s">
        <v>459</v>
      </c>
      <c r="J18" t="s">
        <v>460</v>
      </c>
      <c r="K18" t="s">
        <v>88</v>
      </c>
      <c r="L18" t="s">
        <v>461</v>
      </c>
      <c r="M18">
        <v>22732.119510500001</v>
      </c>
      <c r="N18">
        <v>20.091818679999999</v>
      </c>
      <c r="O18" t="s">
        <v>80</v>
      </c>
      <c r="P18" s="35">
        <v>43497</v>
      </c>
    </row>
    <row r="19" spans="1:16" x14ac:dyDescent="0.25">
      <c r="A19">
        <v>187303</v>
      </c>
      <c r="B19" t="s">
        <v>147</v>
      </c>
      <c r="C19">
        <v>2019</v>
      </c>
      <c r="D19">
        <v>2</v>
      </c>
      <c r="E19" t="s">
        <v>90</v>
      </c>
      <c r="F19" t="s">
        <v>84</v>
      </c>
      <c r="G19" t="s">
        <v>84</v>
      </c>
      <c r="H19" t="s">
        <v>459</v>
      </c>
      <c r="I19" t="s">
        <v>459</v>
      </c>
      <c r="J19" t="s">
        <v>460</v>
      </c>
      <c r="K19" t="s">
        <v>90</v>
      </c>
      <c r="L19" t="s">
        <v>461</v>
      </c>
      <c r="M19">
        <v>53645.541538869998</v>
      </c>
      <c r="N19">
        <v>57.325381579999998</v>
      </c>
      <c r="O19" t="s">
        <v>80</v>
      </c>
      <c r="P19" s="35">
        <v>43497</v>
      </c>
    </row>
    <row r="20" spans="1:16" x14ac:dyDescent="0.25">
      <c r="A20">
        <v>190948</v>
      </c>
      <c r="B20" t="s">
        <v>149</v>
      </c>
      <c r="C20">
        <v>2019</v>
      </c>
      <c r="D20">
        <v>3</v>
      </c>
      <c r="E20" t="s">
        <v>86</v>
      </c>
      <c r="F20" t="s">
        <v>84</v>
      </c>
      <c r="G20" t="s">
        <v>84</v>
      </c>
      <c r="H20" t="s">
        <v>459</v>
      </c>
      <c r="I20" t="s">
        <v>459</v>
      </c>
      <c r="J20" t="s">
        <v>460</v>
      </c>
      <c r="K20" t="s">
        <v>86</v>
      </c>
      <c r="L20" t="s">
        <v>461</v>
      </c>
      <c r="M20">
        <v>98636.104795480001</v>
      </c>
      <c r="N20">
        <v>107.54912615000001</v>
      </c>
      <c r="O20" t="s">
        <v>80</v>
      </c>
      <c r="P20" s="35">
        <v>43525</v>
      </c>
    </row>
    <row r="21" spans="1:16" x14ac:dyDescent="0.25">
      <c r="A21">
        <v>190975</v>
      </c>
      <c r="B21" t="s">
        <v>149</v>
      </c>
      <c r="C21">
        <v>2019</v>
      </c>
      <c r="D21">
        <v>3</v>
      </c>
      <c r="E21" t="s">
        <v>88</v>
      </c>
      <c r="F21" t="s">
        <v>84</v>
      </c>
      <c r="G21" t="s">
        <v>84</v>
      </c>
      <c r="H21" t="s">
        <v>459</v>
      </c>
      <c r="I21" t="s">
        <v>459</v>
      </c>
      <c r="J21" t="s">
        <v>460</v>
      </c>
      <c r="K21" t="s">
        <v>88</v>
      </c>
      <c r="L21" t="s">
        <v>461</v>
      </c>
      <c r="M21">
        <v>25791.112772920002</v>
      </c>
      <c r="N21">
        <v>20.091818679999999</v>
      </c>
      <c r="O21" t="s">
        <v>80</v>
      </c>
      <c r="P21" s="35">
        <v>43525</v>
      </c>
    </row>
    <row r="22" spans="1:16" x14ac:dyDescent="0.25">
      <c r="A22">
        <v>191002</v>
      </c>
      <c r="B22" t="s">
        <v>149</v>
      </c>
      <c r="C22">
        <v>2019</v>
      </c>
      <c r="D22">
        <v>3</v>
      </c>
      <c r="E22" t="s">
        <v>90</v>
      </c>
      <c r="F22" t="s">
        <v>84</v>
      </c>
      <c r="G22" t="s">
        <v>84</v>
      </c>
      <c r="H22" t="s">
        <v>459</v>
      </c>
      <c r="I22" t="s">
        <v>459</v>
      </c>
      <c r="J22" t="s">
        <v>460</v>
      </c>
      <c r="K22" t="s">
        <v>90</v>
      </c>
      <c r="L22" t="s">
        <v>461</v>
      </c>
      <c r="M22">
        <v>47516.258659120002</v>
      </c>
      <c r="N22">
        <v>57.325381579999998</v>
      </c>
      <c r="O22" t="s">
        <v>80</v>
      </c>
      <c r="P22" s="35">
        <v>43525</v>
      </c>
    </row>
    <row r="23" spans="1:16" x14ac:dyDescent="0.25">
      <c r="A23">
        <v>215958</v>
      </c>
      <c r="B23" t="s">
        <v>150</v>
      </c>
      <c r="C23">
        <v>2019</v>
      </c>
      <c r="D23">
        <v>4</v>
      </c>
      <c r="E23" t="s">
        <v>86</v>
      </c>
      <c r="F23" t="s">
        <v>84</v>
      </c>
      <c r="G23" t="s">
        <v>84</v>
      </c>
      <c r="H23" t="s">
        <v>459</v>
      </c>
      <c r="I23" t="s">
        <v>459</v>
      </c>
      <c r="J23" t="s">
        <v>460</v>
      </c>
      <c r="K23" t="s">
        <v>86</v>
      </c>
      <c r="L23" t="s">
        <v>461</v>
      </c>
      <c r="M23">
        <v>67932.100133700005</v>
      </c>
      <c r="N23">
        <v>98.804883279999999</v>
      </c>
      <c r="O23" t="s">
        <v>80</v>
      </c>
      <c r="P23" s="35">
        <v>43556</v>
      </c>
    </row>
    <row r="24" spans="1:16" x14ac:dyDescent="0.25">
      <c r="A24">
        <v>215985</v>
      </c>
      <c r="B24" t="s">
        <v>150</v>
      </c>
      <c r="C24">
        <v>2019</v>
      </c>
      <c r="D24">
        <v>4</v>
      </c>
      <c r="E24" t="s">
        <v>88</v>
      </c>
      <c r="F24" t="s">
        <v>84</v>
      </c>
      <c r="G24" t="s">
        <v>84</v>
      </c>
      <c r="H24" t="s">
        <v>459</v>
      </c>
      <c r="I24" t="s">
        <v>459</v>
      </c>
      <c r="J24" t="s">
        <v>460</v>
      </c>
      <c r="K24" t="s">
        <v>88</v>
      </c>
      <c r="L24" t="s">
        <v>461</v>
      </c>
      <c r="M24">
        <v>13290.723738320001</v>
      </c>
      <c r="N24">
        <v>18.458260620000001</v>
      </c>
      <c r="O24" t="s">
        <v>80</v>
      </c>
      <c r="P24" s="35">
        <v>43556</v>
      </c>
    </row>
    <row r="25" spans="1:16" x14ac:dyDescent="0.25">
      <c r="A25">
        <v>216012</v>
      </c>
      <c r="B25" t="s">
        <v>150</v>
      </c>
      <c r="C25">
        <v>2019</v>
      </c>
      <c r="D25">
        <v>4</v>
      </c>
      <c r="E25" t="s">
        <v>90</v>
      </c>
      <c r="F25" t="s">
        <v>84</v>
      </c>
      <c r="G25" t="s">
        <v>84</v>
      </c>
      <c r="H25" t="s">
        <v>459</v>
      </c>
      <c r="I25" t="s">
        <v>459</v>
      </c>
      <c r="J25" t="s">
        <v>460</v>
      </c>
      <c r="K25" t="s">
        <v>90</v>
      </c>
      <c r="L25" t="s">
        <v>461</v>
      </c>
      <c r="M25">
        <v>35082.89205296</v>
      </c>
      <c r="N25">
        <v>52.66456213</v>
      </c>
      <c r="O25" t="s">
        <v>80</v>
      </c>
      <c r="P25" s="35">
        <v>43556</v>
      </c>
    </row>
    <row r="26" spans="1:16" x14ac:dyDescent="0.25">
      <c r="A26">
        <v>229677</v>
      </c>
      <c r="B26" t="s">
        <v>152</v>
      </c>
      <c r="C26">
        <v>2019</v>
      </c>
      <c r="D26">
        <v>5</v>
      </c>
      <c r="E26" t="s">
        <v>86</v>
      </c>
      <c r="F26" t="s">
        <v>84</v>
      </c>
      <c r="G26" t="s">
        <v>84</v>
      </c>
      <c r="H26" t="s">
        <v>459</v>
      </c>
      <c r="I26" t="s">
        <v>459</v>
      </c>
      <c r="J26" t="s">
        <v>460</v>
      </c>
      <c r="K26" t="s">
        <v>86</v>
      </c>
      <c r="L26" t="s">
        <v>461</v>
      </c>
      <c r="M26">
        <v>64027.87721721</v>
      </c>
      <c r="N26">
        <v>98.804883279999999</v>
      </c>
      <c r="O26" t="s">
        <v>80</v>
      </c>
      <c r="P26" s="35">
        <v>43586</v>
      </c>
    </row>
    <row r="27" spans="1:16" x14ac:dyDescent="0.25">
      <c r="A27">
        <v>229704</v>
      </c>
      <c r="B27" t="s">
        <v>152</v>
      </c>
      <c r="C27">
        <v>2019</v>
      </c>
      <c r="D27">
        <v>5</v>
      </c>
      <c r="E27" t="s">
        <v>88</v>
      </c>
      <c r="F27" t="s">
        <v>84</v>
      </c>
      <c r="G27" t="s">
        <v>84</v>
      </c>
      <c r="H27" t="s">
        <v>459</v>
      </c>
      <c r="I27" t="s">
        <v>459</v>
      </c>
      <c r="J27" t="s">
        <v>460</v>
      </c>
      <c r="K27" t="s">
        <v>88</v>
      </c>
      <c r="L27" t="s">
        <v>461</v>
      </c>
      <c r="M27">
        <v>12557.370471779999</v>
      </c>
      <c r="N27">
        <v>18.458260620000001</v>
      </c>
      <c r="O27" t="s">
        <v>80</v>
      </c>
      <c r="P27" s="35">
        <v>43586</v>
      </c>
    </row>
    <row r="28" spans="1:16" x14ac:dyDescent="0.25">
      <c r="A28">
        <v>229731</v>
      </c>
      <c r="B28" t="s">
        <v>152</v>
      </c>
      <c r="C28">
        <v>2019</v>
      </c>
      <c r="D28">
        <v>5</v>
      </c>
      <c r="E28" t="s">
        <v>90</v>
      </c>
      <c r="F28" t="s">
        <v>84</v>
      </c>
      <c r="G28" t="s">
        <v>84</v>
      </c>
      <c r="H28" t="s">
        <v>459</v>
      </c>
      <c r="I28" t="s">
        <v>459</v>
      </c>
      <c r="J28" t="s">
        <v>460</v>
      </c>
      <c r="K28" t="s">
        <v>90</v>
      </c>
      <c r="L28" t="s">
        <v>461</v>
      </c>
      <c r="M28">
        <v>33207.505982349998</v>
      </c>
      <c r="N28">
        <v>52.66456213</v>
      </c>
      <c r="O28" t="s">
        <v>80</v>
      </c>
      <c r="P28" s="35">
        <v>43586</v>
      </c>
    </row>
    <row r="29" spans="1:16" x14ac:dyDescent="0.25">
      <c r="A29">
        <v>243431</v>
      </c>
      <c r="B29" t="s">
        <v>153</v>
      </c>
      <c r="C29">
        <v>2019</v>
      </c>
      <c r="D29">
        <v>6</v>
      </c>
      <c r="E29" t="s">
        <v>86</v>
      </c>
      <c r="F29" t="s">
        <v>84</v>
      </c>
      <c r="G29" t="s">
        <v>84</v>
      </c>
      <c r="H29" t="s">
        <v>459</v>
      </c>
      <c r="I29" t="s">
        <v>459</v>
      </c>
      <c r="J29" t="s">
        <v>460</v>
      </c>
      <c r="K29" t="s">
        <v>86</v>
      </c>
      <c r="L29" t="s">
        <v>461</v>
      </c>
      <c r="M29">
        <v>61179.520241810002</v>
      </c>
      <c r="N29">
        <v>100.06408318</v>
      </c>
      <c r="O29" t="s">
        <v>80</v>
      </c>
      <c r="P29" s="35">
        <v>43617</v>
      </c>
    </row>
    <row r="30" spans="1:16" x14ac:dyDescent="0.25">
      <c r="A30">
        <v>243458</v>
      </c>
      <c r="B30" t="s">
        <v>153</v>
      </c>
      <c r="C30">
        <v>2019</v>
      </c>
      <c r="D30">
        <v>6</v>
      </c>
      <c r="E30" t="s">
        <v>88</v>
      </c>
      <c r="F30" t="s">
        <v>84</v>
      </c>
      <c r="G30" t="s">
        <v>84</v>
      </c>
      <c r="H30" t="s">
        <v>459</v>
      </c>
      <c r="I30" t="s">
        <v>459</v>
      </c>
      <c r="J30" t="s">
        <v>460</v>
      </c>
      <c r="K30" t="s">
        <v>88</v>
      </c>
      <c r="L30" t="s">
        <v>461</v>
      </c>
      <c r="M30">
        <v>10740.51770706</v>
      </c>
      <c r="N30">
        <v>18.434652209999999</v>
      </c>
      <c r="O30" t="s">
        <v>80</v>
      </c>
      <c r="P30" s="35">
        <v>43617</v>
      </c>
    </row>
    <row r="31" spans="1:16" x14ac:dyDescent="0.25">
      <c r="A31">
        <v>243485</v>
      </c>
      <c r="B31" t="s">
        <v>153</v>
      </c>
      <c r="C31">
        <v>2019</v>
      </c>
      <c r="D31">
        <v>6</v>
      </c>
      <c r="E31" t="s">
        <v>90</v>
      </c>
      <c r="F31" t="s">
        <v>84</v>
      </c>
      <c r="G31" t="s">
        <v>84</v>
      </c>
      <c r="H31" t="s">
        <v>459</v>
      </c>
      <c r="I31" t="s">
        <v>459</v>
      </c>
      <c r="J31" t="s">
        <v>460</v>
      </c>
      <c r="K31" t="s">
        <v>90</v>
      </c>
      <c r="L31" t="s">
        <v>461</v>
      </c>
      <c r="M31">
        <v>30286.249959249999</v>
      </c>
      <c r="N31">
        <v>51.505042930000002</v>
      </c>
      <c r="O31" t="s">
        <v>80</v>
      </c>
      <c r="P31" s="35">
        <v>43617</v>
      </c>
    </row>
    <row r="32" spans="1:16" x14ac:dyDescent="0.25">
      <c r="A32">
        <v>257186</v>
      </c>
      <c r="B32" t="s">
        <v>146</v>
      </c>
      <c r="C32">
        <v>2019</v>
      </c>
      <c r="D32">
        <v>7</v>
      </c>
      <c r="E32" t="s">
        <v>86</v>
      </c>
      <c r="F32" t="s">
        <v>84</v>
      </c>
      <c r="G32" t="s">
        <v>84</v>
      </c>
      <c r="H32" t="s">
        <v>459</v>
      </c>
      <c r="I32" t="s">
        <v>459</v>
      </c>
      <c r="J32" t="s">
        <v>460</v>
      </c>
      <c r="K32" t="s">
        <v>86</v>
      </c>
      <c r="L32" t="s">
        <v>461</v>
      </c>
      <c r="M32">
        <v>60348.383093620003</v>
      </c>
      <c r="N32">
        <v>102.37480984</v>
      </c>
      <c r="O32" t="s">
        <v>80</v>
      </c>
      <c r="P32" s="35">
        <v>43647</v>
      </c>
    </row>
    <row r="33" spans="1:16" x14ac:dyDescent="0.25">
      <c r="A33">
        <v>257213</v>
      </c>
      <c r="B33" t="s">
        <v>146</v>
      </c>
      <c r="C33">
        <v>2019</v>
      </c>
      <c r="D33">
        <v>7</v>
      </c>
      <c r="E33" t="s">
        <v>88</v>
      </c>
      <c r="F33" t="s">
        <v>84</v>
      </c>
      <c r="G33" t="s">
        <v>84</v>
      </c>
      <c r="H33" t="s">
        <v>459</v>
      </c>
      <c r="I33" t="s">
        <v>459</v>
      </c>
      <c r="J33" t="s">
        <v>460</v>
      </c>
      <c r="K33" t="s">
        <v>88</v>
      </c>
      <c r="L33" t="s">
        <v>461</v>
      </c>
      <c r="M33">
        <v>10998.60200375</v>
      </c>
      <c r="N33">
        <v>18.189783330000001</v>
      </c>
      <c r="O33" t="s">
        <v>80</v>
      </c>
      <c r="P33" s="35">
        <v>43647</v>
      </c>
    </row>
    <row r="34" spans="1:16" x14ac:dyDescent="0.25">
      <c r="A34">
        <v>257240</v>
      </c>
      <c r="B34" t="s">
        <v>146</v>
      </c>
      <c r="C34">
        <v>2019</v>
      </c>
      <c r="D34">
        <v>7</v>
      </c>
      <c r="E34" t="s">
        <v>90</v>
      </c>
      <c r="F34" t="s">
        <v>84</v>
      </c>
      <c r="G34" t="s">
        <v>84</v>
      </c>
      <c r="H34" t="s">
        <v>459</v>
      </c>
      <c r="I34" t="s">
        <v>459</v>
      </c>
      <c r="J34" t="s">
        <v>460</v>
      </c>
      <c r="K34" t="s">
        <v>90</v>
      </c>
      <c r="L34" t="s">
        <v>461</v>
      </c>
      <c r="M34">
        <v>31094.190987999998</v>
      </c>
      <c r="N34">
        <v>50.898307969999998</v>
      </c>
      <c r="O34" t="s">
        <v>80</v>
      </c>
      <c r="P34" s="35">
        <v>43647</v>
      </c>
    </row>
    <row r="35" spans="1:16" x14ac:dyDescent="0.25">
      <c r="A35">
        <v>270959</v>
      </c>
      <c r="B35" t="s">
        <v>151</v>
      </c>
      <c r="C35">
        <v>2019</v>
      </c>
      <c r="D35">
        <v>8</v>
      </c>
      <c r="E35" t="s">
        <v>86</v>
      </c>
      <c r="F35" t="s">
        <v>84</v>
      </c>
      <c r="G35" t="s">
        <v>84</v>
      </c>
      <c r="H35" t="s">
        <v>459</v>
      </c>
      <c r="I35" t="s">
        <v>459</v>
      </c>
      <c r="J35" t="s">
        <v>460</v>
      </c>
      <c r="K35" t="s">
        <v>86</v>
      </c>
      <c r="L35" t="s">
        <v>461</v>
      </c>
      <c r="M35">
        <v>56621.531731319999</v>
      </c>
      <c r="N35">
        <v>102.01462434</v>
      </c>
      <c r="O35" t="s">
        <v>80</v>
      </c>
      <c r="P35" s="35">
        <v>43678</v>
      </c>
    </row>
    <row r="36" spans="1:16" x14ac:dyDescent="0.25">
      <c r="A36">
        <v>270986</v>
      </c>
      <c r="B36" t="s">
        <v>151</v>
      </c>
      <c r="C36">
        <v>2019</v>
      </c>
      <c r="D36">
        <v>8</v>
      </c>
      <c r="E36" t="s">
        <v>88</v>
      </c>
      <c r="F36" t="s">
        <v>84</v>
      </c>
      <c r="G36" t="s">
        <v>84</v>
      </c>
      <c r="H36" t="s">
        <v>459</v>
      </c>
      <c r="I36" t="s">
        <v>459</v>
      </c>
      <c r="J36" t="s">
        <v>460</v>
      </c>
      <c r="K36" t="s">
        <v>88</v>
      </c>
      <c r="L36" t="s">
        <v>461</v>
      </c>
      <c r="M36">
        <v>12894.014597769999</v>
      </c>
      <c r="N36">
        <v>18.18518941</v>
      </c>
      <c r="O36" t="s">
        <v>80</v>
      </c>
      <c r="P36" s="35">
        <v>43678</v>
      </c>
    </row>
    <row r="37" spans="1:16" x14ac:dyDescent="0.25">
      <c r="A37">
        <v>271013</v>
      </c>
      <c r="B37" t="s">
        <v>151</v>
      </c>
      <c r="C37">
        <v>2019</v>
      </c>
      <c r="D37">
        <v>8</v>
      </c>
      <c r="E37" t="s">
        <v>90</v>
      </c>
      <c r="F37" t="s">
        <v>84</v>
      </c>
      <c r="G37" t="s">
        <v>84</v>
      </c>
      <c r="H37" t="s">
        <v>459</v>
      </c>
      <c r="I37" t="s">
        <v>459</v>
      </c>
      <c r="J37" t="s">
        <v>460</v>
      </c>
      <c r="K37" t="s">
        <v>90</v>
      </c>
      <c r="L37" t="s">
        <v>461</v>
      </c>
      <c r="M37">
        <v>26323.778664019999</v>
      </c>
      <c r="N37">
        <v>50.641208519999999</v>
      </c>
      <c r="O37" t="s">
        <v>80</v>
      </c>
      <c r="P37" s="35">
        <v>43678</v>
      </c>
    </row>
    <row r="38" spans="1:16" x14ac:dyDescent="0.25">
      <c r="A38">
        <v>273473</v>
      </c>
      <c r="B38" t="s">
        <v>154</v>
      </c>
      <c r="C38">
        <v>2019</v>
      </c>
      <c r="D38">
        <v>9</v>
      </c>
      <c r="E38" t="s">
        <v>86</v>
      </c>
      <c r="F38" t="s">
        <v>84</v>
      </c>
      <c r="G38" t="s">
        <v>84</v>
      </c>
      <c r="H38" t="s">
        <v>459</v>
      </c>
      <c r="I38" t="s">
        <v>459</v>
      </c>
      <c r="J38" t="s">
        <v>460</v>
      </c>
      <c r="K38" t="s">
        <v>86</v>
      </c>
      <c r="L38" t="s">
        <v>461</v>
      </c>
      <c r="M38">
        <v>55917.132920149998</v>
      </c>
      <c r="N38">
        <v>102.0248759</v>
      </c>
      <c r="O38" t="s">
        <v>80</v>
      </c>
      <c r="P38" s="35">
        <v>43709</v>
      </c>
    </row>
    <row r="39" spans="1:16" x14ac:dyDescent="0.25">
      <c r="A39">
        <v>273500</v>
      </c>
      <c r="B39" t="s">
        <v>154</v>
      </c>
      <c r="C39">
        <v>2019</v>
      </c>
      <c r="D39">
        <v>9</v>
      </c>
      <c r="E39" t="s">
        <v>88</v>
      </c>
      <c r="F39" t="s">
        <v>84</v>
      </c>
      <c r="G39" t="s">
        <v>84</v>
      </c>
      <c r="H39" t="s">
        <v>459</v>
      </c>
      <c r="I39" t="s">
        <v>459</v>
      </c>
      <c r="J39" t="s">
        <v>460</v>
      </c>
      <c r="K39" t="s">
        <v>88</v>
      </c>
      <c r="L39" t="s">
        <v>461</v>
      </c>
      <c r="M39">
        <v>12581.659932570001</v>
      </c>
      <c r="N39">
        <v>18.30598672</v>
      </c>
      <c r="O39" t="s">
        <v>80</v>
      </c>
      <c r="P39" s="35">
        <v>43709</v>
      </c>
    </row>
    <row r="40" spans="1:16" x14ac:dyDescent="0.25">
      <c r="A40">
        <v>273527</v>
      </c>
      <c r="B40" t="s">
        <v>154</v>
      </c>
      <c r="C40">
        <v>2019</v>
      </c>
      <c r="D40">
        <v>9</v>
      </c>
      <c r="E40" t="s">
        <v>90</v>
      </c>
      <c r="F40" t="s">
        <v>84</v>
      </c>
      <c r="G40" t="s">
        <v>84</v>
      </c>
      <c r="H40" t="s">
        <v>459</v>
      </c>
      <c r="I40" t="s">
        <v>459</v>
      </c>
      <c r="J40" t="s">
        <v>460</v>
      </c>
      <c r="K40" t="s">
        <v>90</v>
      </c>
      <c r="L40" t="s">
        <v>461</v>
      </c>
      <c r="M40">
        <v>24385.745024930002</v>
      </c>
      <c r="N40">
        <v>50.699762329999999</v>
      </c>
      <c r="O40" t="s">
        <v>80</v>
      </c>
      <c r="P40" s="35">
        <v>43709</v>
      </c>
    </row>
    <row r="41" spans="1:16" x14ac:dyDescent="0.25">
      <c r="A41">
        <v>287291</v>
      </c>
      <c r="B41" t="s">
        <v>156</v>
      </c>
      <c r="C41">
        <v>2019</v>
      </c>
      <c r="D41">
        <v>10</v>
      </c>
      <c r="E41" t="s">
        <v>86</v>
      </c>
      <c r="F41" t="s">
        <v>84</v>
      </c>
      <c r="G41" t="s">
        <v>84</v>
      </c>
      <c r="H41" t="s">
        <v>459</v>
      </c>
      <c r="I41" t="s">
        <v>459</v>
      </c>
      <c r="J41" t="s">
        <v>460</v>
      </c>
      <c r="K41" t="s">
        <v>86</v>
      </c>
      <c r="L41" t="s">
        <v>461</v>
      </c>
      <c r="M41">
        <v>74563.974968590002</v>
      </c>
      <c r="N41">
        <v>102.0248759</v>
      </c>
      <c r="O41" t="s">
        <v>80</v>
      </c>
      <c r="P41" s="35">
        <v>43739</v>
      </c>
    </row>
    <row r="42" spans="1:16" x14ac:dyDescent="0.25">
      <c r="A42">
        <v>287318</v>
      </c>
      <c r="B42" t="s">
        <v>156</v>
      </c>
      <c r="C42">
        <v>2019</v>
      </c>
      <c r="D42">
        <v>10</v>
      </c>
      <c r="E42" t="s">
        <v>88</v>
      </c>
      <c r="F42" t="s">
        <v>84</v>
      </c>
      <c r="G42" t="s">
        <v>84</v>
      </c>
      <c r="H42" t="s">
        <v>459</v>
      </c>
      <c r="I42" t="s">
        <v>459</v>
      </c>
      <c r="J42" t="s">
        <v>460</v>
      </c>
      <c r="K42" t="s">
        <v>88</v>
      </c>
      <c r="L42" t="s">
        <v>461</v>
      </c>
      <c r="M42">
        <v>16835.32408129</v>
      </c>
      <c r="N42">
        <v>18.30598672</v>
      </c>
      <c r="O42" t="s">
        <v>80</v>
      </c>
      <c r="P42" s="35">
        <v>43739</v>
      </c>
    </row>
    <row r="43" spans="1:16" x14ac:dyDescent="0.25">
      <c r="A43">
        <v>287345</v>
      </c>
      <c r="B43" t="s">
        <v>156</v>
      </c>
      <c r="C43">
        <v>2019</v>
      </c>
      <c r="D43">
        <v>10</v>
      </c>
      <c r="E43" t="s">
        <v>90</v>
      </c>
      <c r="F43" t="s">
        <v>84</v>
      </c>
      <c r="G43" t="s">
        <v>84</v>
      </c>
      <c r="H43" t="s">
        <v>459</v>
      </c>
      <c r="I43" t="s">
        <v>459</v>
      </c>
      <c r="J43" t="s">
        <v>460</v>
      </c>
      <c r="K43" t="s">
        <v>90</v>
      </c>
      <c r="L43" t="s">
        <v>461</v>
      </c>
      <c r="M43">
        <v>27881.574692850001</v>
      </c>
      <c r="N43">
        <v>50.699762329999999</v>
      </c>
      <c r="O43" t="s">
        <v>80</v>
      </c>
      <c r="P43" s="35">
        <v>43739</v>
      </c>
    </row>
    <row r="44" spans="1:16" x14ac:dyDescent="0.25">
      <c r="A44">
        <v>301109</v>
      </c>
      <c r="B44" t="s">
        <v>155</v>
      </c>
      <c r="C44">
        <v>2019</v>
      </c>
      <c r="D44">
        <v>11</v>
      </c>
      <c r="E44" t="s">
        <v>86</v>
      </c>
      <c r="F44" t="s">
        <v>84</v>
      </c>
      <c r="G44" t="s">
        <v>84</v>
      </c>
      <c r="H44" t="s">
        <v>459</v>
      </c>
      <c r="I44" t="s">
        <v>459</v>
      </c>
      <c r="J44" t="s">
        <v>460</v>
      </c>
      <c r="K44" t="s">
        <v>86</v>
      </c>
      <c r="L44" t="s">
        <v>461</v>
      </c>
      <c r="M44">
        <v>88451.444413930003</v>
      </c>
      <c r="N44">
        <v>102.0248759</v>
      </c>
      <c r="O44" t="s">
        <v>80</v>
      </c>
      <c r="P44" s="35">
        <v>43770</v>
      </c>
    </row>
    <row r="45" spans="1:16" x14ac:dyDescent="0.25">
      <c r="A45">
        <v>301136</v>
      </c>
      <c r="B45" t="s">
        <v>155</v>
      </c>
      <c r="C45">
        <v>2019</v>
      </c>
      <c r="D45">
        <v>11</v>
      </c>
      <c r="E45" t="s">
        <v>88</v>
      </c>
      <c r="F45" t="s">
        <v>84</v>
      </c>
      <c r="G45" t="s">
        <v>84</v>
      </c>
      <c r="H45" t="s">
        <v>459</v>
      </c>
      <c r="I45" t="s">
        <v>459</v>
      </c>
      <c r="J45" t="s">
        <v>460</v>
      </c>
      <c r="K45" t="s">
        <v>88</v>
      </c>
      <c r="L45" t="s">
        <v>461</v>
      </c>
      <c r="M45">
        <v>33990.291473340003</v>
      </c>
      <c r="N45">
        <v>18.30598672</v>
      </c>
      <c r="O45" t="s">
        <v>80</v>
      </c>
      <c r="P45" s="35">
        <v>43770</v>
      </c>
    </row>
    <row r="46" spans="1:16" x14ac:dyDescent="0.25">
      <c r="A46">
        <v>301163</v>
      </c>
      <c r="B46" t="s">
        <v>155</v>
      </c>
      <c r="C46">
        <v>2019</v>
      </c>
      <c r="D46">
        <v>11</v>
      </c>
      <c r="E46" t="s">
        <v>90</v>
      </c>
      <c r="F46" t="s">
        <v>84</v>
      </c>
      <c r="G46" t="s">
        <v>84</v>
      </c>
      <c r="H46" t="s">
        <v>459</v>
      </c>
      <c r="I46" t="s">
        <v>459</v>
      </c>
      <c r="J46" t="s">
        <v>460</v>
      </c>
      <c r="K46" t="s">
        <v>90</v>
      </c>
      <c r="L46" t="s">
        <v>461</v>
      </c>
      <c r="M46">
        <v>25107.165245249998</v>
      </c>
      <c r="N46">
        <v>50.699762329999999</v>
      </c>
      <c r="O46" t="s">
        <v>80</v>
      </c>
      <c r="P46" s="35">
        <v>43770</v>
      </c>
    </row>
    <row r="47" spans="1:16" x14ac:dyDescent="0.25">
      <c r="A47">
        <v>315008</v>
      </c>
      <c r="B47" t="s">
        <v>148</v>
      </c>
      <c r="C47">
        <v>2019</v>
      </c>
      <c r="D47">
        <v>12</v>
      </c>
      <c r="E47" t="s">
        <v>86</v>
      </c>
      <c r="F47" t="s">
        <v>84</v>
      </c>
      <c r="G47" t="s">
        <v>84</v>
      </c>
      <c r="H47" t="s">
        <v>459</v>
      </c>
      <c r="I47" t="s">
        <v>459</v>
      </c>
      <c r="J47" t="s">
        <v>460</v>
      </c>
      <c r="K47" t="s">
        <v>86</v>
      </c>
      <c r="L47" t="s">
        <v>461</v>
      </c>
      <c r="M47">
        <v>103686.23677361</v>
      </c>
      <c r="N47">
        <v>102.0248759</v>
      </c>
      <c r="O47" t="s">
        <v>80</v>
      </c>
      <c r="P47" s="35">
        <v>43800</v>
      </c>
    </row>
    <row r="48" spans="1:16" x14ac:dyDescent="0.25">
      <c r="A48">
        <v>315035</v>
      </c>
      <c r="B48" t="s">
        <v>148</v>
      </c>
      <c r="C48">
        <v>2019</v>
      </c>
      <c r="D48">
        <v>12</v>
      </c>
      <c r="E48" t="s">
        <v>88</v>
      </c>
      <c r="F48" t="s">
        <v>84</v>
      </c>
      <c r="G48" t="s">
        <v>84</v>
      </c>
      <c r="H48" t="s">
        <v>459</v>
      </c>
      <c r="I48" t="s">
        <v>459</v>
      </c>
      <c r="J48" t="s">
        <v>460</v>
      </c>
      <c r="K48" t="s">
        <v>88</v>
      </c>
      <c r="L48" t="s">
        <v>461</v>
      </c>
      <c r="M48">
        <v>56705.396090839997</v>
      </c>
      <c r="N48">
        <v>18.30598672</v>
      </c>
      <c r="O48" t="s">
        <v>80</v>
      </c>
      <c r="P48" s="35">
        <v>43800</v>
      </c>
    </row>
    <row r="49" spans="1:16" x14ac:dyDescent="0.25">
      <c r="A49">
        <v>315062</v>
      </c>
      <c r="B49" t="s">
        <v>148</v>
      </c>
      <c r="C49">
        <v>2019</v>
      </c>
      <c r="D49">
        <v>12</v>
      </c>
      <c r="E49" t="s">
        <v>90</v>
      </c>
      <c r="F49" t="s">
        <v>84</v>
      </c>
      <c r="G49" t="s">
        <v>84</v>
      </c>
      <c r="H49" t="s">
        <v>459</v>
      </c>
      <c r="I49" t="s">
        <v>459</v>
      </c>
      <c r="J49" t="s">
        <v>460</v>
      </c>
      <c r="K49" t="s">
        <v>90</v>
      </c>
      <c r="L49" t="s">
        <v>461</v>
      </c>
      <c r="M49">
        <v>21761.79993487</v>
      </c>
      <c r="N49">
        <v>50.699762329999999</v>
      </c>
      <c r="O49" t="s">
        <v>80</v>
      </c>
      <c r="P49" s="35">
        <v>43800</v>
      </c>
    </row>
    <row r="50" spans="1:16" x14ac:dyDescent="0.25">
      <c r="A50">
        <v>354549</v>
      </c>
      <c r="B50" t="s">
        <v>197</v>
      </c>
      <c r="C50">
        <v>2020</v>
      </c>
      <c r="D50">
        <v>1</v>
      </c>
      <c r="E50" t="s">
        <v>86</v>
      </c>
      <c r="F50" t="s">
        <v>84</v>
      </c>
      <c r="G50" t="s">
        <v>84</v>
      </c>
      <c r="H50" t="s">
        <v>459</v>
      </c>
      <c r="I50" t="s">
        <v>459</v>
      </c>
      <c r="J50" t="s">
        <v>460</v>
      </c>
      <c r="K50" t="s">
        <v>86</v>
      </c>
      <c r="L50" t="s">
        <v>461</v>
      </c>
      <c r="M50">
        <v>222763.12424253</v>
      </c>
      <c r="N50">
        <v>224.02779045</v>
      </c>
      <c r="O50" t="s">
        <v>80</v>
      </c>
      <c r="P50" s="35">
        <v>43831</v>
      </c>
    </row>
    <row r="51" spans="1:16" x14ac:dyDescent="0.25">
      <c r="A51">
        <v>354573</v>
      </c>
      <c r="B51" t="s">
        <v>197</v>
      </c>
      <c r="C51">
        <v>2020</v>
      </c>
      <c r="D51">
        <v>1</v>
      </c>
      <c r="E51" t="s">
        <v>88</v>
      </c>
      <c r="F51" t="s">
        <v>84</v>
      </c>
      <c r="G51" t="s">
        <v>84</v>
      </c>
      <c r="H51" t="s">
        <v>459</v>
      </c>
      <c r="I51" t="s">
        <v>459</v>
      </c>
      <c r="J51" t="s">
        <v>460</v>
      </c>
      <c r="K51" t="s">
        <v>88</v>
      </c>
      <c r="L51" t="s">
        <v>461</v>
      </c>
      <c r="M51">
        <v>92560.100185649993</v>
      </c>
      <c r="N51">
        <v>40.19656698</v>
      </c>
      <c r="O51" t="s">
        <v>80</v>
      </c>
      <c r="P51" s="35">
        <v>43831</v>
      </c>
    </row>
    <row r="52" spans="1:16" x14ac:dyDescent="0.25">
      <c r="A52">
        <v>354597</v>
      </c>
      <c r="B52" t="s">
        <v>197</v>
      </c>
      <c r="C52">
        <v>2020</v>
      </c>
      <c r="D52">
        <v>1</v>
      </c>
      <c r="E52" t="s">
        <v>90</v>
      </c>
      <c r="F52" t="s">
        <v>84</v>
      </c>
      <c r="G52" t="s">
        <v>84</v>
      </c>
      <c r="H52" t="s">
        <v>459</v>
      </c>
      <c r="I52" t="s">
        <v>459</v>
      </c>
      <c r="J52" t="s">
        <v>460</v>
      </c>
      <c r="K52" t="s">
        <v>90</v>
      </c>
      <c r="L52" t="s">
        <v>461</v>
      </c>
      <c r="M52">
        <v>73958.041351439999</v>
      </c>
      <c r="N52">
        <v>111.32731729</v>
      </c>
      <c r="O52" t="s">
        <v>80</v>
      </c>
      <c r="P52" s="35">
        <v>43831</v>
      </c>
    </row>
    <row r="53" spans="1:16" x14ac:dyDescent="0.25">
      <c r="A53">
        <v>367697</v>
      </c>
      <c r="B53" t="s">
        <v>201</v>
      </c>
      <c r="C53">
        <v>2020</v>
      </c>
      <c r="D53">
        <v>2</v>
      </c>
      <c r="E53" t="s">
        <v>86</v>
      </c>
      <c r="F53" t="s">
        <v>84</v>
      </c>
      <c r="G53" t="s">
        <v>84</v>
      </c>
      <c r="H53" t="s">
        <v>459</v>
      </c>
      <c r="I53" t="s">
        <v>459</v>
      </c>
      <c r="J53" t="s">
        <v>460</v>
      </c>
      <c r="K53" t="s">
        <v>86</v>
      </c>
      <c r="L53" t="s">
        <v>461</v>
      </c>
      <c r="M53">
        <v>222386.20529981001</v>
      </c>
      <c r="N53">
        <v>224.02779045</v>
      </c>
      <c r="O53" t="s">
        <v>80</v>
      </c>
      <c r="P53" s="35">
        <v>43862</v>
      </c>
    </row>
    <row r="54" spans="1:16" x14ac:dyDescent="0.25">
      <c r="A54">
        <v>367721</v>
      </c>
      <c r="B54" t="s">
        <v>201</v>
      </c>
      <c r="C54">
        <v>2020</v>
      </c>
      <c r="D54">
        <v>2</v>
      </c>
      <c r="E54" t="s">
        <v>88</v>
      </c>
      <c r="F54" t="s">
        <v>84</v>
      </c>
      <c r="G54" t="s">
        <v>84</v>
      </c>
      <c r="H54" t="s">
        <v>459</v>
      </c>
      <c r="I54" t="s">
        <v>459</v>
      </c>
      <c r="J54" t="s">
        <v>460</v>
      </c>
      <c r="K54" t="s">
        <v>88</v>
      </c>
      <c r="L54" t="s">
        <v>461</v>
      </c>
      <c r="M54">
        <v>89643.41402127</v>
      </c>
      <c r="N54">
        <v>40.19656698</v>
      </c>
      <c r="O54" t="s">
        <v>80</v>
      </c>
      <c r="P54" s="35">
        <v>43862</v>
      </c>
    </row>
    <row r="55" spans="1:16" x14ac:dyDescent="0.25">
      <c r="A55">
        <v>367745</v>
      </c>
      <c r="B55" t="s">
        <v>201</v>
      </c>
      <c r="C55">
        <v>2020</v>
      </c>
      <c r="D55">
        <v>2</v>
      </c>
      <c r="E55" t="s">
        <v>90</v>
      </c>
      <c r="F55" t="s">
        <v>84</v>
      </c>
      <c r="G55" t="s">
        <v>84</v>
      </c>
      <c r="H55" t="s">
        <v>459</v>
      </c>
      <c r="I55" t="s">
        <v>459</v>
      </c>
      <c r="J55" t="s">
        <v>460</v>
      </c>
      <c r="K55" t="s">
        <v>90</v>
      </c>
      <c r="L55" t="s">
        <v>461</v>
      </c>
      <c r="M55">
        <v>69942.223999669994</v>
      </c>
      <c r="N55">
        <v>111.32731729</v>
      </c>
      <c r="O55" t="s">
        <v>80</v>
      </c>
      <c r="P55" s="35">
        <v>43862</v>
      </c>
    </row>
    <row r="56" spans="1:16" x14ac:dyDescent="0.25">
      <c r="A56">
        <v>380870</v>
      </c>
      <c r="B56" t="s">
        <v>205</v>
      </c>
      <c r="C56">
        <v>2020</v>
      </c>
      <c r="D56">
        <v>3</v>
      </c>
      <c r="E56" t="s">
        <v>86</v>
      </c>
      <c r="F56" t="s">
        <v>84</v>
      </c>
      <c r="G56" t="s">
        <v>84</v>
      </c>
      <c r="H56" t="s">
        <v>459</v>
      </c>
      <c r="I56" t="s">
        <v>459</v>
      </c>
      <c r="J56" t="s">
        <v>460</v>
      </c>
      <c r="K56" t="s">
        <v>86</v>
      </c>
      <c r="L56" t="s">
        <v>461</v>
      </c>
      <c r="M56">
        <v>220576.30874022</v>
      </c>
      <c r="N56">
        <v>224.02779045</v>
      </c>
      <c r="O56" t="s">
        <v>80</v>
      </c>
      <c r="P56" s="35">
        <v>43891</v>
      </c>
    </row>
    <row r="57" spans="1:16" x14ac:dyDescent="0.25">
      <c r="A57">
        <v>380894</v>
      </c>
      <c r="B57" t="s">
        <v>205</v>
      </c>
      <c r="C57">
        <v>2020</v>
      </c>
      <c r="D57">
        <v>3</v>
      </c>
      <c r="E57" t="s">
        <v>88</v>
      </c>
      <c r="F57" t="s">
        <v>84</v>
      </c>
      <c r="G57" t="s">
        <v>84</v>
      </c>
      <c r="H57" t="s">
        <v>459</v>
      </c>
      <c r="I57" t="s">
        <v>459</v>
      </c>
      <c r="J57" t="s">
        <v>460</v>
      </c>
      <c r="K57" t="s">
        <v>88</v>
      </c>
      <c r="L57" t="s">
        <v>461</v>
      </c>
      <c r="M57">
        <v>91331.188231730004</v>
      </c>
      <c r="N57">
        <v>40.19656698</v>
      </c>
      <c r="O57" t="s">
        <v>80</v>
      </c>
      <c r="P57" s="35">
        <v>43891</v>
      </c>
    </row>
    <row r="58" spans="1:16" x14ac:dyDescent="0.25">
      <c r="A58">
        <v>380918</v>
      </c>
      <c r="B58" t="s">
        <v>205</v>
      </c>
      <c r="C58">
        <v>2020</v>
      </c>
      <c r="D58">
        <v>3</v>
      </c>
      <c r="E58" t="s">
        <v>90</v>
      </c>
      <c r="F58" t="s">
        <v>84</v>
      </c>
      <c r="G58" t="s">
        <v>84</v>
      </c>
      <c r="H58" t="s">
        <v>459</v>
      </c>
      <c r="I58" t="s">
        <v>459</v>
      </c>
      <c r="J58" t="s">
        <v>460</v>
      </c>
      <c r="K58" t="s">
        <v>90</v>
      </c>
      <c r="L58" t="s">
        <v>461</v>
      </c>
      <c r="M58">
        <v>66107.171902419999</v>
      </c>
      <c r="N58">
        <v>111.32731729</v>
      </c>
      <c r="O58" t="s">
        <v>80</v>
      </c>
      <c r="P58" s="35">
        <v>43891</v>
      </c>
    </row>
    <row r="59" spans="1:16" x14ac:dyDescent="0.25">
      <c r="A59">
        <v>394043</v>
      </c>
      <c r="B59" t="s">
        <v>209</v>
      </c>
      <c r="C59">
        <v>2020</v>
      </c>
      <c r="D59">
        <v>4</v>
      </c>
      <c r="E59" t="s">
        <v>86</v>
      </c>
      <c r="F59" t="s">
        <v>84</v>
      </c>
      <c r="G59" t="s">
        <v>84</v>
      </c>
      <c r="H59" t="s">
        <v>459</v>
      </c>
      <c r="I59" t="s">
        <v>459</v>
      </c>
      <c r="J59" t="s">
        <v>460</v>
      </c>
      <c r="K59" t="s">
        <v>86</v>
      </c>
      <c r="L59" t="s">
        <v>461</v>
      </c>
      <c r="M59">
        <v>170106.80295392999</v>
      </c>
      <c r="N59">
        <v>224.02779045</v>
      </c>
      <c r="O59" t="s">
        <v>80</v>
      </c>
      <c r="P59" s="35">
        <v>43922</v>
      </c>
    </row>
    <row r="60" spans="1:16" x14ac:dyDescent="0.25">
      <c r="A60">
        <v>394067</v>
      </c>
      <c r="B60" t="s">
        <v>209</v>
      </c>
      <c r="C60">
        <v>2020</v>
      </c>
      <c r="D60">
        <v>4</v>
      </c>
      <c r="E60" t="s">
        <v>88</v>
      </c>
      <c r="F60" t="s">
        <v>84</v>
      </c>
      <c r="G60" t="s">
        <v>84</v>
      </c>
      <c r="H60" t="s">
        <v>459</v>
      </c>
      <c r="I60" t="s">
        <v>459</v>
      </c>
      <c r="J60" t="s">
        <v>460</v>
      </c>
      <c r="K60" t="s">
        <v>88</v>
      </c>
      <c r="L60" t="s">
        <v>461</v>
      </c>
      <c r="M60">
        <v>39365.723511329998</v>
      </c>
      <c r="N60">
        <v>40.19656698</v>
      </c>
      <c r="O60" t="s">
        <v>80</v>
      </c>
      <c r="P60" s="35">
        <v>43922</v>
      </c>
    </row>
    <row r="61" spans="1:16" x14ac:dyDescent="0.25">
      <c r="A61">
        <v>394091</v>
      </c>
      <c r="B61" t="s">
        <v>209</v>
      </c>
      <c r="C61">
        <v>2020</v>
      </c>
      <c r="D61">
        <v>4</v>
      </c>
      <c r="E61" t="s">
        <v>90</v>
      </c>
      <c r="F61" t="s">
        <v>84</v>
      </c>
      <c r="G61" t="s">
        <v>84</v>
      </c>
      <c r="H61" t="s">
        <v>459</v>
      </c>
      <c r="I61" t="s">
        <v>459</v>
      </c>
      <c r="J61" t="s">
        <v>460</v>
      </c>
      <c r="K61" t="s">
        <v>90</v>
      </c>
      <c r="L61" t="s">
        <v>461</v>
      </c>
      <c r="M61">
        <v>73614.148326320006</v>
      </c>
      <c r="N61">
        <v>111.32731729</v>
      </c>
      <c r="O61" t="s">
        <v>80</v>
      </c>
      <c r="P61" s="35">
        <v>43922</v>
      </c>
    </row>
    <row r="62" spans="1:16" x14ac:dyDescent="0.25">
      <c r="A62">
        <v>407283</v>
      </c>
      <c r="B62" t="s">
        <v>216</v>
      </c>
      <c r="C62">
        <v>2020</v>
      </c>
      <c r="D62">
        <v>5</v>
      </c>
      <c r="E62" t="s">
        <v>86</v>
      </c>
      <c r="F62" t="s">
        <v>84</v>
      </c>
      <c r="G62" t="s">
        <v>84</v>
      </c>
      <c r="H62" t="s">
        <v>459</v>
      </c>
      <c r="I62" t="s">
        <v>459</v>
      </c>
      <c r="J62" t="s">
        <v>460</v>
      </c>
      <c r="K62" t="s">
        <v>86</v>
      </c>
      <c r="L62" t="s">
        <v>461</v>
      </c>
      <c r="M62">
        <v>159972.77117347001</v>
      </c>
      <c r="N62">
        <v>224.02779045</v>
      </c>
      <c r="O62" t="s">
        <v>80</v>
      </c>
      <c r="P62" s="35">
        <v>43952</v>
      </c>
    </row>
    <row r="63" spans="1:16" x14ac:dyDescent="0.25">
      <c r="A63">
        <v>407307</v>
      </c>
      <c r="B63" t="s">
        <v>216</v>
      </c>
      <c r="C63">
        <v>2020</v>
      </c>
      <c r="D63">
        <v>5</v>
      </c>
      <c r="E63" t="s">
        <v>88</v>
      </c>
      <c r="F63" t="s">
        <v>84</v>
      </c>
      <c r="G63" t="s">
        <v>84</v>
      </c>
      <c r="H63" t="s">
        <v>459</v>
      </c>
      <c r="I63" t="s">
        <v>459</v>
      </c>
      <c r="J63" t="s">
        <v>460</v>
      </c>
      <c r="K63" t="s">
        <v>88</v>
      </c>
      <c r="L63" t="s">
        <v>461</v>
      </c>
      <c r="M63">
        <v>31371.37663363</v>
      </c>
      <c r="N63">
        <v>40.19656698</v>
      </c>
      <c r="O63" t="s">
        <v>80</v>
      </c>
      <c r="P63" s="35">
        <v>43952</v>
      </c>
    </row>
    <row r="64" spans="1:16" x14ac:dyDescent="0.25">
      <c r="A64">
        <v>407331</v>
      </c>
      <c r="B64" t="s">
        <v>216</v>
      </c>
      <c r="C64">
        <v>2020</v>
      </c>
      <c r="D64">
        <v>5</v>
      </c>
      <c r="E64" t="s">
        <v>90</v>
      </c>
      <c r="F64" t="s">
        <v>84</v>
      </c>
      <c r="G64" t="s">
        <v>84</v>
      </c>
      <c r="H64" t="s">
        <v>459</v>
      </c>
      <c r="I64" t="s">
        <v>459</v>
      </c>
      <c r="J64" t="s">
        <v>460</v>
      </c>
      <c r="K64" t="s">
        <v>90</v>
      </c>
      <c r="L64" t="s">
        <v>461</v>
      </c>
      <c r="M64">
        <v>72358.436828620004</v>
      </c>
      <c r="N64">
        <v>111.32731729</v>
      </c>
      <c r="O64" t="s">
        <v>80</v>
      </c>
      <c r="P64" s="35">
        <v>43952</v>
      </c>
    </row>
    <row r="65" spans="1:16" x14ac:dyDescent="0.25">
      <c r="A65">
        <v>420523</v>
      </c>
      <c r="B65" t="s">
        <v>223</v>
      </c>
      <c r="C65">
        <v>2020</v>
      </c>
      <c r="D65">
        <v>6</v>
      </c>
      <c r="E65" t="s">
        <v>86</v>
      </c>
      <c r="F65" t="s">
        <v>84</v>
      </c>
      <c r="G65" t="s">
        <v>84</v>
      </c>
      <c r="H65" t="s">
        <v>459</v>
      </c>
      <c r="I65" t="s">
        <v>459</v>
      </c>
      <c r="J65" t="s">
        <v>460</v>
      </c>
      <c r="K65" t="s">
        <v>86</v>
      </c>
      <c r="L65" t="s">
        <v>461</v>
      </c>
      <c r="M65">
        <v>132467.70361915001</v>
      </c>
      <c r="N65">
        <v>229.87452334</v>
      </c>
      <c r="O65" t="s">
        <v>80</v>
      </c>
      <c r="P65" s="35">
        <v>43983</v>
      </c>
    </row>
    <row r="66" spans="1:16" x14ac:dyDescent="0.25">
      <c r="A66">
        <v>420547</v>
      </c>
      <c r="B66" t="s">
        <v>223</v>
      </c>
      <c r="C66">
        <v>2020</v>
      </c>
      <c r="D66">
        <v>6</v>
      </c>
      <c r="E66" t="s">
        <v>88</v>
      </c>
      <c r="F66" t="s">
        <v>84</v>
      </c>
      <c r="G66" t="s">
        <v>84</v>
      </c>
      <c r="H66" t="s">
        <v>459</v>
      </c>
      <c r="I66" t="s">
        <v>459</v>
      </c>
      <c r="J66" t="s">
        <v>460</v>
      </c>
      <c r="K66" t="s">
        <v>88</v>
      </c>
      <c r="L66" t="s">
        <v>461</v>
      </c>
      <c r="M66">
        <v>25098.94212842</v>
      </c>
      <c r="N66">
        <v>42.525682279999998</v>
      </c>
      <c r="O66" t="s">
        <v>80</v>
      </c>
      <c r="P66" s="35">
        <v>43983</v>
      </c>
    </row>
    <row r="67" spans="1:16" x14ac:dyDescent="0.25">
      <c r="A67">
        <v>420571</v>
      </c>
      <c r="B67" t="s">
        <v>223</v>
      </c>
      <c r="C67">
        <v>2020</v>
      </c>
      <c r="D67">
        <v>6</v>
      </c>
      <c r="E67" t="s">
        <v>90</v>
      </c>
      <c r="F67" t="s">
        <v>84</v>
      </c>
      <c r="G67" t="s">
        <v>84</v>
      </c>
      <c r="H67" t="s">
        <v>459</v>
      </c>
      <c r="I67" t="s">
        <v>459</v>
      </c>
      <c r="J67" t="s">
        <v>460</v>
      </c>
      <c r="K67" t="s">
        <v>90</v>
      </c>
      <c r="L67" t="s">
        <v>461</v>
      </c>
      <c r="M67">
        <v>76348.670547700007</v>
      </c>
      <c r="N67">
        <v>123.00605686999999</v>
      </c>
      <c r="O67" t="s">
        <v>80</v>
      </c>
      <c r="P67" s="35">
        <v>43983</v>
      </c>
    </row>
    <row r="68" spans="1:16" x14ac:dyDescent="0.25">
      <c r="B68" t="s">
        <v>230</v>
      </c>
      <c r="C68">
        <v>2020</v>
      </c>
      <c r="D68">
        <v>7</v>
      </c>
      <c r="E68" t="s">
        <v>86</v>
      </c>
      <c r="F68" t="s">
        <v>84</v>
      </c>
      <c r="G68" t="s">
        <v>84</v>
      </c>
      <c r="H68" t="s">
        <v>462</v>
      </c>
      <c r="I68" t="s">
        <v>462</v>
      </c>
      <c r="J68" t="s">
        <v>460</v>
      </c>
      <c r="K68" t="s">
        <v>86</v>
      </c>
      <c r="M68">
        <v>134616.75030643601</v>
      </c>
      <c r="N68">
        <v>235.84529414944001</v>
      </c>
      <c r="O68" t="s">
        <v>463</v>
      </c>
      <c r="P68" s="35">
        <v>44013</v>
      </c>
    </row>
    <row r="69" spans="1:16" x14ac:dyDescent="0.25">
      <c r="B69" t="s">
        <v>230</v>
      </c>
      <c r="C69">
        <v>2020</v>
      </c>
      <c r="D69">
        <v>7</v>
      </c>
      <c r="E69" t="s">
        <v>88</v>
      </c>
      <c r="F69" t="s">
        <v>84</v>
      </c>
      <c r="G69" t="s">
        <v>84</v>
      </c>
      <c r="H69" t="s">
        <v>462</v>
      </c>
      <c r="I69" t="s">
        <v>462</v>
      </c>
      <c r="J69" t="s">
        <v>460</v>
      </c>
      <c r="K69" t="s">
        <v>88</v>
      </c>
      <c r="M69">
        <v>24482.556023038698</v>
      </c>
      <c r="N69">
        <v>43.256993871219997</v>
      </c>
      <c r="O69" t="s">
        <v>463</v>
      </c>
      <c r="P69" s="35">
        <v>44013</v>
      </c>
    </row>
    <row r="70" spans="1:16" x14ac:dyDescent="0.25">
      <c r="B70" t="s">
        <v>230</v>
      </c>
      <c r="C70">
        <v>2020</v>
      </c>
      <c r="D70">
        <v>7</v>
      </c>
      <c r="E70" t="s">
        <v>90</v>
      </c>
      <c r="F70" t="s">
        <v>84</v>
      </c>
      <c r="G70" t="s">
        <v>84</v>
      </c>
      <c r="H70" t="s">
        <v>462</v>
      </c>
      <c r="I70" t="s">
        <v>462</v>
      </c>
      <c r="J70" t="s">
        <v>460</v>
      </c>
      <c r="K70" t="s">
        <v>90</v>
      </c>
      <c r="M70">
        <v>76038.688590998601</v>
      </c>
      <c r="N70">
        <v>127.54037384471</v>
      </c>
      <c r="O70" t="s">
        <v>463</v>
      </c>
      <c r="P70" s="35">
        <v>44013</v>
      </c>
    </row>
    <row r="71" spans="1:16" x14ac:dyDescent="0.25">
      <c r="B71" t="s">
        <v>237</v>
      </c>
      <c r="C71">
        <v>2020</v>
      </c>
      <c r="D71">
        <v>8</v>
      </c>
      <c r="E71" t="s">
        <v>86</v>
      </c>
      <c r="F71" t="s">
        <v>84</v>
      </c>
      <c r="G71" t="s">
        <v>84</v>
      </c>
      <c r="H71" t="s">
        <v>462</v>
      </c>
      <c r="I71" t="s">
        <v>462</v>
      </c>
      <c r="J71" t="s">
        <v>460</v>
      </c>
      <c r="K71" t="s">
        <v>86</v>
      </c>
      <c r="M71">
        <v>130950.933009762</v>
      </c>
      <c r="N71">
        <v>235.84529414944001</v>
      </c>
      <c r="O71" t="s">
        <v>463</v>
      </c>
      <c r="P71" s="35">
        <v>44044</v>
      </c>
    </row>
    <row r="72" spans="1:16" x14ac:dyDescent="0.25">
      <c r="B72" t="s">
        <v>237</v>
      </c>
      <c r="C72">
        <v>2020</v>
      </c>
      <c r="D72">
        <v>8</v>
      </c>
      <c r="E72" t="s">
        <v>88</v>
      </c>
      <c r="F72" t="s">
        <v>84</v>
      </c>
      <c r="G72" t="s">
        <v>84</v>
      </c>
      <c r="H72" t="s">
        <v>462</v>
      </c>
      <c r="I72" t="s">
        <v>462</v>
      </c>
      <c r="J72" t="s">
        <v>460</v>
      </c>
      <c r="K72" t="s">
        <v>88</v>
      </c>
      <c r="M72">
        <v>25647.221839634301</v>
      </c>
      <c r="N72">
        <v>43.256993871219997</v>
      </c>
      <c r="O72" t="s">
        <v>463</v>
      </c>
      <c r="P72" s="35">
        <v>44044</v>
      </c>
    </row>
    <row r="73" spans="1:16" x14ac:dyDescent="0.25">
      <c r="B73" t="s">
        <v>237</v>
      </c>
      <c r="C73">
        <v>2020</v>
      </c>
      <c r="D73">
        <v>8</v>
      </c>
      <c r="E73" t="s">
        <v>90</v>
      </c>
      <c r="F73" t="s">
        <v>84</v>
      </c>
      <c r="G73" t="s">
        <v>84</v>
      </c>
      <c r="H73" t="s">
        <v>462</v>
      </c>
      <c r="I73" t="s">
        <v>462</v>
      </c>
      <c r="J73" t="s">
        <v>460</v>
      </c>
      <c r="K73" t="s">
        <v>90</v>
      </c>
      <c r="M73">
        <v>66513.523039181193</v>
      </c>
      <c r="N73">
        <v>127.54037384471</v>
      </c>
      <c r="O73" t="s">
        <v>463</v>
      </c>
      <c r="P73" s="35">
        <v>44044</v>
      </c>
    </row>
    <row r="74" spans="1:16" x14ac:dyDescent="0.25">
      <c r="B74" t="s">
        <v>244</v>
      </c>
      <c r="C74">
        <v>2020</v>
      </c>
      <c r="D74">
        <v>9</v>
      </c>
      <c r="E74" t="s">
        <v>86</v>
      </c>
      <c r="F74" t="s">
        <v>84</v>
      </c>
      <c r="G74" t="s">
        <v>84</v>
      </c>
      <c r="H74" t="s">
        <v>462</v>
      </c>
      <c r="I74" t="s">
        <v>462</v>
      </c>
      <c r="J74" t="s">
        <v>460</v>
      </c>
      <c r="K74" t="s">
        <v>86</v>
      </c>
      <c r="M74">
        <v>120318.86912442801</v>
      </c>
      <c r="N74">
        <v>235.84529414944001</v>
      </c>
      <c r="O74" t="s">
        <v>463</v>
      </c>
      <c r="P74" s="35">
        <v>44075</v>
      </c>
    </row>
    <row r="75" spans="1:16" x14ac:dyDescent="0.25">
      <c r="B75" t="s">
        <v>244</v>
      </c>
      <c r="C75">
        <v>2020</v>
      </c>
      <c r="D75">
        <v>9</v>
      </c>
      <c r="E75" t="s">
        <v>88</v>
      </c>
      <c r="F75" t="s">
        <v>84</v>
      </c>
      <c r="G75" t="s">
        <v>84</v>
      </c>
      <c r="H75" t="s">
        <v>462</v>
      </c>
      <c r="I75" t="s">
        <v>462</v>
      </c>
      <c r="J75" t="s">
        <v>460</v>
      </c>
      <c r="K75" t="s">
        <v>88</v>
      </c>
      <c r="M75">
        <v>24032.6698252075</v>
      </c>
      <c r="N75">
        <v>43.256993871219997</v>
      </c>
      <c r="O75" t="s">
        <v>463</v>
      </c>
      <c r="P75" s="35">
        <v>44075</v>
      </c>
    </row>
    <row r="76" spans="1:16" x14ac:dyDescent="0.25">
      <c r="B76" t="s">
        <v>244</v>
      </c>
      <c r="C76">
        <v>2020</v>
      </c>
      <c r="D76">
        <v>9</v>
      </c>
      <c r="E76" t="s">
        <v>90</v>
      </c>
      <c r="F76" t="s">
        <v>84</v>
      </c>
      <c r="G76" t="s">
        <v>84</v>
      </c>
      <c r="H76" t="s">
        <v>462</v>
      </c>
      <c r="I76" t="s">
        <v>462</v>
      </c>
      <c r="J76" t="s">
        <v>460</v>
      </c>
      <c r="K76" t="s">
        <v>90</v>
      </c>
      <c r="M76">
        <v>66177.009161260998</v>
      </c>
      <c r="N76">
        <v>127.54037384471</v>
      </c>
      <c r="O76" t="s">
        <v>463</v>
      </c>
      <c r="P76" s="35">
        <v>44075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51A3-00FD-4993-A7EB-0E9954DEF5A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92F5-F80D-4F97-8A27-46A445BAE365}">
  <dimension ref="A1:BK1639"/>
  <sheetViews>
    <sheetView workbookViewId="0">
      <selection activeCell="A9" sqref="A9"/>
    </sheetView>
  </sheetViews>
  <sheetFormatPr baseColWidth="10" defaultColWidth="9.140625" defaultRowHeight="15" x14ac:dyDescent="0.25"/>
  <cols>
    <col min="1" max="1" width="7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18.140625" bestFit="1" customWidth="1"/>
    <col min="6" max="6" width="11.5703125" bestFit="1" customWidth="1"/>
    <col min="7" max="7" width="6.140625" bestFit="1" customWidth="1"/>
    <col min="8" max="8" width="12.5703125" bestFit="1" customWidth="1"/>
    <col min="9" max="9" width="16.85546875" bestFit="1" customWidth="1"/>
    <col min="10" max="10" width="11.7109375" bestFit="1" customWidth="1"/>
    <col min="11" max="11" width="13" bestFit="1" customWidth="1"/>
    <col min="12" max="12" width="13.85546875" bestFit="1" customWidth="1"/>
    <col min="13" max="13" width="12.42578125" bestFit="1" customWidth="1"/>
    <col min="14" max="14" width="15.85546875" bestFit="1" customWidth="1"/>
    <col min="15" max="15" width="12" bestFit="1" customWidth="1"/>
    <col min="16" max="16" width="7.28515625" bestFit="1" customWidth="1"/>
    <col min="17" max="17" width="11.28515625" bestFit="1" customWidth="1"/>
    <col min="18" max="18" width="9.85546875" bestFit="1" customWidth="1"/>
    <col min="19" max="19" width="18.5703125" bestFit="1" customWidth="1"/>
    <col min="20" max="20" width="14.7109375" bestFit="1" customWidth="1"/>
    <col min="21" max="21" width="16.5703125" bestFit="1" customWidth="1"/>
    <col min="22" max="22" width="32.7109375" bestFit="1" customWidth="1"/>
    <col min="23" max="23" width="16.42578125" bestFit="1" customWidth="1"/>
    <col min="24" max="24" width="13.140625" bestFit="1" customWidth="1"/>
    <col min="25" max="25" width="8.140625" bestFit="1" customWidth="1"/>
    <col min="26" max="26" width="38" bestFit="1" customWidth="1"/>
    <col min="27" max="27" width="21.28515625" bestFit="1" customWidth="1"/>
    <col min="28" max="28" width="23.42578125" bestFit="1" customWidth="1"/>
    <col min="29" max="29" width="23.7109375" bestFit="1" customWidth="1"/>
    <col min="30" max="30" width="7.85546875" bestFit="1" customWidth="1"/>
    <col min="31" max="31" width="33.28515625" bestFit="1" customWidth="1"/>
    <col min="32" max="32" width="13" bestFit="1" customWidth="1"/>
    <col min="33" max="33" width="34" bestFit="1" customWidth="1"/>
    <col min="34" max="34" width="18.85546875" bestFit="1" customWidth="1"/>
    <col min="35" max="35" width="21.28515625" bestFit="1" customWidth="1"/>
    <col min="36" max="36" width="45" bestFit="1" customWidth="1"/>
    <col min="37" max="37" width="12" bestFit="1" customWidth="1"/>
    <col min="38" max="38" width="33.140625" bestFit="1" customWidth="1"/>
    <col min="39" max="39" width="29.5703125" bestFit="1" customWidth="1"/>
    <col min="40" max="40" width="38.140625" bestFit="1" customWidth="1"/>
    <col min="41" max="41" width="22.42578125" bestFit="1" customWidth="1"/>
    <col min="42" max="42" width="50" bestFit="1" customWidth="1"/>
    <col min="43" max="43" width="13.140625" bestFit="1" customWidth="1"/>
    <col min="44" max="44" width="38.140625" bestFit="1" customWidth="1"/>
    <col min="45" max="45" width="47.7109375" bestFit="1" customWidth="1"/>
    <col min="46" max="46" width="26.42578125" bestFit="1" customWidth="1"/>
    <col min="47" max="47" width="23.28515625" bestFit="1" customWidth="1"/>
    <col min="48" max="48" width="23.5703125" bestFit="1" customWidth="1"/>
    <col min="49" max="49" width="7.7109375" bestFit="1" customWidth="1"/>
    <col min="50" max="50" width="32.140625" bestFit="1" customWidth="1"/>
    <col min="51" max="51" width="12.85546875" bestFit="1" customWidth="1"/>
    <col min="52" max="52" width="33.85546875" bestFit="1" customWidth="1"/>
    <col min="53" max="53" width="24" bestFit="1" customWidth="1"/>
    <col min="54" max="54" width="21" bestFit="1" customWidth="1"/>
    <col min="55" max="55" width="44.85546875" bestFit="1" customWidth="1"/>
    <col min="56" max="56" width="11.85546875" bestFit="1" customWidth="1"/>
    <col min="57" max="57" width="33" bestFit="1" customWidth="1"/>
    <col min="58" max="58" width="29.42578125" bestFit="1" customWidth="1"/>
    <col min="59" max="59" width="22.28515625" bestFit="1" customWidth="1"/>
    <col min="60" max="60" width="49.85546875" bestFit="1" customWidth="1"/>
    <col min="61" max="61" width="13" bestFit="1" customWidth="1"/>
    <col min="62" max="62" width="38" bestFit="1" customWidth="1"/>
    <col min="63" max="63" width="47.5703125" bestFit="1" customWidth="1"/>
  </cols>
  <sheetData>
    <row r="1" spans="1:63" x14ac:dyDescent="0.25">
      <c r="A1" s="34" t="s">
        <v>31</v>
      </c>
      <c r="B1" s="34" t="s">
        <v>1</v>
      </c>
      <c r="C1" s="34" t="s">
        <v>2</v>
      </c>
      <c r="D1" s="34" t="s">
        <v>3</v>
      </c>
      <c r="E1" s="34" t="s">
        <v>43</v>
      </c>
      <c r="F1" s="34" t="s">
        <v>359</v>
      </c>
      <c r="G1" s="34" t="s">
        <v>360</v>
      </c>
      <c r="H1" s="34" t="s">
        <v>361</v>
      </c>
      <c r="I1" s="34" t="s">
        <v>362</v>
      </c>
      <c r="J1" s="34" t="s">
        <v>10</v>
      </c>
      <c r="K1" s="34" t="s">
        <v>363</v>
      </c>
      <c r="L1" s="34" t="s">
        <v>364</v>
      </c>
      <c r="M1" s="34" t="s">
        <v>365</v>
      </c>
      <c r="N1" s="34" t="s">
        <v>366</v>
      </c>
      <c r="O1" s="34" t="s">
        <v>367</v>
      </c>
      <c r="P1" s="34" t="s">
        <v>42</v>
      </c>
      <c r="Q1" s="34" t="s">
        <v>368</v>
      </c>
      <c r="R1" s="34" t="s">
        <v>369</v>
      </c>
      <c r="S1" s="34" t="s">
        <v>370</v>
      </c>
      <c r="T1" s="34" t="s">
        <v>371</v>
      </c>
      <c r="U1" s="34" t="s">
        <v>372</v>
      </c>
      <c r="V1" s="34" t="s">
        <v>373</v>
      </c>
      <c r="W1" s="34" t="s">
        <v>374</v>
      </c>
      <c r="X1" s="34" t="s">
        <v>375</v>
      </c>
      <c r="Y1" s="34" t="s">
        <v>376</v>
      </c>
      <c r="Z1" s="34" t="s">
        <v>377</v>
      </c>
      <c r="AA1" s="34" t="s">
        <v>378</v>
      </c>
      <c r="AB1" s="34" t="s">
        <v>379</v>
      </c>
      <c r="AC1" s="34" t="s">
        <v>380</v>
      </c>
      <c r="AD1" s="34" t="s">
        <v>381</v>
      </c>
      <c r="AE1" s="34" t="s">
        <v>382</v>
      </c>
      <c r="AF1" s="34" t="s">
        <v>383</v>
      </c>
      <c r="AG1" s="34" t="s">
        <v>384</v>
      </c>
      <c r="AH1" s="34" t="s">
        <v>385</v>
      </c>
      <c r="AI1" s="34" t="s">
        <v>386</v>
      </c>
      <c r="AJ1" s="34" t="s">
        <v>387</v>
      </c>
      <c r="AK1" s="34" t="s">
        <v>388</v>
      </c>
      <c r="AL1" s="34" t="s">
        <v>389</v>
      </c>
      <c r="AM1" s="34" t="s">
        <v>390</v>
      </c>
      <c r="AN1" s="34" t="s">
        <v>391</v>
      </c>
      <c r="AO1" s="34" t="s">
        <v>392</v>
      </c>
      <c r="AP1" s="34" t="s">
        <v>393</v>
      </c>
      <c r="AQ1" s="34" t="s">
        <v>394</v>
      </c>
      <c r="AR1" s="34" t="s">
        <v>395</v>
      </c>
      <c r="AS1" s="34" t="s">
        <v>396</v>
      </c>
      <c r="AT1" s="34" t="s">
        <v>397</v>
      </c>
      <c r="AU1" s="34" t="s">
        <v>398</v>
      </c>
      <c r="AV1" s="34" t="s">
        <v>399</v>
      </c>
      <c r="AW1" s="34" t="s">
        <v>400</v>
      </c>
      <c r="AX1" s="34" t="s">
        <v>401</v>
      </c>
      <c r="AY1" s="34" t="s">
        <v>402</v>
      </c>
      <c r="AZ1" s="34" t="s">
        <v>403</v>
      </c>
      <c r="BA1" s="34" t="s">
        <v>404</v>
      </c>
      <c r="BB1" s="34" t="s">
        <v>405</v>
      </c>
      <c r="BC1" s="34" t="s">
        <v>406</v>
      </c>
      <c r="BD1" s="34" t="s">
        <v>407</v>
      </c>
      <c r="BE1" s="34" t="s">
        <v>408</v>
      </c>
      <c r="BF1" s="34" t="s">
        <v>409</v>
      </c>
      <c r="BG1" s="34" t="s">
        <v>410</v>
      </c>
      <c r="BH1" s="34" t="s">
        <v>411</v>
      </c>
      <c r="BI1" s="34" t="s">
        <v>412</v>
      </c>
      <c r="BJ1" s="34" t="s">
        <v>413</v>
      </c>
      <c r="BK1" s="34" t="s">
        <v>414</v>
      </c>
    </row>
    <row r="2" spans="1:63" x14ac:dyDescent="0.25">
      <c r="A2">
        <v>1</v>
      </c>
      <c r="B2" t="s">
        <v>119</v>
      </c>
      <c r="C2">
        <v>2018</v>
      </c>
      <c r="D2">
        <v>1</v>
      </c>
      <c r="E2" t="s">
        <v>415</v>
      </c>
      <c r="F2" t="s">
        <v>416</v>
      </c>
      <c r="G2" t="s">
        <v>417</v>
      </c>
      <c r="H2" t="s">
        <v>84</v>
      </c>
      <c r="I2" t="s">
        <v>418</v>
      </c>
      <c r="J2" t="s">
        <v>419</v>
      </c>
      <c r="K2">
        <v>-17563.758607870001</v>
      </c>
      <c r="L2" t="s">
        <v>85</v>
      </c>
      <c r="M2" t="s">
        <v>420</v>
      </c>
      <c r="N2">
        <v>0.24824931095561001</v>
      </c>
      <c r="O2">
        <v>4360.1909720000003</v>
      </c>
      <c r="P2" t="s">
        <v>421</v>
      </c>
      <c r="Q2">
        <v>1</v>
      </c>
      <c r="V2">
        <v>1</v>
      </c>
      <c r="W2">
        <v>1</v>
      </c>
      <c r="X2">
        <v>1</v>
      </c>
      <c r="Y2">
        <v>1</v>
      </c>
      <c r="Z2">
        <v>4360.1909720000003</v>
      </c>
    </row>
    <row r="3" spans="1:63" x14ac:dyDescent="0.25">
      <c r="A3">
        <v>2</v>
      </c>
      <c r="B3" t="s">
        <v>119</v>
      </c>
      <c r="C3">
        <v>2018</v>
      </c>
      <c r="D3">
        <v>1</v>
      </c>
      <c r="E3" t="s">
        <v>415</v>
      </c>
      <c r="F3" t="s">
        <v>416</v>
      </c>
      <c r="G3" t="s">
        <v>417</v>
      </c>
      <c r="H3" t="s">
        <v>84</v>
      </c>
      <c r="I3" t="s">
        <v>418</v>
      </c>
      <c r="J3" t="s">
        <v>419</v>
      </c>
      <c r="K3">
        <v>-17563.758607870001</v>
      </c>
      <c r="L3" t="s">
        <v>85</v>
      </c>
      <c r="M3" t="s">
        <v>422</v>
      </c>
      <c r="N3">
        <v>7.7540047892240005E-2</v>
      </c>
      <c r="O3">
        <v>1361.8946840000001</v>
      </c>
      <c r="P3" t="s">
        <v>421</v>
      </c>
      <c r="Q3">
        <v>1</v>
      </c>
      <c r="V3">
        <v>1</v>
      </c>
      <c r="W3">
        <v>1</v>
      </c>
      <c r="X3">
        <v>1</v>
      </c>
      <c r="Y3">
        <v>1</v>
      </c>
      <c r="Z3">
        <v>1361.8946840000001</v>
      </c>
    </row>
    <row r="4" spans="1:63" x14ac:dyDescent="0.25">
      <c r="A4">
        <v>3</v>
      </c>
      <c r="B4" t="s">
        <v>119</v>
      </c>
      <c r="C4">
        <v>2018</v>
      </c>
      <c r="D4">
        <v>1</v>
      </c>
      <c r="E4" t="s">
        <v>415</v>
      </c>
      <c r="F4" t="s">
        <v>416</v>
      </c>
      <c r="G4" t="s">
        <v>417</v>
      </c>
      <c r="H4" t="s">
        <v>84</v>
      </c>
      <c r="I4" t="s">
        <v>418</v>
      </c>
      <c r="J4" t="s">
        <v>419</v>
      </c>
      <c r="K4">
        <v>-17563.758607870001</v>
      </c>
      <c r="L4" t="s">
        <v>85</v>
      </c>
      <c r="M4" t="s">
        <v>423</v>
      </c>
      <c r="N4">
        <v>0.73979703899049998</v>
      </c>
      <c r="O4">
        <v>12993.616612</v>
      </c>
      <c r="P4" t="s">
        <v>421</v>
      </c>
      <c r="Q4">
        <v>1</v>
      </c>
      <c r="V4">
        <v>1</v>
      </c>
      <c r="W4">
        <v>1</v>
      </c>
      <c r="X4">
        <v>1</v>
      </c>
      <c r="Y4">
        <v>1</v>
      </c>
      <c r="Z4">
        <v>12993.616612</v>
      </c>
    </row>
    <row r="5" spans="1:63" x14ac:dyDescent="0.25">
      <c r="A5">
        <v>4</v>
      </c>
      <c r="B5" t="s">
        <v>119</v>
      </c>
      <c r="C5">
        <v>2018</v>
      </c>
      <c r="D5">
        <v>1</v>
      </c>
      <c r="E5" t="s">
        <v>415</v>
      </c>
      <c r="F5" t="s">
        <v>416</v>
      </c>
      <c r="G5" t="s">
        <v>417</v>
      </c>
      <c r="H5" t="s">
        <v>84</v>
      </c>
      <c r="I5" t="s">
        <v>418</v>
      </c>
      <c r="J5" t="s">
        <v>419</v>
      </c>
      <c r="K5">
        <v>-17563.758607870001</v>
      </c>
      <c r="L5" t="s">
        <v>85</v>
      </c>
      <c r="M5" t="s">
        <v>424</v>
      </c>
      <c r="N5">
        <v>2.9085775596699999E-3</v>
      </c>
      <c r="O5">
        <v>51.085554000000002</v>
      </c>
      <c r="P5" t="s">
        <v>421</v>
      </c>
      <c r="Q5">
        <v>1</v>
      </c>
      <c r="V5">
        <v>1</v>
      </c>
      <c r="W5">
        <v>1</v>
      </c>
      <c r="X5">
        <v>1</v>
      </c>
      <c r="Y5">
        <v>1</v>
      </c>
      <c r="Z5">
        <v>51.085554000000002</v>
      </c>
    </row>
    <row r="6" spans="1:63" x14ac:dyDescent="0.25">
      <c r="A6">
        <v>5</v>
      </c>
      <c r="B6" t="s">
        <v>119</v>
      </c>
      <c r="C6">
        <v>2018</v>
      </c>
      <c r="D6">
        <v>1</v>
      </c>
      <c r="E6" t="s">
        <v>415</v>
      </c>
      <c r="F6" t="s">
        <v>416</v>
      </c>
      <c r="G6" t="s">
        <v>417</v>
      </c>
      <c r="H6" t="s">
        <v>84</v>
      </c>
      <c r="I6" t="s">
        <v>418</v>
      </c>
      <c r="J6" t="s">
        <v>419</v>
      </c>
      <c r="K6">
        <v>-17563.758607870001</v>
      </c>
      <c r="L6" t="s">
        <v>85</v>
      </c>
      <c r="M6" t="s">
        <v>425</v>
      </c>
      <c r="N6">
        <v>2.6170694898000001E-3</v>
      </c>
      <c r="O6">
        <v>45.965577000000003</v>
      </c>
      <c r="P6" t="s">
        <v>421</v>
      </c>
      <c r="Q6">
        <v>1</v>
      </c>
      <c r="V6">
        <v>1</v>
      </c>
      <c r="W6">
        <v>1</v>
      </c>
      <c r="X6">
        <v>1</v>
      </c>
      <c r="Y6">
        <v>1</v>
      </c>
      <c r="Z6">
        <v>45.965577000000003</v>
      </c>
    </row>
    <row r="7" spans="1:63" x14ac:dyDescent="0.25">
      <c r="A7">
        <v>6</v>
      </c>
      <c r="B7" t="s">
        <v>119</v>
      </c>
      <c r="C7">
        <v>2018</v>
      </c>
      <c r="D7">
        <v>1</v>
      </c>
      <c r="E7" t="s">
        <v>415</v>
      </c>
      <c r="F7" t="s">
        <v>416</v>
      </c>
      <c r="G7" t="s">
        <v>417</v>
      </c>
      <c r="H7" t="s">
        <v>84</v>
      </c>
      <c r="I7" t="s">
        <v>426</v>
      </c>
      <c r="J7" t="s">
        <v>87</v>
      </c>
      <c r="K7">
        <v>-5338.6730455799998</v>
      </c>
      <c r="L7" t="s">
        <v>427</v>
      </c>
      <c r="M7" t="s">
        <v>420</v>
      </c>
      <c r="N7">
        <v>0.45523813654234002</v>
      </c>
      <c r="O7">
        <v>2430.367569</v>
      </c>
      <c r="P7" t="s">
        <v>421</v>
      </c>
      <c r="Q7">
        <v>1</v>
      </c>
      <c r="V7">
        <v>1</v>
      </c>
      <c r="W7">
        <v>1</v>
      </c>
      <c r="X7">
        <v>1</v>
      </c>
      <c r="Y7">
        <v>1</v>
      </c>
      <c r="Z7">
        <v>2430.367569</v>
      </c>
    </row>
    <row r="8" spans="1:63" x14ac:dyDescent="0.25">
      <c r="A8">
        <v>7</v>
      </c>
      <c r="B8" t="s">
        <v>119</v>
      </c>
      <c r="C8">
        <v>2018</v>
      </c>
      <c r="D8">
        <v>1</v>
      </c>
      <c r="E8" t="s">
        <v>415</v>
      </c>
      <c r="F8" t="s">
        <v>416</v>
      </c>
      <c r="G8" t="s">
        <v>417</v>
      </c>
      <c r="H8" t="s">
        <v>84</v>
      </c>
      <c r="I8" t="s">
        <v>426</v>
      </c>
      <c r="J8" t="s">
        <v>87</v>
      </c>
      <c r="K8">
        <v>-5338.6730455799998</v>
      </c>
      <c r="L8" t="s">
        <v>427</v>
      </c>
      <c r="M8" t="s">
        <v>422</v>
      </c>
      <c r="N8">
        <v>6.8896616392329996E-2</v>
      </c>
      <c r="O8">
        <v>367.816509</v>
      </c>
      <c r="P8" t="s">
        <v>421</v>
      </c>
      <c r="Q8">
        <v>1</v>
      </c>
      <c r="V8">
        <v>1</v>
      </c>
      <c r="W8">
        <v>1</v>
      </c>
      <c r="X8">
        <v>1</v>
      </c>
      <c r="Y8">
        <v>1</v>
      </c>
      <c r="Z8">
        <v>367.816509</v>
      </c>
    </row>
    <row r="9" spans="1:63" x14ac:dyDescent="0.25">
      <c r="A9">
        <v>8</v>
      </c>
      <c r="B9" t="s">
        <v>119</v>
      </c>
      <c r="C9">
        <v>2018</v>
      </c>
      <c r="D9">
        <v>1</v>
      </c>
      <c r="E9" t="s">
        <v>415</v>
      </c>
      <c r="F9" t="s">
        <v>416</v>
      </c>
      <c r="G9" t="s">
        <v>417</v>
      </c>
      <c r="H9" t="s">
        <v>84</v>
      </c>
      <c r="I9" t="s">
        <v>426</v>
      </c>
      <c r="J9" t="s">
        <v>87</v>
      </c>
      <c r="K9">
        <v>-5338.6730455799998</v>
      </c>
      <c r="L9" t="s">
        <v>427</v>
      </c>
      <c r="M9" t="s">
        <v>423</v>
      </c>
      <c r="N9">
        <v>0.70986919705586005</v>
      </c>
      <c r="O9">
        <v>3789.759548</v>
      </c>
      <c r="P9" t="s">
        <v>421</v>
      </c>
      <c r="Q9">
        <v>1</v>
      </c>
      <c r="V9">
        <v>1</v>
      </c>
      <c r="W9">
        <v>1</v>
      </c>
      <c r="X9">
        <v>1</v>
      </c>
      <c r="Y9">
        <v>1</v>
      </c>
      <c r="Z9">
        <v>3789.759548</v>
      </c>
    </row>
    <row r="10" spans="1:63" x14ac:dyDescent="0.25">
      <c r="A10">
        <v>9</v>
      </c>
      <c r="B10" t="s">
        <v>119</v>
      </c>
      <c r="C10">
        <v>2018</v>
      </c>
      <c r="D10">
        <v>1</v>
      </c>
      <c r="E10" t="s">
        <v>415</v>
      </c>
      <c r="F10" t="s">
        <v>416</v>
      </c>
      <c r="G10" t="s">
        <v>417</v>
      </c>
      <c r="H10" t="s">
        <v>84</v>
      </c>
      <c r="I10" t="s">
        <v>426</v>
      </c>
      <c r="J10" t="s">
        <v>87</v>
      </c>
      <c r="K10">
        <v>-5338.6730455799998</v>
      </c>
      <c r="L10" t="s">
        <v>427</v>
      </c>
      <c r="M10" t="s">
        <v>425</v>
      </c>
      <c r="N10">
        <v>1.4965642882E-3</v>
      </c>
      <c r="O10">
        <v>7.9896669999999999</v>
      </c>
      <c r="P10" t="s">
        <v>421</v>
      </c>
      <c r="Q10">
        <v>1</v>
      </c>
      <c r="V10">
        <v>1</v>
      </c>
      <c r="W10">
        <v>1</v>
      </c>
      <c r="X10">
        <v>1</v>
      </c>
      <c r="Y10">
        <v>1</v>
      </c>
      <c r="Z10">
        <v>7.9896669999999999</v>
      </c>
    </row>
    <row r="11" spans="1:63" x14ac:dyDescent="0.25">
      <c r="A11">
        <v>10</v>
      </c>
      <c r="B11" t="s">
        <v>119</v>
      </c>
      <c r="C11">
        <v>2018</v>
      </c>
      <c r="D11">
        <v>1</v>
      </c>
      <c r="E11" t="s">
        <v>415</v>
      </c>
      <c r="F11" t="s">
        <v>416</v>
      </c>
      <c r="G11" t="s">
        <v>417</v>
      </c>
      <c r="H11" t="s">
        <v>84</v>
      </c>
      <c r="I11" t="s">
        <v>428</v>
      </c>
      <c r="J11" t="s">
        <v>59</v>
      </c>
      <c r="K11">
        <v>-6362.3621816100003</v>
      </c>
      <c r="L11" t="s">
        <v>89</v>
      </c>
      <c r="M11" t="s">
        <v>420</v>
      </c>
      <c r="N11">
        <v>0.26343870574139999</v>
      </c>
      <c r="O11">
        <v>1676.092459</v>
      </c>
      <c r="P11" t="s">
        <v>421</v>
      </c>
      <c r="Q11">
        <v>1</v>
      </c>
      <c r="V11">
        <v>1</v>
      </c>
      <c r="W11">
        <v>1</v>
      </c>
      <c r="X11">
        <v>1</v>
      </c>
      <c r="Y11">
        <v>1</v>
      </c>
      <c r="Z11">
        <v>1676.092459</v>
      </c>
    </row>
    <row r="12" spans="1:63" x14ac:dyDescent="0.25">
      <c r="A12">
        <v>11</v>
      </c>
      <c r="B12" t="s">
        <v>119</v>
      </c>
      <c r="C12">
        <v>2018</v>
      </c>
      <c r="D12">
        <v>1</v>
      </c>
      <c r="E12" t="s">
        <v>415</v>
      </c>
      <c r="F12" t="s">
        <v>416</v>
      </c>
      <c r="G12" t="s">
        <v>417</v>
      </c>
      <c r="H12" t="s">
        <v>84</v>
      </c>
      <c r="I12" t="s">
        <v>428</v>
      </c>
      <c r="J12" t="s">
        <v>59</v>
      </c>
      <c r="K12">
        <v>-6362.3621816100003</v>
      </c>
      <c r="L12" t="s">
        <v>89</v>
      </c>
      <c r="M12" t="s">
        <v>422</v>
      </c>
      <c r="N12">
        <v>7.1262429683470005E-2</v>
      </c>
      <c r="O12">
        <v>453.39738799999998</v>
      </c>
      <c r="P12" t="s">
        <v>421</v>
      </c>
      <c r="Q12">
        <v>1</v>
      </c>
      <c r="V12">
        <v>1</v>
      </c>
      <c r="W12">
        <v>1</v>
      </c>
      <c r="X12">
        <v>1</v>
      </c>
      <c r="Y12">
        <v>1</v>
      </c>
      <c r="Z12">
        <v>453.39738799999998</v>
      </c>
    </row>
    <row r="13" spans="1:63" x14ac:dyDescent="0.25">
      <c r="A13">
        <v>12</v>
      </c>
      <c r="B13" t="s">
        <v>119</v>
      </c>
      <c r="C13">
        <v>2018</v>
      </c>
      <c r="D13">
        <v>1</v>
      </c>
      <c r="E13" t="s">
        <v>415</v>
      </c>
      <c r="F13" t="s">
        <v>416</v>
      </c>
      <c r="G13" t="s">
        <v>417</v>
      </c>
      <c r="H13" t="s">
        <v>84</v>
      </c>
      <c r="I13" t="s">
        <v>428</v>
      </c>
      <c r="J13" t="s">
        <v>59</v>
      </c>
      <c r="K13">
        <v>-6362.3621816100003</v>
      </c>
      <c r="L13" t="s">
        <v>89</v>
      </c>
      <c r="M13" t="s">
        <v>423</v>
      </c>
      <c r="N13">
        <v>0.74738783869542003</v>
      </c>
      <c r="O13">
        <v>4755.1521199999997</v>
      </c>
      <c r="P13" t="s">
        <v>421</v>
      </c>
      <c r="Q13">
        <v>1</v>
      </c>
      <c r="V13">
        <v>1</v>
      </c>
      <c r="W13">
        <v>1</v>
      </c>
      <c r="X13">
        <v>1</v>
      </c>
      <c r="Y13">
        <v>1</v>
      </c>
      <c r="Z13">
        <v>4755.1521199999997</v>
      </c>
    </row>
    <row r="14" spans="1:63" x14ac:dyDescent="0.25">
      <c r="A14">
        <v>13</v>
      </c>
      <c r="B14" t="s">
        <v>119</v>
      </c>
      <c r="C14">
        <v>2018</v>
      </c>
      <c r="D14">
        <v>1</v>
      </c>
      <c r="E14" t="s">
        <v>415</v>
      </c>
      <c r="F14" t="s">
        <v>416</v>
      </c>
      <c r="G14" t="s">
        <v>417</v>
      </c>
      <c r="H14" t="s">
        <v>84</v>
      </c>
      <c r="I14" t="s">
        <v>428</v>
      </c>
      <c r="J14" t="s">
        <v>59</v>
      </c>
      <c r="K14">
        <v>-6362.3621816100003</v>
      </c>
      <c r="L14" t="s">
        <v>89</v>
      </c>
      <c r="M14" t="s">
        <v>424</v>
      </c>
      <c r="N14">
        <v>3.08071516317E-3</v>
      </c>
      <c r="O14">
        <v>19.600625999999998</v>
      </c>
      <c r="P14" t="s">
        <v>421</v>
      </c>
      <c r="Q14">
        <v>1</v>
      </c>
      <c r="V14">
        <v>1</v>
      </c>
      <c r="W14">
        <v>1</v>
      </c>
      <c r="X14">
        <v>1</v>
      </c>
      <c r="Y14">
        <v>1</v>
      </c>
      <c r="Z14">
        <v>19.600625999999998</v>
      </c>
    </row>
    <row r="15" spans="1:63" x14ac:dyDescent="0.25">
      <c r="A15">
        <v>14</v>
      </c>
      <c r="B15" t="s">
        <v>119</v>
      </c>
      <c r="C15">
        <v>2018</v>
      </c>
      <c r="D15">
        <v>1</v>
      </c>
      <c r="E15" t="s">
        <v>415</v>
      </c>
      <c r="F15" t="s">
        <v>416</v>
      </c>
      <c r="G15" t="s">
        <v>417</v>
      </c>
      <c r="H15" t="s">
        <v>84</v>
      </c>
      <c r="I15" t="s">
        <v>428</v>
      </c>
      <c r="J15" t="s">
        <v>59</v>
      </c>
      <c r="K15">
        <v>-6362.3621816100003</v>
      </c>
      <c r="L15" t="s">
        <v>89</v>
      </c>
      <c r="M15" t="s">
        <v>425</v>
      </c>
      <c r="N15">
        <v>2.5360775708E-3</v>
      </c>
      <c r="O15">
        <v>16.135444</v>
      </c>
      <c r="P15" t="s">
        <v>421</v>
      </c>
      <c r="Q15">
        <v>1</v>
      </c>
      <c r="V15">
        <v>1</v>
      </c>
      <c r="W15">
        <v>1</v>
      </c>
      <c r="X15">
        <v>1</v>
      </c>
      <c r="Y15">
        <v>1</v>
      </c>
      <c r="Z15">
        <v>16.135444</v>
      </c>
    </row>
    <row r="16" spans="1:63" x14ac:dyDescent="0.25">
      <c r="A16">
        <v>15</v>
      </c>
      <c r="B16" t="s">
        <v>119</v>
      </c>
      <c r="C16">
        <v>2018</v>
      </c>
      <c r="D16">
        <v>1</v>
      </c>
      <c r="E16" t="s">
        <v>415</v>
      </c>
      <c r="F16" t="s">
        <v>429</v>
      </c>
      <c r="G16" t="s">
        <v>430</v>
      </c>
      <c r="H16" t="s">
        <v>84</v>
      </c>
      <c r="I16" t="s">
        <v>431</v>
      </c>
      <c r="J16" t="s">
        <v>419</v>
      </c>
      <c r="K16">
        <v>-24238.011466259999</v>
      </c>
      <c r="L16" t="s">
        <v>85</v>
      </c>
      <c r="M16" t="s">
        <v>420</v>
      </c>
      <c r="N16">
        <v>0.24824931095561001</v>
      </c>
      <c r="O16">
        <v>6017.0696449999996</v>
      </c>
      <c r="P16" t="s">
        <v>421</v>
      </c>
      <c r="Q16">
        <v>1</v>
      </c>
      <c r="V16">
        <v>1</v>
      </c>
      <c r="W16">
        <v>1</v>
      </c>
      <c r="X16">
        <v>1</v>
      </c>
      <c r="Y16">
        <v>1</v>
      </c>
      <c r="Z16">
        <v>6017.0696449999996</v>
      </c>
    </row>
    <row r="17" spans="1:26" x14ac:dyDescent="0.25">
      <c r="A17">
        <v>16</v>
      </c>
      <c r="B17" t="s">
        <v>119</v>
      </c>
      <c r="C17">
        <v>2018</v>
      </c>
      <c r="D17">
        <v>1</v>
      </c>
      <c r="E17" t="s">
        <v>415</v>
      </c>
      <c r="F17" t="s">
        <v>429</v>
      </c>
      <c r="G17" t="s">
        <v>430</v>
      </c>
      <c r="H17" t="s">
        <v>84</v>
      </c>
      <c r="I17" t="s">
        <v>431</v>
      </c>
      <c r="J17" t="s">
        <v>419</v>
      </c>
      <c r="K17">
        <v>-24238.011466259999</v>
      </c>
      <c r="L17" t="s">
        <v>85</v>
      </c>
      <c r="M17" t="s">
        <v>422</v>
      </c>
      <c r="N17">
        <v>7.7540047892240005E-2</v>
      </c>
      <c r="O17">
        <v>1879.4165700000001</v>
      </c>
      <c r="P17" t="s">
        <v>421</v>
      </c>
      <c r="Q17">
        <v>1</v>
      </c>
      <c r="V17">
        <v>1</v>
      </c>
      <c r="W17">
        <v>1</v>
      </c>
      <c r="X17">
        <v>1</v>
      </c>
      <c r="Y17">
        <v>1</v>
      </c>
      <c r="Z17">
        <v>1879.4165700000001</v>
      </c>
    </row>
    <row r="18" spans="1:26" x14ac:dyDescent="0.25">
      <c r="A18">
        <v>17</v>
      </c>
      <c r="B18" t="s">
        <v>119</v>
      </c>
      <c r="C18">
        <v>2018</v>
      </c>
      <c r="D18">
        <v>1</v>
      </c>
      <c r="E18" t="s">
        <v>415</v>
      </c>
      <c r="F18" t="s">
        <v>429</v>
      </c>
      <c r="G18" t="s">
        <v>430</v>
      </c>
      <c r="H18" t="s">
        <v>84</v>
      </c>
      <c r="I18" t="s">
        <v>431</v>
      </c>
      <c r="J18" t="s">
        <v>419</v>
      </c>
      <c r="K18">
        <v>-24238.011466259999</v>
      </c>
      <c r="L18" t="s">
        <v>85</v>
      </c>
      <c r="M18" t="s">
        <v>423</v>
      </c>
      <c r="N18">
        <v>0.73979703899049998</v>
      </c>
      <c r="O18">
        <v>17931.209114000001</v>
      </c>
      <c r="P18" t="s">
        <v>421</v>
      </c>
      <c r="Q18">
        <v>1</v>
      </c>
      <c r="V18">
        <v>1</v>
      </c>
      <c r="W18">
        <v>1</v>
      </c>
      <c r="X18">
        <v>1</v>
      </c>
      <c r="Y18">
        <v>1</v>
      </c>
      <c r="Z18">
        <v>17931.209114000001</v>
      </c>
    </row>
    <row r="19" spans="1:26" x14ac:dyDescent="0.25">
      <c r="A19">
        <v>18</v>
      </c>
      <c r="B19" t="s">
        <v>119</v>
      </c>
      <c r="C19">
        <v>2018</v>
      </c>
      <c r="D19">
        <v>1</v>
      </c>
      <c r="E19" t="s">
        <v>415</v>
      </c>
      <c r="F19" t="s">
        <v>429</v>
      </c>
      <c r="G19" t="s">
        <v>430</v>
      </c>
      <c r="H19" t="s">
        <v>84</v>
      </c>
      <c r="I19" t="s">
        <v>431</v>
      </c>
      <c r="J19" t="s">
        <v>419</v>
      </c>
      <c r="K19">
        <v>-24238.011466259999</v>
      </c>
      <c r="L19" t="s">
        <v>85</v>
      </c>
      <c r="M19" t="s">
        <v>424</v>
      </c>
      <c r="N19">
        <v>2.9085775596699999E-3</v>
      </c>
      <c r="O19">
        <v>70.498136000000002</v>
      </c>
      <c r="P19" t="s">
        <v>421</v>
      </c>
      <c r="Q19">
        <v>1</v>
      </c>
      <c r="V19">
        <v>1</v>
      </c>
      <c r="W19">
        <v>1</v>
      </c>
      <c r="X19">
        <v>1</v>
      </c>
      <c r="Y19">
        <v>1</v>
      </c>
      <c r="Z19">
        <v>70.498136000000002</v>
      </c>
    </row>
    <row r="20" spans="1:26" x14ac:dyDescent="0.25">
      <c r="A20">
        <v>19</v>
      </c>
      <c r="B20" t="s">
        <v>119</v>
      </c>
      <c r="C20">
        <v>2018</v>
      </c>
      <c r="D20">
        <v>1</v>
      </c>
      <c r="E20" t="s">
        <v>415</v>
      </c>
      <c r="F20" t="s">
        <v>429</v>
      </c>
      <c r="G20" t="s">
        <v>430</v>
      </c>
      <c r="H20" t="s">
        <v>84</v>
      </c>
      <c r="I20" t="s">
        <v>431</v>
      </c>
      <c r="J20" t="s">
        <v>419</v>
      </c>
      <c r="K20">
        <v>-24238.011466259999</v>
      </c>
      <c r="L20" t="s">
        <v>85</v>
      </c>
      <c r="M20" t="s">
        <v>425</v>
      </c>
      <c r="N20">
        <v>2.6170694898000001E-3</v>
      </c>
      <c r="O20">
        <v>63.432560000000002</v>
      </c>
      <c r="P20" t="s">
        <v>421</v>
      </c>
      <c r="Q20">
        <v>1</v>
      </c>
      <c r="V20">
        <v>1</v>
      </c>
      <c r="W20">
        <v>1</v>
      </c>
      <c r="X20">
        <v>1</v>
      </c>
      <c r="Y20">
        <v>1</v>
      </c>
      <c r="Z20">
        <v>63.432560000000002</v>
      </c>
    </row>
    <row r="21" spans="1:26" x14ac:dyDescent="0.25">
      <c r="A21">
        <v>20</v>
      </c>
      <c r="B21" t="s">
        <v>119</v>
      </c>
      <c r="C21">
        <v>2018</v>
      </c>
      <c r="D21">
        <v>1</v>
      </c>
      <c r="E21" t="s">
        <v>415</v>
      </c>
      <c r="F21" t="s">
        <v>429</v>
      </c>
      <c r="G21" t="s">
        <v>430</v>
      </c>
      <c r="H21" t="s">
        <v>84</v>
      </c>
      <c r="I21" t="s">
        <v>432</v>
      </c>
      <c r="J21" t="s">
        <v>87</v>
      </c>
      <c r="K21">
        <v>-7599.8606662599996</v>
      </c>
      <c r="L21" t="s">
        <v>427</v>
      </c>
      <c r="M21" t="s">
        <v>420</v>
      </c>
      <c r="N21">
        <v>0.45523813654234002</v>
      </c>
      <c r="O21">
        <v>3459.746408</v>
      </c>
      <c r="P21" t="s">
        <v>421</v>
      </c>
      <c r="Q21">
        <v>1</v>
      </c>
      <c r="V21">
        <v>1</v>
      </c>
      <c r="W21">
        <v>1</v>
      </c>
      <c r="X21">
        <v>1</v>
      </c>
      <c r="Y21">
        <v>1</v>
      </c>
      <c r="Z21">
        <v>3459.746408</v>
      </c>
    </row>
    <row r="22" spans="1:26" x14ac:dyDescent="0.25">
      <c r="A22">
        <v>21</v>
      </c>
      <c r="B22" t="s">
        <v>119</v>
      </c>
      <c r="C22">
        <v>2018</v>
      </c>
      <c r="D22">
        <v>1</v>
      </c>
      <c r="E22" t="s">
        <v>415</v>
      </c>
      <c r="F22" t="s">
        <v>429</v>
      </c>
      <c r="G22" t="s">
        <v>430</v>
      </c>
      <c r="H22" t="s">
        <v>84</v>
      </c>
      <c r="I22" t="s">
        <v>432</v>
      </c>
      <c r="J22" t="s">
        <v>87</v>
      </c>
      <c r="K22">
        <v>-7599.8606662599996</v>
      </c>
      <c r="L22" t="s">
        <v>427</v>
      </c>
      <c r="M22" t="s">
        <v>422</v>
      </c>
      <c r="N22">
        <v>6.8896616392329996E-2</v>
      </c>
      <c r="O22">
        <v>523.60468500000002</v>
      </c>
      <c r="P22" t="s">
        <v>421</v>
      </c>
      <c r="Q22">
        <v>1</v>
      </c>
      <c r="V22">
        <v>1</v>
      </c>
      <c r="W22">
        <v>1</v>
      </c>
      <c r="X22">
        <v>1</v>
      </c>
      <c r="Y22">
        <v>1</v>
      </c>
      <c r="Z22">
        <v>523.60468500000002</v>
      </c>
    </row>
    <row r="23" spans="1:26" x14ac:dyDescent="0.25">
      <c r="A23">
        <v>22</v>
      </c>
      <c r="B23" t="s">
        <v>119</v>
      </c>
      <c r="C23">
        <v>2018</v>
      </c>
      <c r="D23">
        <v>1</v>
      </c>
      <c r="E23" t="s">
        <v>415</v>
      </c>
      <c r="F23" t="s">
        <v>429</v>
      </c>
      <c r="G23" t="s">
        <v>430</v>
      </c>
      <c r="H23" t="s">
        <v>84</v>
      </c>
      <c r="I23" t="s">
        <v>432</v>
      </c>
      <c r="J23" t="s">
        <v>87</v>
      </c>
      <c r="K23">
        <v>-7599.8606662599996</v>
      </c>
      <c r="L23" t="s">
        <v>427</v>
      </c>
      <c r="M23" t="s">
        <v>423</v>
      </c>
      <c r="N23">
        <v>0.70986919705586005</v>
      </c>
      <c r="O23">
        <v>5394.9069890000001</v>
      </c>
      <c r="P23" t="s">
        <v>421</v>
      </c>
      <c r="Q23">
        <v>1</v>
      </c>
      <c r="V23">
        <v>1</v>
      </c>
      <c r="W23">
        <v>1</v>
      </c>
      <c r="X23">
        <v>1</v>
      </c>
      <c r="Y23">
        <v>1</v>
      </c>
      <c r="Z23">
        <v>5394.9069890000001</v>
      </c>
    </row>
    <row r="24" spans="1:26" x14ac:dyDescent="0.25">
      <c r="A24">
        <v>23</v>
      </c>
      <c r="B24" t="s">
        <v>119</v>
      </c>
      <c r="C24">
        <v>2018</v>
      </c>
      <c r="D24">
        <v>1</v>
      </c>
      <c r="E24" t="s">
        <v>415</v>
      </c>
      <c r="F24" t="s">
        <v>429</v>
      </c>
      <c r="G24" t="s">
        <v>430</v>
      </c>
      <c r="H24" t="s">
        <v>84</v>
      </c>
      <c r="I24" t="s">
        <v>432</v>
      </c>
      <c r="J24" t="s">
        <v>87</v>
      </c>
      <c r="K24">
        <v>-7599.8606662599996</v>
      </c>
      <c r="L24" t="s">
        <v>427</v>
      </c>
      <c r="M24" t="s">
        <v>425</v>
      </c>
      <c r="N24">
        <v>1.4965642882E-3</v>
      </c>
      <c r="O24">
        <v>11.37368</v>
      </c>
      <c r="P24" t="s">
        <v>421</v>
      </c>
      <c r="Q24">
        <v>1</v>
      </c>
      <c r="V24">
        <v>1</v>
      </c>
      <c r="W24">
        <v>1</v>
      </c>
      <c r="X24">
        <v>1</v>
      </c>
      <c r="Y24">
        <v>1</v>
      </c>
      <c r="Z24">
        <v>11.37368</v>
      </c>
    </row>
    <row r="25" spans="1:26" x14ac:dyDescent="0.25">
      <c r="A25">
        <v>24</v>
      </c>
      <c r="B25" t="s">
        <v>119</v>
      </c>
      <c r="C25">
        <v>2018</v>
      </c>
      <c r="D25">
        <v>1</v>
      </c>
      <c r="E25" t="s">
        <v>415</v>
      </c>
      <c r="F25" t="s">
        <v>429</v>
      </c>
      <c r="G25" t="s">
        <v>430</v>
      </c>
      <c r="H25" t="s">
        <v>84</v>
      </c>
      <c r="I25" t="s">
        <v>433</v>
      </c>
      <c r="J25" t="s">
        <v>59</v>
      </c>
      <c r="K25">
        <v>-8771.1244561900003</v>
      </c>
      <c r="L25" t="s">
        <v>89</v>
      </c>
      <c r="M25" t="s">
        <v>420</v>
      </c>
      <c r="N25">
        <v>0.26343870574139999</v>
      </c>
      <c r="O25">
        <v>2310.653675</v>
      </c>
      <c r="P25" t="s">
        <v>421</v>
      </c>
      <c r="Q25">
        <v>1</v>
      </c>
      <c r="V25">
        <v>1</v>
      </c>
      <c r="W25">
        <v>1</v>
      </c>
      <c r="X25">
        <v>1</v>
      </c>
      <c r="Y25">
        <v>1</v>
      </c>
      <c r="Z25">
        <v>2310.653675</v>
      </c>
    </row>
    <row r="26" spans="1:26" x14ac:dyDescent="0.25">
      <c r="A26">
        <v>25</v>
      </c>
      <c r="B26" t="s">
        <v>119</v>
      </c>
      <c r="C26">
        <v>2018</v>
      </c>
      <c r="D26">
        <v>1</v>
      </c>
      <c r="E26" t="s">
        <v>415</v>
      </c>
      <c r="F26" t="s">
        <v>429</v>
      </c>
      <c r="G26" t="s">
        <v>430</v>
      </c>
      <c r="H26" t="s">
        <v>84</v>
      </c>
      <c r="I26" t="s">
        <v>433</v>
      </c>
      <c r="J26" t="s">
        <v>59</v>
      </c>
      <c r="K26">
        <v>-8771.1244561900003</v>
      </c>
      <c r="L26" t="s">
        <v>89</v>
      </c>
      <c r="M26" t="s">
        <v>422</v>
      </c>
      <c r="N26">
        <v>7.1262429683470005E-2</v>
      </c>
      <c r="O26">
        <v>625.05164000000002</v>
      </c>
      <c r="P26" t="s">
        <v>421</v>
      </c>
      <c r="Q26">
        <v>1</v>
      </c>
      <c r="V26">
        <v>1</v>
      </c>
      <c r="W26">
        <v>1</v>
      </c>
      <c r="X26">
        <v>1</v>
      </c>
      <c r="Y26">
        <v>1</v>
      </c>
      <c r="Z26">
        <v>625.05164000000002</v>
      </c>
    </row>
    <row r="27" spans="1:26" x14ac:dyDescent="0.25">
      <c r="A27">
        <v>26</v>
      </c>
      <c r="B27" t="s">
        <v>119</v>
      </c>
      <c r="C27">
        <v>2018</v>
      </c>
      <c r="D27">
        <v>1</v>
      </c>
      <c r="E27" t="s">
        <v>415</v>
      </c>
      <c r="F27" t="s">
        <v>429</v>
      </c>
      <c r="G27" t="s">
        <v>430</v>
      </c>
      <c r="H27" t="s">
        <v>84</v>
      </c>
      <c r="I27" t="s">
        <v>433</v>
      </c>
      <c r="J27" t="s">
        <v>59</v>
      </c>
      <c r="K27">
        <v>-8771.1244561900003</v>
      </c>
      <c r="L27" t="s">
        <v>89</v>
      </c>
      <c r="M27" t="s">
        <v>423</v>
      </c>
      <c r="N27">
        <v>0.74738783869542003</v>
      </c>
      <c r="O27">
        <v>6555.4317499999997</v>
      </c>
      <c r="P27" t="s">
        <v>421</v>
      </c>
      <c r="Q27">
        <v>1</v>
      </c>
      <c r="V27">
        <v>1</v>
      </c>
      <c r="W27">
        <v>1</v>
      </c>
      <c r="X27">
        <v>1</v>
      </c>
      <c r="Y27">
        <v>1</v>
      </c>
      <c r="Z27">
        <v>6555.4317499999997</v>
      </c>
    </row>
    <row r="28" spans="1:26" x14ac:dyDescent="0.25">
      <c r="A28">
        <v>27</v>
      </c>
      <c r="B28" t="s">
        <v>119</v>
      </c>
      <c r="C28">
        <v>2018</v>
      </c>
      <c r="D28">
        <v>1</v>
      </c>
      <c r="E28" t="s">
        <v>415</v>
      </c>
      <c r="F28" t="s">
        <v>429</v>
      </c>
      <c r="G28" t="s">
        <v>430</v>
      </c>
      <c r="H28" t="s">
        <v>84</v>
      </c>
      <c r="I28" t="s">
        <v>433</v>
      </c>
      <c r="J28" t="s">
        <v>59</v>
      </c>
      <c r="K28">
        <v>-8771.1244561900003</v>
      </c>
      <c r="L28" t="s">
        <v>89</v>
      </c>
      <c r="M28" t="s">
        <v>424</v>
      </c>
      <c r="N28">
        <v>3.08071516317E-3</v>
      </c>
      <c r="O28">
        <v>27.021336000000002</v>
      </c>
      <c r="P28" t="s">
        <v>421</v>
      </c>
      <c r="Q28">
        <v>1</v>
      </c>
      <c r="V28">
        <v>1</v>
      </c>
      <c r="W28">
        <v>1</v>
      </c>
      <c r="X28">
        <v>1</v>
      </c>
      <c r="Y28">
        <v>1</v>
      </c>
      <c r="Z28">
        <v>27.021336000000002</v>
      </c>
    </row>
    <row r="29" spans="1:26" x14ac:dyDescent="0.25">
      <c r="A29">
        <v>28</v>
      </c>
      <c r="B29" t="s">
        <v>119</v>
      </c>
      <c r="C29">
        <v>2018</v>
      </c>
      <c r="D29">
        <v>1</v>
      </c>
      <c r="E29" t="s">
        <v>415</v>
      </c>
      <c r="F29" t="s">
        <v>429</v>
      </c>
      <c r="G29" t="s">
        <v>430</v>
      </c>
      <c r="H29" t="s">
        <v>84</v>
      </c>
      <c r="I29" t="s">
        <v>433</v>
      </c>
      <c r="J29" t="s">
        <v>59</v>
      </c>
      <c r="K29">
        <v>-8771.1244561900003</v>
      </c>
      <c r="L29" t="s">
        <v>89</v>
      </c>
      <c r="M29" t="s">
        <v>425</v>
      </c>
      <c r="N29">
        <v>2.5360775708E-3</v>
      </c>
      <c r="O29">
        <v>22.244251999999999</v>
      </c>
      <c r="P29" t="s">
        <v>421</v>
      </c>
      <c r="Q29">
        <v>1</v>
      </c>
      <c r="V29">
        <v>1</v>
      </c>
      <c r="W29">
        <v>1</v>
      </c>
      <c r="X29">
        <v>1</v>
      </c>
      <c r="Y29">
        <v>1</v>
      </c>
      <c r="Z29">
        <v>22.244251999999999</v>
      </c>
    </row>
    <row r="30" spans="1:26" x14ac:dyDescent="0.25">
      <c r="A30">
        <v>29</v>
      </c>
      <c r="B30" t="s">
        <v>119</v>
      </c>
      <c r="C30">
        <v>2018</v>
      </c>
      <c r="D30">
        <v>1</v>
      </c>
      <c r="E30" t="s">
        <v>415</v>
      </c>
      <c r="F30" t="s">
        <v>434</v>
      </c>
      <c r="G30" t="s">
        <v>435</v>
      </c>
      <c r="H30" t="s">
        <v>84</v>
      </c>
      <c r="I30" t="s">
        <v>436</v>
      </c>
      <c r="J30" t="s">
        <v>419</v>
      </c>
      <c r="K30">
        <v>-12448.44358107</v>
      </c>
      <c r="L30" t="s">
        <v>85</v>
      </c>
      <c r="M30" t="s">
        <v>420</v>
      </c>
      <c r="N30">
        <v>0.24824931095561001</v>
      </c>
      <c r="O30">
        <v>3090.3175409999999</v>
      </c>
      <c r="P30" t="s">
        <v>421</v>
      </c>
      <c r="Q30">
        <v>1</v>
      </c>
      <c r="V30">
        <v>1</v>
      </c>
      <c r="W30">
        <v>1</v>
      </c>
      <c r="X30">
        <v>1</v>
      </c>
      <c r="Y30">
        <v>1</v>
      </c>
      <c r="Z30">
        <v>3090.3175409999999</v>
      </c>
    </row>
    <row r="31" spans="1:26" x14ac:dyDescent="0.25">
      <c r="A31">
        <v>30</v>
      </c>
      <c r="B31" t="s">
        <v>119</v>
      </c>
      <c r="C31">
        <v>2018</v>
      </c>
      <c r="D31">
        <v>1</v>
      </c>
      <c r="E31" t="s">
        <v>415</v>
      </c>
      <c r="F31" t="s">
        <v>434</v>
      </c>
      <c r="G31" t="s">
        <v>435</v>
      </c>
      <c r="H31" t="s">
        <v>84</v>
      </c>
      <c r="I31" t="s">
        <v>436</v>
      </c>
      <c r="J31" t="s">
        <v>419</v>
      </c>
      <c r="K31">
        <v>-12448.44358107</v>
      </c>
      <c r="L31" t="s">
        <v>85</v>
      </c>
      <c r="M31" t="s">
        <v>422</v>
      </c>
      <c r="N31">
        <v>7.7540047892240005E-2</v>
      </c>
      <c r="O31">
        <v>965.25291100000004</v>
      </c>
      <c r="P31" t="s">
        <v>421</v>
      </c>
      <c r="Q31">
        <v>1</v>
      </c>
      <c r="V31">
        <v>1</v>
      </c>
      <c r="W31">
        <v>1</v>
      </c>
      <c r="X31">
        <v>1</v>
      </c>
      <c r="Y31">
        <v>1</v>
      </c>
      <c r="Z31">
        <v>965.25291100000004</v>
      </c>
    </row>
    <row r="32" spans="1:26" x14ac:dyDescent="0.25">
      <c r="A32">
        <v>31</v>
      </c>
      <c r="B32" t="s">
        <v>119</v>
      </c>
      <c r="C32">
        <v>2018</v>
      </c>
      <c r="D32">
        <v>1</v>
      </c>
      <c r="E32" t="s">
        <v>415</v>
      </c>
      <c r="F32" t="s">
        <v>434</v>
      </c>
      <c r="G32" t="s">
        <v>435</v>
      </c>
      <c r="H32" t="s">
        <v>84</v>
      </c>
      <c r="I32" t="s">
        <v>436</v>
      </c>
      <c r="J32" t="s">
        <v>419</v>
      </c>
      <c r="K32">
        <v>-12448.44358107</v>
      </c>
      <c r="L32" t="s">
        <v>85</v>
      </c>
      <c r="M32" t="s">
        <v>423</v>
      </c>
      <c r="N32">
        <v>0.73979703899049998</v>
      </c>
      <c r="O32">
        <v>9209.3217010000008</v>
      </c>
      <c r="P32" t="s">
        <v>421</v>
      </c>
      <c r="Q32">
        <v>1</v>
      </c>
      <c r="V32">
        <v>1</v>
      </c>
      <c r="W32">
        <v>1</v>
      </c>
      <c r="X32">
        <v>1</v>
      </c>
      <c r="Y32">
        <v>1</v>
      </c>
      <c r="Z32">
        <v>9209.3217010000008</v>
      </c>
    </row>
    <row r="33" spans="1:26" x14ac:dyDescent="0.25">
      <c r="A33">
        <v>32</v>
      </c>
      <c r="B33" t="s">
        <v>119</v>
      </c>
      <c r="C33">
        <v>2018</v>
      </c>
      <c r="D33">
        <v>1</v>
      </c>
      <c r="E33" t="s">
        <v>415</v>
      </c>
      <c r="F33" t="s">
        <v>434</v>
      </c>
      <c r="G33" t="s">
        <v>435</v>
      </c>
      <c r="H33" t="s">
        <v>84</v>
      </c>
      <c r="I33" t="s">
        <v>436</v>
      </c>
      <c r="J33" t="s">
        <v>419</v>
      </c>
      <c r="K33">
        <v>-12448.44358107</v>
      </c>
      <c r="L33" t="s">
        <v>85</v>
      </c>
      <c r="M33" t="s">
        <v>424</v>
      </c>
      <c r="N33">
        <v>2.9085775596699999E-3</v>
      </c>
      <c r="O33">
        <v>36.207264000000002</v>
      </c>
      <c r="P33" t="s">
        <v>421</v>
      </c>
      <c r="Q33">
        <v>1</v>
      </c>
      <c r="V33">
        <v>1</v>
      </c>
      <c r="W33">
        <v>1</v>
      </c>
      <c r="X33">
        <v>1</v>
      </c>
      <c r="Y33">
        <v>1</v>
      </c>
      <c r="Z33">
        <v>36.207264000000002</v>
      </c>
    </row>
    <row r="34" spans="1:26" x14ac:dyDescent="0.25">
      <c r="A34">
        <v>33</v>
      </c>
      <c r="B34" t="s">
        <v>119</v>
      </c>
      <c r="C34">
        <v>2018</v>
      </c>
      <c r="D34">
        <v>1</v>
      </c>
      <c r="E34" t="s">
        <v>415</v>
      </c>
      <c r="F34" t="s">
        <v>434</v>
      </c>
      <c r="G34" t="s">
        <v>435</v>
      </c>
      <c r="H34" t="s">
        <v>84</v>
      </c>
      <c r="I34" t="s">
        <v>436</v>
      </c>
      <c r="J34" t="s">
        <v>419</v>
      </c>
      <c r="K34">
        <v>-12448.44358107</v>
      </c>
      <c r="L34" t="s">
        <v>85</v>
      </c>
      <c r="M34" t="s">
        <v>425</v>
      </c>
      <c r="N34">
        <v>2.6170694898000001E-3</v>
      </c>
      <c r="O34">
        <v>32.578442000000003</v>
      </c>
      <c r="P34" t="s">
        <v>421</v>
      </c>
      <c r="Q34">
        <v>1</v>
      </c>
      <c r="V34">
        <v>1</v>
      </c>
      <c r="W34">
        <v>1</v>
      </c>
      <c r="X34">
        <v>1</v>
      </c>
      <c r="Y34">
        <v>1</v>
      </c>
      <c r="Z34">
        <v>32.578442000000003</v>
      </c>
    </row>
    <row r="35" spans="1:26" x14ac:dyDescent="0.25">
      <c r="A35">
        <v>34</v>
      </c>
      <c r="B35" t="s">
        <v>119</v>
      </c>
      <c r="C35">
        <v>2018</v>
      </c>
      <c r="D35">
        <v>1</v>
      </c>
      <c r="E35" t="s">
        <v>415</v>
      </c>
      <c r="F35" t="s">
        <v>434</v>
      </c>
      <c r="G35" t="s">
        <v>435</v>
      </c>
      <c r="H35" t="s">
        <v>84</v>
      </c>
      <c r="I35" t="s">
        <v>437</v>
      </c>
      <c r="J35" t="s">
        <v>87</v>
      </c>
      <c r="K35">
        <v>-3627.0370254700001</v>
      </c>
      <c r="L35" t="s">
        <v>427</v>
      </c>
      <c r="M35" t="s">
        <v>420</v>
      </c>
      <c r="N35">
        <v>0.45523813654234002</v>
      </c>
      <c r="O35">
        <v>1651.165577</v>
      </c>
      <c r="P35" t="s">
        <v>421</v>
      </c>
      <c r="Q35">
        <v>1</v>
      </c>
      <c r="V35">
        <v>1</v>
      </c>
      <c r="W35">
        <v>1</v>
      </c>
      <c r="X35">
        <v>1</v>
      </c>
      <c r="Y35">
        <v>1</v>
      </c>
      <c r="Z35">
        <v>1651.165577</v>
      </c>
    </row>
    <row r="36" spans="1:26" x14ac:dyDescent="0.25">
      <c r="A36">
        <v>35</v>
      </c>
      <c r="B36" t="s">
        <v>119</v>
      </c>
      <c r="C36">
        <v>2018</v>
      </c>
      <c r="D36">
        <v>1</v>
      </c>
      <c r="E36" t="s">
        <v>415</v>
      </c>
      <c r="F36" t="s">
        <v>434</v>
      </c>
      <c r="G36" t="s">
        <v>435</v>
      </c>
      <c r="H36" t="s">
        <v>84</v>
      </c>
      <c r="I36" t="s">
        <v>437</v>
      </c>
      <c r="J36" t="s">
        <v>87</v>
      </c>
      <c r="K36">
        <v>-3627.0370254700001</v>
      </c>
      <c r="L36" t="s">
        <v>427</v>
      </c>
      <c r="M36" t="s">
        <v>422</v>
      </c>
      <c r="N36">
        <v>6.8896616392329996E-2</v>
      </c>
      <c r="O36">
        <v>249.890579</v>
      </c>
      <c r="P36" t="s">
        <v>421</v>
      </c>
      <c r="Q36">
        <v>1</v>
      </c>
      <c r="V36">
        <v>1</v>
      </c>
      <c r="W36">
        <v>1</v>
      </c>
      <c r="X36">
        <v>1</v>
      </c>
      <c r="Y36">
        <v>1</v>
      </c>
      <c r="Z36">
        <v>249.890579</v>
      </c>
    </row>
    <row r="37" spans="1:26" x14ac:dyDescent="0.25">
      <c r="A37">
        <v>36</v>
      </c>
      <c r="B37" t="s">
        <v>119</v>
      </c>
      <c r="C37">
        <v>2018</v>
      </c>
      <c r="D37">
        <v>1</v>
      </c>
      <c r="E37" t="s">
        <v>415</v>
      </c>
      <c r="F37" t="s">
        <v>434</v>
      </c>
      <c r="G37" t="s">
        <v>435</v>
      </c>
      <c r="H37" t="s">
        <v>84</v>
      </c>
      <c r="I37" t="s">
        <v>437</v>
      </c>
      <c r="J37" t="s">
        <v>87</v>
      </c>
      <c r="K37">
        <v>-3627.0370254700001</v>
      </c>
      <c r="L37" t="s">
        <v>427</v>
      </c>
      <c r="M37" t="s">
        <v>423</v>
      </c>
      <c r="N37">
        <v>0.70986919705586005</v>
      </c>
      <c r="O37">
        <v>2574.721861</v>
      </c>
      <c r="P37" t="s">
        <v>421</v>
      </c>
      <c r="Q37">
        <v>1</v>
      </c>
      <c r="V37">
        <v>1</v>
      </c>
      <c r="W37">
        <v>1</v>
      </c>
      <c r="X37">
        <v>1</v>
      </c>
      <c r="Y37">
        <v>1</v>
      </c>
      <c r="Z37">
        <v>2574.721861</v>
      </c>
    </row>
    <row r="38" spans="1:26" x14ac:dyDescent="0.25">
      <c r="A38">
        <v>37</v>
      </c>
      <c r="B38" t="s">
        <v>119</v>
      </c>
      <c r="C38">
        <v>2018</v>
      </c>
      <c r="D38">
        <v>1</v>
      </c>
      <c r="E38" t="s">
        <v>415</v>
      </c>
      <c r="F38" t="s">
        <v>434</v>
      </c>
      <c r="G38" t="s">
        <v>435</v>
      </c>
      <c r="H38" t="s">
        <v>84</v>
      </c>
      <c r="I38" t="s">
        <v>437</v>
      </c>
      <c r="J38" t="s">
        <v>87</v>
      </c>
      <c r="K38">
        <v>-3627.0370254700001</v>
      </c>
      <c r="L38" t="s">
        <v>427</v>
      </c>
      <c r="M38" t="s">
        <v>425</v>
      </c>
      <c r="N38">
        <v>1.4965642882E-3</v>
      </c>
      <c r="O38">
        <v>5.4280939999999998</v>
      </c>
      <c r="P38" t="s">
        <v>421</v>
      </c>
      <c r="Q38">
        <v>1</v>
      </c>
      <c r="V38">
        <v>1</v>
      </c>
      <c r="W38">
        <v>1</v>
      </c>
      <c r="X38">
        <v>1</v>
      </c>
      <c r="Y38">
        <v>1</v>
      </c>
      <c r="Z38">
        <v>5.4280939999999998</v>
      </c>
    </row>
    <row r="39" spans="1:26" x14ac:dyDescent="0.25">
      <c r="A39">
        <v>38</v>
      </c>
      <c r="B39" t="s">
        <v>119</v>
      </c>
      <c r="C39">
        <v>2018</v>
      </c>
      <c r="D39">
        <v>1</v>
      </c>
      <c r="E39" t="s">
        <v>415</v>
      </c>
      <c r="F39" t="s">
        <v>434</v>
      </c>
      <c r="G39" t="s">
        <v>435</v>
      </c>
      <c r="H39" t="s">
        <v>84</v>
      </c>
      <c r="I39" t="s">
        <v>438</v>
      </c>
      <c r="J39" t="s">
        <v>59</v>
      </c>
      <c r="K39">
        <v>-4516.00199514</v>
      </c>
      <c r="L39" t="s">
        <v>89</v>
      </c>
      <c r="M39" t="s">
        <v>420</v>
      </c>
      <c r="N39">
        <v>0.26343870574139999</v>
      </c>
      <c r="O39">
        <v>1189.689721</v>
      </c>
      <c r="P39" t="s">
        <v>421</v>
      </c>
      <c r="Q39">
        <v>1</v>
      </c>
      <c r="V39">
        <v>1</v>
      </c>
      <c r="W39">
        <v>1</v>
      </c>
      <c r="X39">
        <v>1</v>
      </c>
      <c r="Y39">
        <v>1</v>
      </c>
      <c r="Z39">
        <v>1189.689721</v>
      </c>
    </row>
    <row r="40" spans="1:26" x14ac:dyDescent="0.25">
      <c r="A40">
        <v>39</v>
      </c>
      <c r="B40" t="s">
        <v>119</v>
      </c>
      <c r="C40">
        <v>2018</v>
      </c>
      <c r="D40">
        <v>1</v>
      </c>
      <c r="E40" t="s">
        <v>415</v>
      </c>
      <c r="F40" t="s">
        <v>434</v>
      </c>
      <c r="G40" t="s">
        <v>435</v>
      </c>
      <c r="H40" t="s">
        <v>84</v>
      </c>
      <c r="I40" t="s">
        <v>438</v>
      </c>
      <c r="J40" t="s">
        <v>59</v>
      </c>
      <c r="K40">
        <v>-4516.00199514</v>
      </c>
      <c r="L40" t="s">
        <v>89</v>
      </c>
      <c r="M40" t="s">
        <v>422</v>
      </c>
      <c r="N40">
        <v>7.1262429683470005E-2</v>
      </c>
      <c r="O40">
        <v>321.82127500000001</v>
      </c>
      <c r="P40" t="s">
        <v>421</v>
      </c>
      <c r="Q40">
        <v>1</v>
      </c>
      <c r="V40">
        <v>1</v>
      </c>
      <c r="W40">
        <v>1</v>
      </c>
      <c r="X40">
        <v>1</v>
      </c>
      <c r="Y40">
        <v>1</v>
      </c>
      <c r="Z40">
        <v>321.82127500000001</v>
      </c>
    </row>
    <row r="41" spans="1:26" x14ac:dyDescent="0.25">
      <c r="A41">
        <v>40</v>
      </c>
      <c r="B41" t="s">
        <v>119</v>
      </c>
      <c r="C41">
        <v>2018</v>
      </c>
      <c r="D41">
        <v>1</v>
      </c>
      <c r="E41" t="s">
        <v>415</v>
      </c>
      <c r="F41" t="s">
        <v>434</v>
      </c>
      <c r="G41" t="s">
        <v>435</v>
      </c>
      <c r="H41" t="s">
        <v>84</v>
      </c>
      <c r="I41" t="s">
        <v>438</v>
      </c>
      <c r="J41" t="s">
        <v>59</v>
      </c>
      <c r="K41">
        <v>-4516.00199514</v>
      </c>
      <c r="L41" t="s">
        <v>89</v>
      </c>
      <c r="M41" t="s">
        <v>423</v>
      </c>
      <c r="N41">
        <v>0.74738783869542003</v>
      </c>
      <c r="O41">
        <v>3375.2049710000001</v>
      </c>
      <c r="P41" t="s">
        <v>421</v>
      </c>
      <c r="Q41">
        <v>1</v>
      </c>
      <c r="V41">
        <v>1</v>
      </c>
      <c r="W41">
        <v>1</v>
      </c>
      <c r="X41">
        <v>1</v>
      </c>
      <c r="Y41">
        <v>1</v>
      </c>
      <c r="Z41">
        <v>3375.2049710000001</v>
      </c>
    </row>
    <row r="42" spans="1:26" x14ac:dyDescent="0.25">
      <c r="A42">
        <v>41</v>
      </c>
      <c r="B42" t="s">
        <v>119</v>
      </c>
      <c r="C42">
        <v>2018</v>
      </c>
      <c r="D42">
        <v>1</v>
      </c>
      <c r="E42" t="s">
        <v>415</v>
      </c>
      <c r="F42" t="s">
        <v>434</v>
      </c>
      <c r="G42" t="s">
        <v>435</v>
      </c>
      <c r="H42" t="s">
        <v>84</v>
      </c>
      <c r="I42" t="s">
        <v>438</v>
      </c>
      <c r="J42" t="s">
        <v>59</v>
      </c>
      <c r="K42">
        <v>-4516.00199514</v>
      </c>
      <c r="L42" t="s">
        <v>89</v>
      </c>
      <c r="M42" t="s">
        <v>424</v>
      </c>
      <c r="N42">
        <v>3.08071516317E-3</v>
      </c>
      <c r="O42">
        <v>13.912516</v>
      </c>
      <c r="P42" t="s">
        <v>421</v>
      </c>
      <c r="Q42">
        <v>1</v>
      </c>
      <c r="V42">
        <v>1</v>
      </c>
      <c r="W42">
        <v>1</v>
      </c>
      <c r="X42">
        <v>1</v>
      </c>
      <c r="Y42">
        <v>1</v>
      </c>
      <c r="Z42">
        <v>13.912516</v>
      </c>
    </row>
    <row r="43" spans="1:26" x14ac:dyDescent="0.25">
      <c r="A43">
        <v>42</v>
      </c>
      <c r="B43" t="s">
        <v>119</v>
      </c>
      <c r="C43">
        <v>2018</v>
      </c>
      <c r="D43">
        <v>1</v>
      </c>
      <c r="E43" t="s">
        <v>415</v>
      </c>
      <c r="F43" t="s">
        <v>434</v>
      </c>
      <c r="G43" t="s">
        <v>435</v>
      </c>
      <c r="H43" t="s">
        <v>84</v>
      </c>
      <c r="I43" t="s">
        <v>438</v>
      </c>
      <c r="J43" t="s">
        <v>59</v>
      </c>
      <c r="K43">
        <v>-4516.00199514</v>
      </c>
      <c r="L43" t="s">
        <v>89</v>
      </c>
      <c r="M43" t="s">
        <v>425</v>
      </c>
      <c r="N43">
        <v>2.5360775708E-3</v>
      </c>
      <c r="O43">
        <v>11.452931</v>
      </c>
      <c r="P43" t="s">
        <v>421</v>
      </c>
      <c r="Q43">
        <v>1</v>
      </c>
      <c r="V43">
        <v>1</v>
      </c>
      <c r="W43">
        <v>1</v>
      </c>
      <c r="X43">
        <v>1</v>
      </c>
      <c r="Y43">
        <v>1</v>
      </c>
      <c r="Z43">
        <v>11.452931</v>
      </c>
    </row>
    <row r="44" spans="1:26" x14ac:dyDescent="0.25">
      <c r="A44">
        <v>50287</v>
      </c>
      <c r="B44" t="s">
        <v>145</v>
      </c>
      <c r="C44">
        <v>2019</v>
      </c>
      <c r="D44">
        <v>1</v>
      </c>
      <c r="E44" t="s">
        <v>415</v>
      </c>
      <c r="F44" t="s">
        <v>416</v>
      </c>
      <c r="G44" t="s">
        <v>417</v>
      </c>
      <c r="H44" t="s">
        <v>84</v>
      </c>
      <c r="I44" t="s">
        <v>418</v>
      </c>
      <c r="J44" t="s">
        <v>419</v>
      </c>
      <c r="K44">
        <v>-33103.550592189997</v>
      </c>
      <c r="L44" t="s">
        <v>85</v>
      </c>
      <c r="M44" t="s">
        <v>420</v>
      </c>
      <c r="N44">
        <v>0.24824931095561001</v>
      </c>
      <c r="O44">
        <v>8217.9336249999997</v>
      </c>
      <c r="P44" t="s">
        <v>421</v>
      </c>
      <c r="Q44">
        <v>1</v>
      </c>
      <c r="V44">
        <v>1</v>
      </c>
      <c r="W44">
        <v>1</v>
      </c>
      <c r="X44">
        <v>1</v>
      </c>
      <c r="Y44">
        <v>1</v>
      </c>
      <c r="Z44">
        <v>8217.9336249999997</v>
      </c>
    </row>
    <row r="45" spans="1:26" x14ac:dyDescent="0.25">
      <c r="A45">
        <v>50288</v>
      </c>
      <c r="B45" t="s">
        <v>145</v>
      </c>
      <c r="C45">
        <v>2019</v>
      </c>
      <c r="D45">
        <v>1</v>
      </c>
      <c r="E45" t="s">
        <v>415</v>
      </c>
      <c r="F45" t="s">
        <v>416</v>
      </c>
      <c r="G45" t="s">
        <v>417</v>
      </c>
      <c r="H45" t="s">
        <v>84</v>
      </c>
      <c r="I45" t="s">
        <v>418</v>
      </c>
      <c r="J45" t="s">
        <v>419</v>
      </c>
      <c r="K45">
        <v>-33103.550592189997</v>
      </c>
      <c r="L45" t="s">
        <v>85</v>
      </c>
      <c r="M45" t="s">
        <v>422</v>
      </c>
      <c r="N45">
        <v>7.7540047892240005E-2</v>
      </c>
      <c r="O45">
        <v>2566.8508980000001</v>
      </c>
      <c r="P45" t="s">
        <v>421</v>
      </c>
      <c r="Q45">
        <v>1</v>
      </c>
      <c r="V45">
        <v>1</v>
      </c>
      <c r="W45">
        <v>1</v>
      </c>
      <c r="X45">
        <v>1</v>
      </c>
      <c r="Y45">
        <v>1</v>
      </c>
      <c r="Z45">
        <v>2566.8508980000001</v>
      </c>
    </row>
    <row r="46" spans="1:26" x14ac:dyDescent="0.25">
      <c r="A46">
        <v>50289</v>
      </c>
      <c r="B46" t="s">
        <v>145</v>
      </c>
      <c r="C46">
        <v>2019</v>
      </c>
      <c r="D46">
        <v>1</v>
      </c>
      <c r="E46" t="s">
        <v>415</v>
      </c>
      <c r="F46" t="s">
        <v>416</v>
      </c>
      <c r="G46" t="s">
        <v>417</v>
      </c>
      <c r="H46" t="s">
        <v>84</v>
      </c>
      <c r="I46" t="s">
        <v>418</v>
      </c>
      <c r="J46" t="s">
        <v>419</v>
      </c>
      <c r="K46">
        <v>-33103.550592189997</v>
      </c>
      <c r="L46" t="s">
        <v>85</v>
      </c>
      <c r="M46" t="s">
        <v>423</v>
      </c>
      <c r="N46">
        <v>0.73979703899049998</v>
      </c>
      <c r="O46">
        <v>24489.908707999999</v>
      </c>
      <c r="P46" t="s">
        <v>421</v>
      </c>
      <c r="Q46">
        <v>1</v>
      </c>
      <c r="V46">
        <v>1</v>
      </c>
      <c r="W46">
        <v>1</v>
      </c>
      <c r="X46">
        <v>1</v>
      </c>
      <c r="Y46">
        <v>1</v>
      </c>
      <c r="Z46">
        <v>24489.908707999999</v>
      </c>
    </row>
    <row r="47" spans="1:26" x14ac:dyDescent="0.25">
      <c r="A47">
        <v>50290</v>
      </c>
      <c r="B47" t="s">
        <v>145</v>
      </c>
      <c r="C47">
        <v>2019</v>
      </c>
      <c r="D47">
        <v>1</v>
      </c>
      <c r="E47" t="s">
        <v>415</v>
      </c>
      <c r="F47" t="s">
        <v>416</v>
      </c>
      <c r="G47" t="s">
        <v>417</v>
      </c>
      <c r="H47" t="s">
        <v>84</v>
      </c>
      <c r="I47" t="s">
        <v>418</v>
      </c>
      <c r="J47" t="s">
        <v>419</v>
      </c>
      <c r="K47">
        <v>-33103.550592189997</v>
      </c>
      <c r="L47" t="s">
        <v>85</v>
      </c>
      <c r="M47" t="s">
        <v>424</v>
      </c>
      <c r="N47">
        <v>2.9085775596699999E-3</v>
      </c>
      <c r="O47">
        <v>96.284244000000001</v>
      </c>
      <c r="P47" t="s">
        <v>421</v>
      </c>
      <c r="Q47">
        <v>1</v>
      </c>
      <c r="V47">
        <v>1</v>
      </c>
      <c r="W47">
        <v>1</v>
      </c>
      <c r="X47">
        <v>1</v>
      </c>
      <c r="Y47">
        <v>1</v>
      </c>
      <c r="Z47">
        <v>96.284244000000001</v>
      </c>
    </row>
    <row r="48" spans="1:26" x14ac:dyDescent="0.25">
      <c r="A48">
        <v>50291</v>
      </c>
      <c r="B48" t="s">
        <v>145</v>
      </c>
      <c r="C48">
        <v>2019</v>
      </c>
      <c r="D48">
        <v>1</v>
      </c>
      <c r="E48" t="s">
        <v>415</v>
      </c>
      <c r="F48" t="s">
        <v>416</v>
      </c>
      <c r="G48" t="s">
        <v>417</v>
      </c>
      <c r="H48" t="s">
        <v>84</v>
      </c>
      <c r="I48" t="s">
        <v>418</v>
      </c>
      <c r="J48" t="s">
        <v>419</v>
      </c>
      <c r="K48">
        <v>-33103.550592189997</v>
      </c>
      <c r="L48" t="s">
        <v>85</v>
      </c>
      <c r="M48" t="s">
        <v>425</v>
      </c>
      <c r="N48">
        <v>2.6170694898000001E-3</v>
      </c>
      <c r="O48">
        <v>86.634292000000002</v>
      </c>
      <c r="P48" t="s">
        <v>421</v>
      </c>
      <c r="Q48">
        <v>1</v>
      </c>
      <c r="V48">
        <v>1</v>
      </c>
      <c r="W48">
        <v>1</v>
      </c>
      <c r="X48">
        <v>1</v>
      </c>
      <c r="Y48">
        <v>1</v>
      </c>
      <c r="Z48">
        <v>86.634292000000002</v>
      </c>
    </row>
    <row r="49" spans="1:26" x14ac:dyDescent="0.25">
      <c r="A49">
        <v>50292</v>
      </c>
      <c r="B49" t="s">
        <v>145</v>
      </c>
      <c r="C49">
        <v>2019</v>
      </c>
      <c r="D49">
        <v>1</v>
      </c>
      <c r="E49" t="s">
        <v>415</v>
      </c>
      <c r="F49" t="s">
        <v>416</v>
      </c>
      <c r="G49" t="s">
        <v>417</v>
      </c>
      <c r="H49" t="s">
        <v>84</v>
      </c>
      <c r="I49" t="s">
        <v>426</v>
      </c>
      <c r="J49" t="s">
        <v>87</v>
      </c>
      <c r="K49">
        <v>-7508.0989411</v>
      </c>
      <c r="L49" t="s">
        <v>427</v>
      </c>
      <c r="M49" t="s">
        <v>420</v>
      </c>
      <c r="N49">
        <v>0.45523813654234002</v>
      </c>
      <c r="O49">
        <v>3417.9729710000001</v>
      </c>
      <c r="P49" t="s">
        <v>421</v>
      </c>
      <c r="Q49">
        <v>1</v>
      </c>
      <c r="V49">
        <v>1</v>
      </c>
      <c r="W49">
        <v>1</v>
      </c>
      <c r="X49">
        <v>1</v>
      </c>
      <c r="Y49">
        <v>1</v>
      </c>
      <c r="Z49">
        <v>3417.9729710000001</v>
      </c>
    </row>
    <row r="50" spans="1:26" x14ac:dyDescent="0.25">
      <c r="A50">
        <v>50293</v>
      </c>
      <c r="B50" t="s">
        <v>145</v>
      </c>
      <c r="C50">
        <v>2019</v>
      </c>
      <c r="D50">
        <v>1</v>
      </c>
      <c r="E50" t="s">
        <v>415</v>
      </c>
      <c r="F50" t="s">
        <v>416</v>
      </c>
      <c r="G50" t="s">
        <v>417</v>
      </c>
      <c r="H50" t="s">
        <v>84</v>
      </c>
      <c r="I50" t="s">
        <v>426</v>
      </c>
      <c r="J50" t="s">
        <v>87</v>
      </c>
      <c r="K50">
        <v>-7508.0989411</v>
      </c>
      <c r="L50" t="s">
        <v>427</v>
      </c>
      <c r="M50" t="s">
        <v>422</v>
      </c>
      <c r="N50">
        <v>6.8896616392329996E-2</v>
      </c>
      <c r="O50">
        <v>517.28261299999997</v>
      </c>
      <c r="P50" t="s">
        <v>421</v>
      </c>
      <c r="Q50">
        <v>1</v>
      </c>
      <c r="V50">
        <v>1</v>
      </c>
      <c r="W50">
        <v>1</v>
      </c>
      <c r="X50">
        <v>1</v>
      </c>
      <c r="Y50">
        <v>1</v>
      </c>
      <c r="Z50">
        <v>517.28261299999997</v>
      </c>
    </row>
    <row r="51" spans="1:26" x14ac:dyDescent="0.25">
      <c r="A51">
        <v>50294</v>
      </c>
      <c r="B51" t="s">
        <v>145</v>
      </c>
      <c r="C51">
        <v>2019</v>
      </c>
      <c r="D51">
        <v>1</v>
      </c>
      <c r="E51" t="s">
        <v>415</v>
      </c>
      <c r="F51" t="s">
        <v>416</v>
      </c>
      <c r="G51" t="s">
        <v>417</v>
      </c>
      <c r="H51" t="s">
        <v>84</v>
      </c>
      <c r="I51" t="s">
        <v>426</v>
      </c>
      <c r="J51" t="s">
        <v>87</v>
      </c>
      <c r="K51">
        <v>-7508.0989411</v>
      </c>
      <c r="L51" t="s">
        <v>427</v>
      </c>
      <c r="M51" t="s">
        <v>423</v>
      </c>
      <c r="N51">
        <v>0.70986919705586005</v>
      </c>
      <c r="O51">
        <v>5329.7681670000002</v>
      </c>
      <c r="P51" t="s">
        <v>421</v>
      </c>
      <c r="Q51">
        <v>1</v>
      </c>
      <c r="V51">
        <v>1</v>
      </c>
      <c r="W51">
        <v>1</v>
      </c>
      <c r="X51">
        <v>1</v>
      </c>
      <c r="Y51">
        <v>1</v>
      </c>
      <c r="Z51">
        <v>5329.7681670000002</v>
      </c>
    </row>
    <row r="52" spans="1:26" x14ac:dyDescent="0.25">
      <c r="A52">
        <v>50295</v>
      </c>
      <c r="B52" t="s">
        <v>145</v>
      </c>
      <c r="C52">
        <v>2019</v>
      </c>
      <c r="D52">
        <v>1</v>
      </c>
      <c r="E52" t="s">
        <v>415</v>
      </c>
      <c r="F52" t="s">
        <v>416</v>
      </c>
      <c r="G52" t="s">
        <v>417</v>
      </c>
      <c r="H52" t="s">
        <v>84</v>
      </c>
      <c r="I52" t="s">
        <v>426</v>
      </c>
      <c r="J52" t="s">
        <v>87</v>
      </c>
      <c r="K52">
        <v>-7508.0989411</v>
      </c>
      <c r="L52" t="s">
        <v>427</v>
      </c>
      <c r="M52" t="s">
        <v>425</v>
      </c>
      <c r="N52">
        <v>1.4965642882E-3</v>
      </c>
      <c r="O52">
        <v>11.236352999999999</v>
      </c>
      <c r="P52" t="s">
        <v>421</v>
      </c>
      <c r="Q52">
        <v>1</v>
      </c>
      <c r="V52">
        <v>1</v>
      </c>
      <c r="W52">
        <v>1</v>
      </c>
      <c r="X52">
        <v>1</v>
      </c>
      <c r="Y52">
        <v>1</v>
      </c>
      <c r="Z52">
        <v>11.236352999999999</v>
      </c>
    </row>
    <row r="53" spans="1:26" x14ac:dyDescent="0.25">
      <c r="A53">
        <v>50296</v>
      </c>
      <c r="B53" t="s">
        <v>145</v>
      </c>
      <c r="C53">
        <v>2019</v>
      </c>
      <c r="D53">
        <v>1</v>
      </c>
      <c r="E53" t="s">
        <v>415</v>
      </c>
      <c r="F53" t="s">
        <v>416</v>
      </c>
      <c r="G53" t="s">
        <v>417</v>
      </c>
      <c r="H53" t="s">
        <v>84</v>
      </c>
      <c r="I53" t="s">
        <v>428</v>
      </c>
      <c r="J53" t="s">
        <v>59</v>
      </c>
      <c r="K53">
        <v>-15805.738638340001</v>
      </c>
      <c r="L53" t="s">
        <v>89</v>
      </c>
      <c r="M53" t="s">
        <v>420</v>
      </c>
      <c r="N53">
        <v>0.26343870574139999</v>
      </c>
      <c r="O53">
        <v>4163.8433299999997</v>
      </c>
      <c r="P53" t="s">
        <v>421</v>
      </c>
      <c r="Q53">
        <v>1</v>
      </c>
      <c r="V53">
        <v>1</v>
      </c>
      <c r="W53">
        <v>1</v>
      </c>
      <c r="X53">
        <v>1</v>
      </c>
      <c r="Y53">
        <v>1</v>
      </c>
      <c r="Z53">
        <v>4163.8433299999997</v>
      </c>
    </row>
    <row r="54" spans="1:26" x14ac:dyDescent="0.25">
      <c r="A54">
        <v>50297</v>
      </c>
      <c r="B54" t="s">
        <v>145</v>
      </c>
      <c r="C54">
        <v>2019</v>
      </c>
      <c r="D54">
        <v>1</v>
      </c>
      <c r="E54" t="s">
        <v>415</v>
      </c>
      <c r="F54" t="s">
        <v>416</v>
      </c>
      <c r="G54" t="s">
        <v>417</v>
      </c>
      <c r="H54" t="s">
        <v>84</v>
      </c>
      <c r="I54" t="s">
        <v>428</v>
      </c>
      <c r="J54" t="s">
        <v>59</v>
      </c>
      <c r="K54">
        <v>-15805.738638340001</v>
      </c>
      <c r="L54" t="s">
        <v>89</v>
      </c>
      <c r="M54" t="s">
        <v>422</v>
      </c>
      <c r="N54">
        <v>7.1262429683470005E-2</v>
      </c>
      <c r="O54">
        <v>1126.3553380000001</v>
      </c>
      <c r="P54" t="s">
        <v>421</v>
      </c>
      <c r="Q54">
        <v>1</v>
      </c>
      <c r="V54">
        <v>1</v>
      </c>
      <c r="W54">
        <v>1</v>
      </c>
      <c r="X54">
        <v>1</v>
      </c>
      <c r="Y54">
        <v>1</v>
      </c>
      <c r="Z54">
        <v>1126.3553380000001</v>
      </c>
    </row>
    <row r="55" spans="1:26" x14ac:dyDescent="0.25">
      <c r="A55">
        <v>50298</v>
      </c>
      <c r="B55" t="s">
        <v>145</v>
      </c>
      <c r="C55">
        <v>2019</v>
      </c>
      <c r="D55">
        <v>1</v>
      </c>
      <c r="E55" t="s">
        <v>415</v>
      </c>
      <c r="F55" t="s">
        <v>416</v>
      </c>
      <c r="G55" t="s">
        <v>417</v>
      </c>
      <c r="H55" t="s">
        <v>84</v>
      </c>
      <c r="I55" t="s">
        <v>428</v>
      </c>
      <c r="J55" t="s">
        <v>59</v>
      </c>
      <c r="K55">
        <v>-15805.738638340001</v>
      </c>
      <c r="L55" t="s">
        <v>89</v>
      </c>
      <c r="M55" t="s">
        <v>423</v>
      </c>
      <c r="N55">
        <v>0.74738783869542003</v>
      </c>
      <c r="O55">
        <v>11813.01684</v>
      </c>
      <c r="P55" t="s">
        <v>421</v>
      </c>
      <c r="Q55">
        <v>1</v>
      </c>
      <c r="V55">
        <v>1</v>
      </c>
      <c r="W55">
        <v>1</v>
      </c>
      <c r="X55">
        <v>1</v>
      </c>
      <c r="Y55">
        <v>1</v>
      </c>
      <c r="Z55">
        <v>11813.01684</v>
      </c>
    </row>
    <row r="56" spans="1:26" x14ac:dyDescent="0.25">
      <c r="A56">
        <v>50299</v>
      </c>
      <c r="B56" t="s">
        <v>145</v>
      </c>
      <c r="C56">
        <v>2019</v>
      </c>
      <c r="D56">
        <v>1</v>
      </c>
      <c r="E56" t="s">
        <v>415</v>
      </c>
      <c r="F56" t="s">
        <v>416</v>
      </c>
      <c r="G56" t="s">
        <v>417</v>
      </c>
      <c r="H56" t="s">
        <v>84</v>
      </c>
      <c r="I56" t="s">
        <v>428</v>
      </c>
      <c r="J56" t="s">
        <v>59</v>
      </c>
      <c r="K56">
        <v>-15805.738638340001</v>
      </c>
      <c r="L56" t="s">
        <v>89</v>
      </c>
      <c r="M56" t="s">
        <v>424</v>
      </c>
      <c r="N56">
        <v>3.08071516317E-3</v>
      </c>
      <c r="O56">
        <v>48.692979000000001</v>
      </c>
      <c r="P56" t="s">
        <v>421</v>
      </c>
      <c r="Q56">
        <v>1</v>
      </c>
      <c r="V56">
        <v>1</v>
      </c>
      <c r="W56">
        <v>1</v>
      </c>
      <c r="X56">
        <v>1</v>
      </c>
      <c r="Y56">
        <v>1</v>
      </c>
      <c r="Z56">
        <v>48.692979000000001</v>
      </c>
    </row>
    <row r="57" spans="1:26" x14ac:dyDescent="0.25">
      <c r="A57">
        <v>50300</v>
      </c>
      <c r="B57" t="s">
        <v>145</v>
      </c>
      <c r="C57">
        <v>2019</v>
      </c>
      <c r="D57">
        <v>1</v>
      </c>
      <c r="E57" t="s">
        <v>415</v>
      </c>
      <c r="F57" t="s">
        <v>416</v>
      </c>
      <c r="G57" t="s">
        <v>417</v>
      </c>
      <c r="H57" t="s">
        <v>84</v>
      </c>
      <c r="I57" t="s">
        <v>428</v>
      </c>
      <c r="J57" t="s">
        <v>59</v>
      </c>
      <c r="K57">
        <v>-15805.738638340001</v>
      </c>
      <c r="L57" t="s">
        <v>89</v>
      </c>
      <c r="M57" t="s">
        <v>425</v>
      </c>
      <c r="N57">
        <v>2.5360775708E-3</v>
      </c>
      <c r="O57">
        <v>40.084578999999998</v>
      </c>
      <c r="P57" t="s">
        <v>421</v>
      </c>
      <c r="Q57">
        <v>1</v>
      </c>
      <c r="V57">
        <v>1</v>
      </c>
      <c r="W57">
        <v>1</v>
      </c>
      <c r="X57">
        <v>1</v>
      </c>
      <c r="Y57">
        <v>1</v>
      </c>
      <c r="Z57">
        <v>40.084578999999998</v>
      </c>
    </row>
    <row r="58" spans="1:26" x14ac:dyDescent="0.25">
      <c r="A58">
        <v>50301</v>
      </c>
      <c r="B58" t="s">
        <v>145</v>
      </c>
      <c r="C58">
        <v>2019</v>
      </c>
      <c r="D58">
        <v>1</v>
      </c>
      <c r="E58" t="s">
        <v>415</v>
      </c>
      <c r="F58" t="s">
        <v>429</v>
      </c>
      <c r="G58" t="s">
        <v>430</v>
      </c>
      <c r="H58" t="s">
        <v>84</v>
      </c>
      <c r="I58" t="s">
        <v>431</v>
      </c>
      <c r="J58" t="s">
        <v>419</v>
      </c>
      <c r="K58">
        <v>-46465.814649150001</v>
      </c>
      <c r="L58" t="s">
        <v>85</v>
      </c>
      <c r="M58" t="s">
        <v>420</v>
      </c>
      <c r="N58">
        <v>0.24824931095561001</v>
      </c>
      <c r="O58">
        <v>11535.106470000001</v>
      </c>
      <c r="P58" t="s">
        <v>421</v>
      </c>
      <c r="Q58">
        <v>1</v>
      </c>
      <c r="V58">
        <v>1</v>
      </c>
      <c r="W58">
        <v>1</v>
      </c>
      <c r="X58">
        <v>1</v>
      </c>
      <c r="Y58">
        <v>1</v>
      </c>
      <c r="Z58">
        <v>11535.106470000001</v>
      </c>
    </row>
    <row r="59" spans="1:26" x14ac:dyDescent="0.25">
      <c r="A59">
        <v>50302</v>
      </c>
      <c r="B59" t="s">
        <v>145</v>
      </c>
      <c r="C59">
        <v>2019</v>
      </c>
      <c r="D59">
        <v>1</v>
      </c>
      <c r="E59" t="s">
        <v>415</v>
      </c>
      <c r="F59" t="s">
        <v>429</v>
      </c>
      <c r="G59" t="s">
        <v>430</v>
      </c>
      <c r="H59" t="s">
        <v>84</v>
      </c>
      <c r="I59" t="s">
        <v>431</v>
      </c>
      <c r="J59" t="s">
        <v>419</v>
      </c>
      <c r="K59">
        <v>-46465.814649150001</v>
      </c>
      <c r="L59" t="s">
        <v>85</v>
      </c>
      <c r="M59" t="s">
        <v>422</v>
      </c>
      <c r="N59">
        <v>7.7540047892240005E-2</v>
      </c>
      <c r="O59">
        <v>3602.9614929999998</v>
      </c>
      <c r="P59" t="s">
        <v>421</v>
      </c>
      <c r="Q59">
        <v>1</v>
      </c>
      <c r="V59">
        <v>1</v>
      </c>
      <c r="W59">
        <v>1</v>
      </c>
      <c r="X59">
        <v>1</v>
      </c>
      <c r="Y59">
        <v>1</v>
      </c>
      <c r="Z59">
        <v>3602.9614929999998</v>
      </c>
    </row>
    <row r="60" spans="1:26" x14ac:dyDescent="0.25">
      <c r="A60">
        <v>50303</v>
      </c>
      <c r="B60" t="s">
        <v>145</v>
      </c>
      <c r="C60">
        <v>2019</v>
      </c>
      <c r="D60">
        <v>1</v>
      </c>
      <c r="E60" t="s">
        <v>415</v>
      </c>
      <c r="F60" t="s">
        <v>429</v>
      </c>
      <c r="G60" t="s">
        <v>430</v>
      </c>
      <c r="H60" t="s">
        <v>84</v>
      </c>
      <c r="I60" t="s">
        <v>431</v>
      </c>
      <c r="J60" t="s">
        <v>419</v>
      </c>
      <c r="K60">
        <v>-46465.814649150001</v>
      </c>
      <c r="L60" t="s">
        <v>85</v>
      </c>
      <c r="M60" t="s">
        <v>423</v>
      </c>
      <c r="N60">
        <v>0.73979703899049998</v>
      </c>
      <c r="O60">
        <v>34375.272091999999</v>
      </c>
      <c r="P60" t="s">
        <v>421</v>
      </c>
      <c r="Q60">
        <v>1</v>
      </c>
      <c r="V60">
        <v>1</v>
      </c>
      <c r="W60">
        <v>1</v>
      </c>
      <c r="X60">
        <v>1</v>
      </c>
      <c r="Y60">
        <v>1</v>
      </c>
      <c r="Z60">
        <v>34375.272091999999</v>
      </c>
    </row>
    <row r="61" spans="1:26" x14ac:dyDescent="0.25">
      <c r="A61">
        <v>50304</v>
      </c>
      <c r="B61" t="s">
        <v>145</v>
      </c>
      <c r="C61">
        <v>2019</v>
      </c>
      <c r="D61">
        <v>1</v>
      </c>
      <c r="E61" t="s">
        <v>415</v>
      </c>
      <c r="F61" t="s">
        <v>429</v>
      </c>
      <c r="G61" t="s">
        <v>430</v>
      </c>
      <c r="H61" t="s">
        <v>84</v>
      </c>
      <c r="I61" t="s">
        <v>431</v>
      </c>
      <c r="J61" t="s">
        <v>419</v>
      </c>
      <c r="K61">
        <v>-46465.814649150001</v>
      </c>
      <c r="L61" t="s">
        <v>85</v>
      </c>
      <c r="M61" t="s">
        <v>424</v>
      </c>
      <c r="N61">
        <v>2.9085775596699999E-3</v>
      </c>
      <c r="O61">
        <v>135.14942600000001</v>
      </c>
      <c r="P61" t="s">
        <v>421</v>
      </c>
      <c r="Q61">
        <v>1</v>
      </c>
      <c r="V61">
        <v>1</v>
      </c>
      <c r="W61">
        <v>1</v>
      </c>
      <c r="X61">
        <v>1</v>
      </c>
      <c r="Y61">
        <v>1</v>
      </c>
      <c r="Z61">
        <v>135.14942600000001</v>
      </c>
    </row>
    <row r="62" spans="1:26" x14ac:dyDescent="0.25">
      <c r="A62">
        <v>50305</v>
      </c>
      <c r="B62" t="s">
        <v>145</v>
      </c>
      <c r="C62">
        <v>2019</v>
      </c>
      <c r="D62">
        <v>1</v>
      </c>
      <c r="E62" t="s">
        <v>415</v>
      </c>
      <c r="F62" t="s">
        <v>429</v>
      </c>
      <c r="G62" t="s">
        <v>430</v>
      </c>
      <c r="H62" t="s">
        <v>84</v>
      </c>
      <c r="I62" t="s">
        <v>431</v>
      </c>
      <c r="J62" t="s">
        <v>419</v>
      </c>
      <c r="K62">
        <v>-46465.814649150001</v>
      </c>
      <c r="L62" t="s">
        <v>85</v>
      </c>
      <c r="M62" t="s">
        <v>425</v>
      </c>
      <c r="N62">
        <v>2.6170694898000001E-3</v>
      </c>
      <c r="O62">
        <v>121.604266</v>
      </c>
      <c r="P62" t="s">
        <v>421</v>
      </c>
      <c r="Q62">
        <v>1</v>
      </c>
      <c r="V62">
        <v>1</v>
      </c>
      <c r="W62">
        <v>1</v>
      </c>
      <c r="X62">
        <v>1</v>
      </c>
      <c r="Y62">
        <v>1</v>
      </c>
      <c r="Z62">
        <v>121.604266</v>
      </c>
    </row>
    <row r="63" spans="1:26" x14ac:dyDescent="0.25">
      <c r="A63">
        <v>50306</v>
      </c>
      <c r="B63" t="s">
        <v>145</v>
      </c>
      <c r="C63">
        <v>2019</v>
      </c>
      <c r="D63">
        <v>1</v>
      </c>
      <c r="E63" t="s">
        <v>415</v>
      </c>
      <c r="F63" t="s">
        <v>429</v>
      </c>
      <c r="G63" t="s">
        <v>430</v>
      </c>
      <c r="H63" t="s">
        <v>84</v>
      </c>
      <c r="I63" t="s">
        <v>432</v>
      </c>
      <c r="J63" t="s">
        <v>87</v>
      </c>
      <c r="K63">
        <v>-10759.02660542</v>
      </c>
      <c r="L63" t="s">
        <v>427</v>
      </c>
      <c r="M63" t="s">
        <v>420</v>
      </c>
      <c r="N63">
        <v>0.45523813654234002</v>
      </c>
      <c r="O63">
        <v>4897.9192229999999</v>
      </c>
      <c r="P63" t="s">
        <v>421</v>
      </c>
      <c r="Q63">
        <v>1</v>
      </c>
      <c r="V63">
        <v>1</v>
      </c>
      <c r="W63">
        <v>1</v>
      </c>
      <c r="X63">
        <v>1</v>
      </c>
      <c r="Y63">
        <v>1</v>
      </c>
      <c r="Z63">
        <v>4897.9192229999999</v>
      </c>
    </row>
    <row r="64" spans="1:26" x14ac:dyDescent="0.25">
      <c r="A64">
        <v>50307</v>
      </c>
      <c r="B64" t="s">
        <v>145</v>
      </c>
      <c r="C64">
        <v>2019</v>
      </c>
      <c r="D64">
        <v>1</v>
      </c>
      <c r="E64" t="s">
        <v>415</v>
      </c>
      <c r="F64" t="s">
        <v>429</v>
      </c>
      <c r="G64" t="s">
        <v>430</v>
      </c>
      <c r="H64" t="s">
        <v>84</v>
      </c>
      <c r="I64" t="s">
        <v>432</v>
      </c>
      <c r="J64" t="s">
        <v>87</v>
      </c>
      <c r="K64">
        <v>-10759.02660542</v>
      </c>
      <c r="L64" t="s">
        <v>427</v>
      </c>
      <c r="M64" t="s">
        <v>422</v>
      </c>
      <c r="N64">
        <v>6.8896616392329996E-2</v>
      </c>
      <c r="O64">
        <v>741.26052900000002</v>
      </c>
      <c r="P64" t="s">
        <v>421</v>
      </c>
      <c r="Q64">
        <v>1</v>
      </c>
      <c r="V64">
        <v>1</v>
      </c>
      <c r="W64">
        <v>1</v>
      </c>
      <c r="X64">
        <v>1</v>
      </c>
      <c r="Y64">
        <v>1</v>
      </c>
      <c r="Z64">
        <v>741.26052900000002</v>
      </c>
    </row>
    <row r="65" spans="1:26" x14ac:dyDescent="0.25">
      <c r="A65">
        <v>50308</v>
      </c>
      <c r="B65" t="s">
        <v>145</v>
      </c>
      <c r="C65">
        <v>2019</v>
      </c>
      <c r="D65">
        <v>1</v>
      </c>
      <c r="E65" t="s">
        <v>415</v>
      </c>
      <c r="F65" t="s">
        <v>429</v>
      </c>
      <c r="G65" t="s">
        <v>430</v>
      </c>
      <c r="H65" t="s">
        <v>84</v>
      </c>
      <c r="I65" t="s">
        <v>432</v>
      </c>
      <c r="J65" t="s">
        <v>87</v>
      </c>
      <c r="K65">
        <v>-10759.02660542</v>
      </c>
      <c r="L65" t="s">
        <v>427</v>
      </c>
      <c r="M65" t="s">
        <v>423</v>
      </c>
      <c r="N65">
        <v>0.70986919705586005</v>
      </c>
      <c r="O65">
        <v>7637.501577</v>
      </c>
      <c r="P65" t="s">
        <v>421</v>
      </c>
      <c r="Q65">
        <v>1</v>
      </c>
      <c r="V65">
        <v>1</v>
      </c>
      <c r="W65">
        <v>1</v>
      </c>
      <c r="X65">
        <v>1</v>
      </c>
      <c r="Y65">
        <v>1</v>
      </c>
      <c r="Z65">
        <v>7637.501577</v>
      </c>
    </row>
    <row r="66" spans="1:26" x14ac:dyDescent="0.25">
      <c r="A66">
        <v>50309</v>
      </c>
      <c r="B66" t="s">
        <v>145</v>
      </c>
      <c r="C66">
        <v>2019</v>
      </c>
      <c r="D66">
        <v>1</v>
      </c>
      <c r="E66" t="s">
        <v>415</v>
      </c>
      <c r="F66" t="s">
        <v>429</v>
      </c>
      <c r="G66" t="s">
        <v>430</v>
      </c>
      <c r="H66" t="s">
        <v>84</v>
      </c>
      <c r="I66" t="s">
        <v>432</v>
      </c>
      <c r="J66" t="s">
        <v>87</v>
      </c>
      <c r="K66">
        <v>-10759.02660542</v>
      </c>
      <c r="L66" t="s">
        <v>427</v>
      </c>
      <c r="M66" t="s">
        <v>425</v>
      </c>
      <c r="N66">
        <v>1.4965642882E-3</v>
      </c>
      <c r="O66">
        <v>16.101575</v>
      </c>
      <c r="P66" t="s">
        <v>421</v>
      </c>
      <c r="Q66">
        <v>1</v>
      </c>
      <c r="V66">
        <v>1</v>
      </c>
      <c r="W66">
        <v>1</v>
      </c>
      <c r="X66">
        <v>1</v>
      </c>
      <c r="Y66">
        <v>1</v>
      </c>
      <c r="Z66">
        <v>16.101575</v>
      </c>
    </row>
    <row r="67" spans="1:26" x14ac:dyDescent="0.25">
      <c r="A67">
        <v>50310</v>
      </c>
      <c r="B67" t="s">
        <v>145</v>
      </c>
      <c r="C67">
        <v>2019</v>
      </c>
      <c r="D67">
        <v>1</v>
      </c>
      <c r="E67" t="s">
        <v>415</v>
      </c>
      <c r="F67" t="s">
        <v>429</v>
      </c>
      <c r="G67" t="s">
        <v>430</v>
      </c>
      <c r="H67" t="s">
        <v>84</v>
      </c>
      <c r="I67" t="s">
        <v>433</v>
      </c>
      <c r="J67" t="s">
        <v>59</v>
      </c>
      <c r="K67">
        <v>-22241.101767849999</v>
      </c>
      <c r="L67" t="s">
        <v>89</v>
      </c>
      <c r="M67" t="s">
        <v>420</v>
      </c>
      <c r="N67">
        <v>0.26343870574139999</v>
      </c>
      <c r="O67">
        <v>5859.1670640000002</v>
      </c>
      <c r="P67" t="s">
        <v>421</v>
      </c>
      <c r="Q67">
        <v>1</v>
      </c>
      <c r="V67">
        <v>1</v>
      </c>
      <c r="W67">
        <v>1</v>
      </c>
      <c r="X67">
        <v>1</v>
      </c>
      <c r="Y67">
        <v>1</v>
      </c>
      <c r="Z67">
        <v>5859.1670640000002</v>
      </c>
    </row>
    <row r="68" spans="1:26" x14ac:dyDescent="0.25">
      <c r="A68">
        <v>50311</v>
      </c>
      <c r="B68" t="s">
        <v>145</v>
      </c>
      <c r="C68">
        <v>2019</v>
      </c>
      <c r="D68">
        <v>1</v>
      </c>
      <c r="E68" t="s">
        <v>415</v>
      </c>
      <c r="F68" t="s">
        <v>429</v>
      </c>
      <c r="G68" t="s">
        <v>430</v>
      </c>
      <c r="H68" t="s">
        <v>84</v>
      </c>
      <c r="I68" t="s">
        <v>433</v>
      </c>
      <c r="J68" t="s">
        <v>59</v>
      </c>
      <c r="K68">
        <v>-22241.101767849999</v>
      </c>
      <c r="L68" t="s">
        <v>89</v>
      </c>
      <c r="M68" t="s">
        <v>422</v>
      </c>
      <c r="N68">
        <v>7.1262429683470005E-2</v>
      </c>
      <c r="O68">
        <v>1584.9549509999999</v>
      </c>
      <c r="P68" t="s">
        <v>421</v>
      </c>
      <c r="Q68">
        <v>1</v>
      </c>
      <c r="V68">
        <v>1</v>
      </c>
      <c r="W68">
        <v>1</v>
      </c>
      <c r="X68">
        <v>1</v>
      </c>
      <c r="Y68">
        <v>1</v>
      </c>
      <c r="Z68">
        <v>1584.9549509999999</v>
      </c>
    </row>
    <row r="69" spans="1:26" x14ac:dyDescent="0.25">
      <c r="A69">
        <v>50312</v>
      </c>
      <c r="B69" t="s">
        <v>145</v>
      </c>
      <c r="C69">
        <v>2019</v>
      </c>
      <c r="D69">
        <v>1</v>
      </c>
      <c r="E69" t="s">
        <v>415</v>
      </c>
      <c r="F69" t="s">
        <v>429</v>
      </c>
      <c r="G69" t="s">
        <v>430</v>
      </c>
      <c r="H69" t="s">
        <v>84</v>
      </c>
      <c r="I69" t="s">
        <v>433</v>
      </c>
      <c r="J69" t="s">
        <v>59</v>
      </c>
      <c r="K69">
        <v>-22241.101767849999</v>
      </c>
      <c r="L69" t="s">
        <v>89</v>
      </c>
      <c r="M69" t="s">
        <v>423</v>
      </c>
      <c r="N69">
        <v>0.74738783869542003</v>
      </c>
      <c r="O69">
        <v>16622.72898</v>
      </c>
      <c r="P69" t="s">
        <v>421</v>
      </c>
      <c r="Q69">
        <v>1</v>
      </c>
      <c r="V69">
        <v>1</v>
      </c>
      <c r="W69">
        <v>1</v>
      </c>
      <c r="X69">
        <v>1</v>
      </c>
      <c r="Y69">
        <v>1</v>
      </c>
      <c r="Z69">
        <v>16622.72898</v>
      </c>
    </row>
    <row r="70" spans="1:26" x14ac:dyDescent="0.25">
      <c r="A70">
        <v>50313</v>
      </c>
      <c r="B70" t="s">
        <v>145</v>
      </c>
      <c r="C70">
        <v>2019</v>
      </c>
      <c r="D70">
        <v>1</v>
      </c>
      <c r="E70" t="s">
        <v>415</v>
      </c>
      <c r="F70" t="s">
        <v>429</v>
      </c>
      <c r="G70" t="s">
        <v>430</v>
      </c>
      <c r="H70" t="s">
        <v>84</v>
      </c>
      <c r="I70" t="s">
        <v>433</v>
      </c>
      <c r="J70" t="s">
        <v>59</v>
      </c>
      <c r="K70">
        <v>-22241.101767849999</v>
      </c>
      <c r="L70" t="s">
        <v>89</v>
      </c>
      <c r="M70" t="s">
        <v>424</v>
      </c>
      <c r="N70">
        <v>3.08071516317E-3</v>
      </c>
      <c r="O70">
        <v>68.518499000000006</v>
      </c>
      <c r="P70" t="s">
        <v>421</v>
      </c>
      <c r="Q70">
        <v>1</v>
      </c>
      <c r="V70">
        <v>1</v>
      </c>
      <c r="W70">
        <v>1</v>
      </c>
      <c r="X70">
        <v>1</v>
      </c>
      <c r="Y70">
        <v>1</v>
      </c>
      <c r="Z70">
        <v>68.518499000000006</v>
      </c>
    </row>
    <row r="71" spans="1:26" x14ac:dyDescent="0.25">
      <c r="A71">
        <v>50314</v>
      </c>
      <c r="B71" t="s">
        <v>145</v>
      </c>
      <c r="C71">
        <v>2019</v>
      </c>
      <c r="D71">
        <v>1</v>
      </c>
      <c r="E71" t="s">
        <v>415</v>
      </c>
      <c r="F71" t="s">
        <v>429</v>
      </c>
      <c r="G71" t="s">
        <v>430</v>
      </c>
      <c r="H71" t="s">
        <v>84</v>
      </c>
      <c r="I71" t="s">
        <v>433</v>
      </c>
      <c r="J71" t="s">
        <v>59</v>
      </c>
      <c r="K71">
        <v>-22241.101767849999</v>
      </c>
      <c r="L71" t="s">
        <v>89</v>
      </c>
      <c r="M71" t="s">
        <v>425</v>
      </c>
      <c r="N71">
        <v>2.5360775708E-3</v>
      </c>
      <c r="O71">
        <v>56.405158999999998</v>
      </c>
      <c r="P71" t="s">
        <v>421</v>
      </c>
      <c r="Q71">
        <v>1</v>
      </c>
      <c r="V71">
        <v>1</v>
      </c>
      <c r="W71">
        <v>1</v>
      </c>
      <c r="X71">
        <v>1</v>
      </c>
      <c r="Y71">
        <v>1</v>
      </c>
      <c r="Z71">
        <v>56.405158999999998</v>
      </c>
    </row>
    <row r="72" spans="1:26" x14ac:dyDescent="0.25">
      <c r="A72">
        <v>50315</v>
      </c>
      <c r="B72" t="s">
        <v>145</v>
      </c>
      <c r="C72">
        <v>2019</v>
      </c>
      <c r="D72">
        <v>1</v>
      </c>
      <c r="E72" t="s">
        <v>415</v>
      </c>
      <c r="F72" t="s">
        <v>434</v>
      </c>
      <c r="G72" t="s">
        <v>435</v>
      </c>
      <c r="H72" t="s">
        <v>84</v>
      </c>
      <c r="I72" t="s">
        <v>436</v>
      </c>
      <c r="J72" t="s">
        <v>419</v>
      </c>
      <c r="K72">
        <v>-23965.230122289999</v>
      </c>
      <c r="L72" t="s">
        <v>85</v>
      </c>
      <c r="M72" t="s">
        <v>420</v>
      </c>
      <c r="N72">
        <v>0.24824931095561001</v>
      </c>
      <c r="O72">
        <v>5949.3518649999996</v>
      </c>
      <c r="P72" t="s">
        <v>421</v>
      </c>
      <c r="Q72">
        <v>1</v>
      </c>
      <c r="V72">
        <v>1</v>
      </c>
      <c r="W72">
        <v>1</v>
      </c>
      <c r="X72">
        <v>1</v>
      </c>
      <c r="Y72">
        <v>1</v>
      </c>
      <c r="Z72">
        <v>5949.3518649999996</v>
      </c>
    </row>
    <row r="73" spans="1:26" x14ac:dyDescent="0.25">
      <c r="A73">
        <v>50316</v>
      </c>
      <c r="B73" t="s">
        <v>145</v>
      </c>
      <c r="C73">
        <v>2019</v>
      </c>
      <c r="D73">
        <v>1</v>
      </c>
      <c r="E73" t="s">
        <v>415</v>
      </c>
      <c r="F73" t="s">
        <v>434</v>
      </c>
      <c r="G73" t="s">
        <v>435</v>
      </c>
      <c r="H73" t="s">
        <v>84</v>
      </c>
      <c r="I73" t="s">
        <v>436</v>
      </c>
      <c r="J73" t="s">
        <v>419</v>
      </c>
      <c r="K73">
        <v>-23965.230122289999</v>
      </c>
      <c r="L73" t="s">
        <v>85</v>
      </c>
      <c r="M73" t="s">
        <v>422</v>
      </c>
      <c r="N73">
        <v>7.7540047892240005E-2</v>
      </c>
      <c r="O73">
        <v>1858.265091</v>
      </c>
      <c r="P73" t="s">
        <v>421</v>
      </c>
      <c r="Q73">
        <v>1</v>
      </c>
      <c r="V73">
        <v>1</v>
      </c>
      <c r="W73">
        <v>1</v>
      </c>
      <c r="X73">
        <v>1</v>
      </c>
      <c r="Y73">
        <v>1</v>
      </c>
      <c r="Z73">
        <v>1858.265091</v>
      </c>
    </row>
    <row r="74" spans="1:26" x14ac:dyDescent="0.25">
      <c r="A74">
        <v>50317</v>
      </c>
      <c r="B74" t="s">
        <v>145</v>
      </c>
      <c r="C74">
        <v>2019</v>
      </c>
      <c r="D74">
        <v>1</v>
      </c>
      <c r="E74" t="s">
        <v>415</v>
      </c>
      <c r="F74" t="s">
        <v>434</v>
      </c>
      <c r="G74" t="s">
        <v>435</v>
      </c>
      <c r="H74" t="s">
        <v>84</v>
      </c>
      <c r="I74" t="s">
        <v>436</v>
      </c>
      <c r="J74" t="s">
        <v>419</v>
      </c>
      <c r="K74">
        <v>-23965.230122289999</v>
      </c>
      <c r="L74" t="s">
        <v>85</v>
      </c>
      <c r="M74" t="s">
        <v>423</v>
      </c>
      <c r="N74">
        <v>0.73979703899049998</v>
      </c>
      <c r="O74">
        <v>17729.406283</v>
      </c>
      <c r="P74" t="s">
        <v>421</v>
      </c>
      <c r="Q74">
        <v>1</v>
      </c>
      <c r="V74">
        <v>1</v>
      </c>
      <c r="W74">
        <v>1</v>
      </c>
      <c r="X74">
        <v>1</v>
      </c>
      <c r="Y74">
        <v>1</v>
      </c>
      <c r="Z74">
        <v>17729.406283</v>
      </c>
    </row>
    <row r="75" spans="1:26" x14ac:dyDescent="0.25">
      <c r="A75">
        <v>50318</v>
      </c>
      <c r="B75" t="s">
        <v>145</v>
      </c>
      <c r="C75">
        <v>2019</v>
      </c>
      <c r="D75">
        <v>1</v>
      </c>
      <c r="E75" t="s">
        <v>415</v>
      </c>
      <c r="F75" t="s">
        <v>434</v>
      </c>
      <c r="G75" t="s">
        <v>435</v>
      </c>
      <c r="H75" t="s">
        <v>84</v>
      </c>
      <c r="I75" t="s">
        <v>436</v>
      </c>
      <c r="J75" t="s">
        <v>419</v>
      </c>
      <c r="K75">
        <v>-23965.230122289999</v>
      </c>
      <c r="L75" t="s">
        <v>85</v>
      </c>
      <c r="M75" t="s">
        <v>424</v>
      </c>
      <c r="N75">
        <v>2.9085775596699999E-3</v>
      </c>
      <c r="O75">
        <v>69.704730999999995</v>
      </c>
      <c r="P75" t="s">
        <v>421</v>
      </c>
      <c r="Q75">
        <v>1</v>
      </c>
      <c r="V75">
        <v>1</v>
      </c>
      <c r="W75">
        <v>1</v>
      </c>
      <c r="X75">
        <v>1</v>
      </c>
      <c r="Y75">
        <v>1</v>
      </c>
      <c r="Z75">
        <v>69.704730999999995</v>
      </c>
    </row>
    <row r="76" spans="1:26" x14ac:dyDescent="0.25">
      <c r="A76">
        <v>50319</v>
      </c>
      <c r="B76" t="s">
        <v>145</v>
      </c>
      <c r="C76">
        <v>2019</v>
      </c>
      <c r="D76">
        <v>1</v>
      </c>
      <c r="E76" t="s">
        <v>415</v>
      </c>
      <c r="F76" t="s">
        <v>434</v>
      </c>
      <c r="G76" t="s">
        <v>435</v>
      </c>
      <c r="H76" t="s">
        <v>84</v>
      </c>
      <c r="I76" t="s">
        <v>436</v>
      </c>
      <c r="J76" t="s">
        <v>419</v>
      </c>
      <c r="K76">
        <v>-23965.230122289999</v>
      </c>
      <c r="L76" t="s">
        <v>85</v>
      </c>
      <c r="M76" t="s">
        <v>425</v>
      </c>
      <c r="N76">
        <v>2.6170694898000001E-3</v>
      </c>
      <c r="O76">
        <v>62.718673000000003</v>
      </c>
      <c r="P76" t="s">
        <v>421</v>
      </c>
      <c r="Q76">
        <v>1</v>
      </c>
      <c r="V76">
        <v>1</v>
      </c>
      <c r="W76">
        <v>1</v>
      </c>
      <c r="X76">
        <v>1</v>
      </c>
      <c r="Y76">
        <v>1</v>
      </c>
      <c r="Z76">
        <v>62.718673000000003</v>
      </c>
    </row>
    <row r="77" spans="1:26" x14ac:dyDescent="0.25">
      <c r="A77">
        <v>50320</v>
      </c>
      <c r="B77" t="s">
        <v>145</v>
      </c>
      <c r="C77">
        <v>2019</v>
      </c>
      <c r="D77">
        <v>1</v>
      </c>
      <c r="E77" t="s">
        <v>415</v>
      </c>
      <c r="F77" t="s">
        <v>434</v>
      </c>
      <c r="G77" t="s">
        <v>435</v>
      </c>
      <c r="H77" t="s">
        <v>84</v>
      </c>
      <c r="I77" t="s">
        <v>437</v>
      </c>
      <c r="J77" t="s">
        <v>87</v>
      </c>
      <c r="K77">
        <v>-5067.66608559</v>
      </c>
      <c r="L77" t="s">
        <v>427</v>
      </c>
      <c r="M77" t="s">
        <v>420</v>
      </c>
      <c r="N77">
        <v>0.45523813654234002</v>
      </c>
      <c r="O77">
        <v>2306.9948650000001</v>
      </c>
      <c r="P77" t="s">
        <v>421</v>
      </c>
      <c r="Q77">
        <v>1</v>
      </c>
      <c r="V77">
        <v>1</v>
      </c>
      <c r="W77">
        <v>1</v>
      </c>
      <c r="X77">
        <v>1</v>
      </c>
      <c r="Y77">
        <v>1</v>
      </c>
      <c r="Z77">
        <v>2306.9948650000001</v>
      </c>
    </row>
    <row r="78" spans="1:26" x14ac:dyDescent="0.25">
      <c r="A78">
        <v>50321</v>
      </c>
      <c r="B78" t="s">
        <v>145</v>
      </c>
      <c r="C78">
        <v>2019</v>
      </c>
      <c r="D78">
        <v>1</v>
      </c>
      <c r="E78" t="s">
        <v>415</v>
      </c>
      <c r="F78" t="s">
        <v>434</v>
      </c>
      <c r="G78" t="s">
        <v>435</v>
      </c>
      <c r="H78" t="s">
        <v>84</v>
      </c>
      <c r="I78" t="s">
        <v>437</v>
      </c>
      <c r="J78" t="s">
        <v>87</v>
      </c>
      <c r="K78">
        <v>-5067.66608559</v>
      </c>
      <c r="L78" t="s">
        <v>427</v>
      </c>
      <c r="M78" t="s">
        <v>422</v>
      </c>
      <c r="N78">
        <v>6.8896616392329996E-2</v>
      </c>
      <c r="O78">
        <v>349.14504599999998</v>
      </c>
      <c r="P78" t="s">
        <v>421</v>
      </c>
      <c r="Q78">
        <v>1</v>
      </c>
      <c r="V78">
        <v>1</v>
      </c>
      <c r="W78">
        <v>1</v>
      </c>
      <c r="X78">
        <v>1</v>
      </c>
      <c r="Y78">
        <v>1</v>
      </c>
      <c r="Z78">
        <v>349.14504599999998</v>
      </c>
    </row>
    <row r="79" spans="1:26" x14ac:dyDescent="0.25">
      <c r="A79">
        <v>50322</v>
      </c>
      <c r="B79" t="s">
        <v>145</v>
      </c>
      <c r="C79">
        <v>2019</v>
      </c>
      <c r="D79">
        <v>1</v>
      </c>
      <c r="E79" t="s">
        <v>415</v>
      </c>
      <c r="F79" t="s">
        <v>434</v>
      </c>
      <c r="G79" t="s">
        <v>435</v>
      </c>
      <c r="H79" t="s">
        <v>84</v>
      </c>
      <c r="I79" t="s">
        <v>437</v>
      </c>
      <c r="J79" t="s">
        <v>87</v>
      </c>
      <c r="K79">
        <v>-5067.66608559</v>
      </c>
      <c r="L79" t="s">
        <v>427</v>
      </c>
      <c r="M79" t="s">
        <v>423</v>
      </c>
      <c r="N79">
        <v>0.70986919705586005</v>
      </c>
      <c r="O79">
        <v>3597.3800550000001</v>
      </c>
      <c r="P79" t="s">
        <v>421</v>
      </c>
      <c r="Q79">
        <v>1</v>
      </c>
      <c r="V79">
        <v>1</v>
      </c>
      <c r="W79">
        <v>1</v>
      </c>
      <c r="X79">
        <v>1</v>
      </c>
      <c r="Y79">
        <v>1</v>
      </c>
      <c r="Z79">
        <v>3597.3800550000001</v>
      </c>
    </row>
    <row r="80" spans="1:26" x14ac:dyDescent="0.25">
      <c r="A80">
        <v>50323</v>
      </c>
      <c r="B80" t="s">
        <v>145</v>
      </c>
      <c r="C80">
        <v>2019</v>
      </c>
      <c r="D80">
        <v>1</v>
      </c>
      <c r="E80" t="s">
        <v>415</v>
      </c>
      <c r="F80" t="s">
        <v>434</v>
      </c>
      <c r="G80" t="s">
        <v>435</v>
      </c>
      <c r="H80" t="s">
        <v>84</v>
      </c>
      <c r="I80" t="s">
        <v>437</v>
      </c>
      <c r="J80" t="s">
        <v>87</v>
      </c>
      <c r="K80">
        <v>-5067.66608559</v>
      </c>
      <c r="L80" t="s">
        <v>427</v>
      </c>
      <c r="M80" t="s">
        <v>425</v>
      </c>
      <c r="N80">
        <v>1.4965642882E-3</v>
      </c>
      <c r="O80">
        <v>7.5840880000000004</v>
      </c>
      <c r="P80" t="s">
        <v>421</v>
      </c>
      <c r="Q80">
        <v>1</v>
      </c>
      <c r="V80">
        <v>1</v>
      </c>
      <c r="W80">
        <v>1</v>
      </c>
      <c r="X80">
        <v>1</v>
      </c>
      <c r="Y80">
        <v>1</v>
      </c>
      <c r="Z80">
        <v>7.5840880000000004</v>
      </c>
    </row>
    <row r="81" spans="1:26" x14ac:dyDescent="0.25">
      <c r="A81">
        <v>50324</v>
      </c>
      <c r="B81" t="s">
        <v>145</v>
      </c>
      <c r="C81">
        <v>2019</v>
      </c>
      <c r="D81">
        <v>1</v>
      </c>
      <c r="E81" t="s">
        <v>415</v>
      </c>
      <c r="F81" t="s">
        <v>434</v>
      </c>
      <c r="G81" t="s">
        <v>435</v>
      </c>
      <c r="H81" t="s">
        <v>84</v>
      </c>
      <c r="I81" t="s">
        <v>438</v>
      </c>
      <c r="J81" t="s">
        <v>59</v>
      </c>
      <c r="K81">
        <v>-11512.139791219999</v>
      </c>
      <c r="L81" t="s">
        <v>89</v>
      </c>
      <c r="M81" t="s">
        <v>420</v>
      </c>
      <c r="N81">
        <v>0.26343870574139999</v>
      </c>
      <c r="O81">
        <v>3032.743207</v>
      </c>
      <c r="P81" t="s">
        <v>421</v>
      </c>
      <c r="Q81">
        <v>1</v>
      </c>
      <c r="V81">
        <v>1</v>
      </c>
      <c r="W81">
        <v>1</v>
      </c>
      <c r="X81">
        <v>1</v>
      </c>
      <c r="Y81">
        <v>1</v>
      </c>
      <c r="Z81">
        <v>3032.743207</v>
      </c>
    </row>
    <row r="82" spans="1:26" x14ac:dyDescent="0.25">
      <c r="A82">
        <v>50325</v>
      </c>
      <c r="B82" t="s">
        <v>145</v>
      </c>
      <c r="C82">
        <v>2019</v>
      </c>
      <c r="D82">
        <v>1</v>
      </c>
      <c r="E82" t="s">
        <v>415</v>
      </c>
      <c r="F82" t="s">
        <v>434</v>
      </c>
      <c r="G82" t="s">
        <v>435</v>
      </c>
      <c r="H82" t="s">
        <v>84</v>
      </c>
      <c r="I82" t="s">
        <v>438</v>
      </c>
      <c r="J82" t="s">
        <v>59</v>
      </c>
      <c r="K82">
        <v>-11512.139791219999</v>
      </c>
      <c r="L82" t="s">
        <v>89</v>
      </c>
      <c r="M82" t="s">
        <v>422</v>
      </c>
      <c r="N82">
        <v>7.1262429683470005E-2</v>
      </c>
      <c r="O82">
        <v>820.38305200000002</v>
      </c>
      <c r="P82" t="s">
        <v>421</v>
      </c>
      <c r="Q82">
        <v>1</v>
      </c>
      <c r="V82">
        <v>1</v>
      </c>
      <c r="W82">
        <v>1</v>
      </c>
      <c r="X82">
        <v>1</v>
      </c>
      <c r="Y82">
        <v>1</v>
      </c>
      <c r="Z82">
        <v>820.38305200000002</v>
      </c>
    </row>
    <row r="83" spans="1:26" x14ac:dyDescent="0.25">
      <c r="A83">
        <v>50326</v>
      </c>
      <c r="B83" t="s">
        <v>145</v>
      </c>
      <c r="C83">
        <v>2019</v>
      </c>
      <c r="D83">
        <v>1</v>
      </c>
      <c r="E83" t="s">
        <v>415</v>
      </c>
      <c r="F83" t="s">
        <v>434</v>
      </c>
      <c r="G83" t="s">
        <v>435</v>
      </c>
      <c r="H83" t="s">
        <v>84</v>
      </c>
      <c r="I83" t="s">
        <v>438</v>
      </c>
      <c r="J83" t="s">
        <v>59</v>
      </c>
      <c r="K83">
        <v>-11512.139791219999</v>
      </c>
      <c r="L83" t="s">
        <v>89</v>
      </c>
      <c r="M83" t="s">
        <v>423</v>
      </c>
      <c r="N83">
        <v>0.74738783869542003</v>
      </c>
      <c r="O83">
        <v>8604.0332770000005</v>
      </c>
      <c r="P83" t="s">
        <v>421</v>
      </c>
      <c r="Q83">
        <v>1</v>
      </c>
      <c r="V83">
        <v>1</v>
      </c>
      <c r="W83">
        <v>1</v>
      </c>
      <c r="X83">
        <v>1</v>
      </c>
      <c r="Y83">
        <v>1</v>
      </c>
      <c r="Z83">
        <v>8604.0332770000005</v>
      </c>
    </row>
    <row r="84" spans="1:26" x14ac:dyDescent="0.25">
      <c r="A84">
        <v>50327</v>
      </c>
      <c r="B84" t="s">
        <v>145</v>
      </c>
      <c r="C84">
        <v>2019</v>
      </c>
      <c r="D84">
        <v>1</v>
      </c>
      <c r="E84" t="s">
        <v>415</v>
      </c>
      <c r="F84" t="s">
        <v>434</v>
      </c>
      <c r="G84" t="s">
        <v>435</v>
      </c>
      <c r="H84" t="s">
        <v>84</v>
      </c>
      <c r="I84" t="s">
        <v>438</v>
      </c>
      <c r="J84" t="s">
        <v>59</v>
      </c>
      <c r="K84">
        <v>-11512.139791219999</v>
      </c>
      <c r="L84" t="s">
        <v>89</v>
      </c>
      <c r="M84" t="s">
        <v>424</v>
      </c>
      <c r="N84">
        <v>3.08071516317E-3</v>
      </c>
      <c r="O84">
        <v>35.465623999999998</v>
      </c>
      <c r="P84" t="s">
        <v>421</v>
      </c>
      <c r="Q84">
        <v>1</v>
      </c>
      <c r="V84">
        <v>1</v>
      </c>
      <c r="W84">
        <v>1</v>
      </c>
      <c r="X84">
        <v>1</v>
      </c>
      <c r="Y84">
        <v>1</v>
      </c>
      <c r="Z84">
        <v>35.465623999999998</v>
      </c>
    </row>
    <row r="85" spans="1:26" x14ac:dyDescent="0.25">
      <c r="A85">
        <v>50328</v>
      </c>
      <c r="B85" t="s">
        <v>145</v>
      </c>
      <c r="C85">
        <v>2019</v>
      </c>
      <c r="D85">
        <v>1</v>
      </c>
      <c r="E85" t="s">
        <v>415</v>
      </c>
      <c r="F85" t="s">
        <v>434</v>
      </c>
      <c r="G85" t="s">
        <v>435</v>
      </c>
      <c r="H85" t="s">
        <v>84</v>
      </c>
      <c r="I85" t="s">
        <v>438</v>
      </c>
      <c r="J85" t="s">
        <v>59</v>
      </c>
      <c r="K85">
        <v>-11512.139791219999</v>
      </c>
      <c r="L85" t="s">
        <v>89</v>
      </c>
      <c r="M85" t="s">
        <v>425</v>
      </c>
      <c r="N85">
        <v>2.5360775708E-3</v>
      </c>
      <c r="O85">
        <v>29.195679999999999</v>
      </c>
      <c r="P85" t="s">
        <v>421</v>
      </c>
      <c r="Q85">
        <v>1</v>
      </c>
      <c r="V85">
        <v>1</v>
      </c>
      <c r="W85">
        <v>1</v>
      </c>
      <c r="X85">
        <v>1</v>
      </c>
      <c r="Y85">
        <v>1</v>
      </c>
      <c r="Z85">
        <v>29.195679999999999</v>
      </c>
    </row>
    <row r="86" spans="1:26" x14ac:dyDescent="0.25">
      <c r="A86">
        <v>104659</v>
      </c>
      <c r="B86" t="s">
        <v>197</v>
      </c>
      <c r="C86">
        <v>2020</v>
      </c>
      <c r="D86">
        <v>1</v>
      </c>
      <c r="E86" t="s">
        <v>415</v>
      </c>
      <c r="F86" t="s">
        <v>416</v>
      </c>
      <c r="G86" t="s">
        <v>417</v>
      </c>
      <c r="H86" t="s">
        <v>84</v>
      </c>
      <c r="I86" t="s">
        <v>418</v>
      </c>
      <c r="J86" t="s">
        <v>419</v>
      </c>
      <c r="K86">
        <v>-72329.468195239999</v>
      </c>
      <c r="L86" t="s">
        <v>85</v>
      </c>
      <c r="M86" t="s">
        <v>420</v>
      </c>
      <c r="N86">
        <v>0.24824931095561001</v>
      </c>
      <c r="O86">
        <v>17955.740641</v>
      </c>
      <c r="P86" t="s">
        <v>421</v>
      </c>
      <c r="Q86">
        <v>1</v>
      </c>
      <c r="V86">
        <v>1</v>
      </c>
      <c r="W86">
        <v>1</v>
      </c>
      <c r="X86">
        <v>1</v>
      </c>
      <c r="Y86">
        <v>1</v>
      </c>
      <c r="Z86">
        <v>17955.740641</v>
      </c>
    </row>
    <row r="87" spans="1:26" x14ac:dyDescent="0.25">
      <c r="A87">
        <v>104660</v>
      </c>
      <c r="B87" t="s">
        <v>197</v>
      </c>
      <c r="C87">
        <v>2020</v>
      </c>
      <c r="D87">
        <v>1</v>
      </c>
      <c r="E87" t="s">
        <v>415</v>
      </c>
      <c r="F87" t="s">
        <v>416</v>
      </c>
      <c r="G87" t="s">
        <v>417</v>
      </c>
      <c r="H87" t="s">
        <v>84</v>
      </c>
      <c r="I87" t="s">
        <v>418</v>
      </c>
      <c r="J87" t="s">
        <v>419</v>
      </c>
      <c r="K87">
        <v>-72329.468195239999</v>
      </c>
      <c r="L87" t="s">
        <v>85</v>
      </c>
      <c r="M87" t="s">
        <v>422</v>
      </c>
      <c r="N87">
        <v>7.7540047892240005E-2</v>
      </c>
      <c r="O87">
        <v>5608.4304279999997</v>
      </c>
      <c r="P87" t="s">
        <v>421</v>
      </c>
      <c r="Q87">
        <v>1</v>
      </c>
      <c r="V87">
        <v>1</v>
      </c>
      <c r="W87">
        <v>1</v>
      </c>
      <c r="X87">
        <v>1</v>
      </c>
      <c r="Y87">
        <v>1</v>
      </c>
      <c r="Z87">
        <v>5608.4304279999997</v>
      </c>
    </row>
    <row r="88" spans="1:26" x14ac:dyDescent="0.25">
      <c r="A88">
        <v>104661</v>
      </c>
      <c r="B88" t="s">
        <v>197</v>
      </c>
      <c r="C88">
        <v>2020</v>
      </c>
      <c r="D88">
        <v>1</v>
      </c>
      <c r="E88" t="s">
        <v>415</v>
      </c>
      <c r="F88" t="s">
        <v>416</v>
      </c>
      <c r="G88" t="s">
        <v>417</v>
      </c>
      <c r="H88" t="s">
        <v>84</v>
      </c>
      <c r="I88" t="s">
        <v>418</v>
      </c>
      <c r="J88" t="s">
        <v>419</v>
      </c>
      <c r="K88">
        <v>-72329.468195239999</v>
      </c>
      <c r="L88" t="s">
        <v>85</v>
      </c>
      <c r="M88" t="s">
        <v>423</v>
      </c>
      <c r="N88">
        <v>0.73979703899049998</v>
      </c>
      <c r="O88">
        <v>53509.126403000002</v>
      </c>
      <c r="P88" t="s">
        <v>421</v>
      </c>
      <c r="Q88">
        <v>1</v>
      </c>
      <c r="V88">
        <v>1</v>
      </c>
      <c r="W88">
        <v>1</v>
      </c>
      <c r="X88">
        <v>1</v>
      </c>
      <c r="Y88">
        <v>1</v>
      </c>
      <c r="Z88">
        <v>53509.126403000002</v>
      </c>
    </row>
    <row r="89" spans="1:26" x14ac:dyDescent="0.25">
      <c r="A89">
        <v>104662</v>
      </c>
      <c r="B89" t="s">
        <v>197</v>
      </c>
      <c r="C89">
        <v>2020</v>
      </c>
      <c r="D89">
        <v>1</v>
      </c>
      <c r="E89" t="s">
        <v>415</v>
      </c>
      <c r="F89" t="s">
        <v>416</v>
      </c>
      <c r="G89" t="s">
        <v>417</v>
      </c>
      <c r="H89" t="s">
        <v>84</v>
      </c>
      <c r="I89" t="s">
        <v>418</v>
      </c>
      <c r="J89" t="s">
        <v>419</v>
      </c>
      <c r="K89">
        <v>-72329.468195239999</v>
      </c>
      <c r="L89" t="s">
        <v>85</v>
      </c>
      <c r="M89" t="s">
        <v>424</v>
      </c>
      <c r="N89">
        <v>2.9085775596699999E-3</v>
      </c>
      <c r="O89">
        <v>210.375868</v>
      </c>
      <c r="P89" t="s">
        <v>421</v>
      </c>
      <c r="Q89">
        <v>1</v>
      </c>
      <c r="V89">
        <v>1</v>
      </c>
      <c r="W89">
        <v>1</v>
      </c>
      <c r="X89">
        <v>1</v>
      </c>
      <c r="Y89">
        <v>1</v>
      </c>
      <c r="Z89">
        <v>210.375868</v>
      </c>
    </row>
    <row r="90" spans="1:26" x14ac:dyDescent="0.25">
      <c r="A90">
        <v>104663</v>
      </c>
      <c r="B90" t="s">
        <v>197</v>
      </c>
      <c r="C90">
        <v>2020</v>
      </c>
      <c r="D90">
        <v>1</v>
      </c>
      <c r="E90" t="s">
        <v>415</v>
      </c>
      <c r="F90" t="s">
        <v>416</v>
      </c>
      <c r="G90" t="s">
        <v>417</v>
      </c>
      <c r="H90" t="s">
        <v>84</v>
      </c>
      <c r="I90" t="s">
        <v>418</v>
      </c>
      <c r="J90" t="s">
        <v>419</v>
      </c>
      <c r="K90">
        <v>-72329.468195239999</v>
      </c>
      <c r="L90" t="s">
        <v>85</v>
      </c>
      <c r="M90" t="s">
        <v>425</v>
      </c>
      <c r="N90">
        <v>2.6170694898000001E-3</v>
      </c>
      <c r="O90">
        <v>189.29124400000001</v>
      </c>
      <c r="P90" t="s">
        <v>421</v>
      </c>
      <c r="Q90">
        <v>1</v>
      </c>
      <c r="V90">
        <v>1</v>
      </c>
      <c r="W90">
        <v>1</v>
      </c>
      <c r="X90">
        <v>1</v>
      </c>
      <c r="Y90">
        <v>1</v>
      </c>
      <c r="Z90">
        <v>189.29124400000001</v>
      </c>
    </row>
    <row r="91" spans="1:26" x14ac:dyDescent="0.25">
      <c r="A91">
        <v>104664</v>
      </c>
      <c r="B91" t="s">
        <v>197</v>
      </c>
      <c r="C91">
        <v>2020</v>
      </c>
      <c r="D91">
        <v>1</v>
      </c>
      <c r="E91" t="s">
        <v>415</v>
      </c>
      <c r="F91" t="s">
        <v>416</v>
      </c>
      <c r="G91" t="s">
        <v>417</v>
      </c>
      <c r="H91" t="s">
        <v>84</v>
      </c>
      <c r="I91" t="s">
        <v>426</v>
      </c>
      <c r="J91" t="s">
        <v>87</v>
      </c>
      <c r="K91">
        <v>-30022.251603069999</v>
      </c>
      <c r="L91" t="s">
        <v>427</v>
      </c>
      <c r="M91" t="s">
        <v>420</v>
      </c>
      <c r="N91">
        <v>0.45523813654234002</v>
      </c>
      <c r="O91">
        <v>13667.273875000001</v>
      </c>
      <c r="P91" t="s">
        <v>421</v>
      </c>
      <c r="Q91">
        <v>1</v>
      </c>
      <c r="V91">
        <v>1</v>
      </c>
      <c r="W91">
        <v>1</v>
      </c>
      <c r="X91">
        <v>1</v>
      </c>
      <c r="Y91">
        <v>1</v>
      </c>
      <c r="Z91">
        <v>13667.273875000001</v>
      </c>
    </row>
    <row r="92" spans="1:26" x14ac:dyDescent="0.25">
      <c r="A92">
        <v>104665</v>
      </c>
      <c r="B92" t="s">
        <v>197</v>
      </c>
      <c r="C92">
        <v>2020</v>
      </c>
      <c r="D92">
        <v>1</v>
      </c>
      <c r="E92" t="s">
        <v>415</v>
      </c>
      <c r="F92" t="s">
        <v>416</v>
      </c>
      <c r="G92" t="s">
        <v>417</v>
      </c>
      <c r="H92" t="s">
        <v>84</v>
      </c>
      <c r="I92" t="s">
        <v>426</v>
      </c>
      <c r="J92" t="s">
        <v>87</v>
      </c>
      <c r="K92">
        <v>-30022.251603069999</v>
      </c>
      <c r="L92" t="s">
        <v>427</v>
      </c>
      <c r="M92" t="s">
        <v>422</v>
      </c>
      <c r="N92">
        <v>6.8896616392329996E-2</v>
      </c>
      <c r="O92">
        <v>2068.431552</v>
      </c>
      <c r="P92" t="s">
        <v>421</v>
      </c>
      <c r="Q92">
        <v>1</v>
      </c>
      <c r="V92">
        <v>1</v>
      </c>
      <c r="W92">
        <v>1</v>
      </c>
      <c r="X92">
        <v>1</v>
      </c>
      <c r="Y92">
        <v>1</v>
      </c>
      <c r="Z92">
        <v>2068.431552</v>
      </c>
    </row>
    <row r="93" spans="1:26" x14ac:dyDescent="0.25">
      <c r="A93">
        <v>104666</v>
      </c>
      <c r="B93" t="s">
        <v>197</v>
      </c>
      <c r="C93">
        <v>2020</v>
      </c>
      <c r="D93">
        <v>1</v>
      </c>
      <c r="E93" t="s">
        <v>415</v>
      </c>
      <c r="F93" t="s">
        <v>416</v>
      </c>
      <c r="G93" t="s">
        <v>417</v>
      </c>
      <c r="H93" t="s">
        <v>84</v>
      </c>
      <c r="I93" t="s">
        <v>426</v>
      </c>
      <c r="J93" t="s">
        <v>87</v>
      </c>
      <c r="K93">
        <v>-30022.251603069999</v>
      </c>
      <c r="L93" t="s">
        <v>427</v>
      </c>
      <c r="M93" t="s">
        <v>423</v>
      </c>
      <c r="N93">
        <v>0.70986919705586005</v>
      </c>
      <c r="O93">
        <v>21311.871639000001</v>
      </c>
      <c r="P93" t="s">
        <v>421</v>
      </c>
      <c r="Q93">
        <v>1</v>
      </c>
      <c r="V93">
        <v>1</v>
      </c>
      <c r="W93">
        <v>1</v>
      </c>
      <c r="X93">
        <v>1</v>
      </c>
      <c r="Y93">
        <v>1</v>
      </c>
      <c r="Z93">
        <v>21311.871639000001</v>
      </c>
    </row>
    <row r="94" spans="1:26" x14ac:dyDescent="0.25">
      <c r="A94">
        <v>104667</v>
      </c>
      <c r="B94" t="s">
        <v>197</v>
      </c>
      <c r="C94">
        <v>2020</v>
      </c>
      <c r="D94">
        <v>1</v>
      </c>
      <c r="E94" t="s">
        <v>415</v>
      </c>
      <c r="F94" t="s">
        <v>416</v>
      </c>
      <c r="G94" t="s">
        <v>417</v>
      </c>
      <c r="H94" t="s">
        <v>84</v>
      </c>
      <c r="I94" t="s">
        <v>426</v>
      </c>
      <c r="J94" t="s">
        <v>87</v>
      </c>
      <c r="K94">
        <v>-30022.251603069999</v>
      </c>
      <c r="L94" t="s">
        <v>427</v>
      </c>
      <c r="M94" t="s">
        <v>425</v>
      </c>
      <c r="N94">
        <v>1.4965642882E-3</v>
      </c>
      <c r="O94">
        <v>44.930230000000002</v>
      </c>
      <c r="P94" t="s">
        <v>421</v>
      </c>
      <c r="Q94">
        <v>1</v>
      </c>
      <c r="V94">
        <v>1</v>
      </c>
      <c r="W94">
        <v>1</v>
      </c>
      <c r="X94">
        <v>1</v>
      </c>
      <c r="Y94">
        <v>1</v>
      </c>
      <c r="Z94">
        <v>44.930230000000002</v>
      </c>
    </row>
    <row r="95" spans="1:26" x14ac:dyDescent="0.25">
      <c r="A95">
        <v>104668</v>
      </c>
      <c r="B95" t="s">
        <v>197</v>
      </c>
      <c r="C95">
        <v>2020</v>
      </c>
      <c r="D95">
        <v>1</v>
      </c>
      <c r="E95" t="s">
        <v>415</v>
      </c>
      <c r="F95" t="s">
        <v>416</v>
      </c>
      <c r="G95" t="s">
        <v>417</v>
      </c>
      <c r="H95" t="s">
        <v>84</v>
      </c>
      <c r="I95" t="s">
        <v>428</v>
      </c>
      <c r="J95" t="s">
        <v>59</v>
      </c>
      <c r="K95">
        <v>-24595.0584447</v>
      </c>
      <c r="L95" t="s">
        <v>89</v>
      </c>
      <c r="M95" t="s">
        <v>420</v>
      </c>
      <c r="N95">
        <v>0.26343870574139999</v>
      </c>
      <c r="O95">
        <v>6479.2903640000004</v>
      </c>
      <c r="P95" t="s">
        <v>421</v>
      </c>
      <c r="Q95">
        <v>1</v>
      </c>
      <c r="V95">
        <v>1</v>
      </c>
      <c r="W95">
        <v>1</v>
      </c>
      <c r="X95">
        <v>1</v>
      </c>
      <c r="Y95">
        <v>1</v>
      </c>
      <c r="Z95">
        <v>6479.2903640000004</v>
      </c>
    </row>
    <row r="96" spans="1:26" x14ac:dyDescent="0.25">
      <c r="A96">
        <v>104669</v>
      </c>
      <c r="B96" t="s">
        <v>197</v>
      </c>
      <c r="C96">
        <v>2020</v>
      </c>
      <c r="D96">
        <v>1</v>
      </c>
      <c r="E96" t="s">
        <v>415</v>
      </c>
      <c r="F96" t="s">
        <v>416</v>
      </c>
      <c r="G96" t="s">
        <v>417</v>
      </c>
      <c r="H96" t="s">
        <v>84</v>
      </c>
      <c r="I96" t="s">
        <v>428</v>
      </c>
      <c r="J96" t="s">
        <v>59</v>
      </c>
      <c r="K96">
        <v>-24595.0584447</v>
      </c>
      <c r="L96" t="s">
        <v>89</v>
      </c>
      <c r="M96" t="s">
        <v>422</v>
      </c>
      <c r="N96">
        <v>7.1262429683470005E-2</v>
      </c>
      <c r="O96">
        <v>1752.7036230000001</v>
      </c>
      <c r="P96" t="s">
        <v>421</v>
      </c>
      <c r="Q96">
        <v>1</v>
      </c>
      <c r="V96">
        <v>1</v>
      </c>
      <c r="W96">
        <v>1</v>
      </c>
      <c r="X96">
        <v>1</v>
      </c>
      <c r="Y96">
        <v>1</v>
      </c>
      <c r="Z96">
        <v>1752.7036230000001</v>
      </c>
    </row>
    <row r="97" spans="1:26" x14ac:dyDescent="0.25">
      <c r="A97">
        <v>104670</v>
      </c>
      <c r="B97" t="s">
        <v>197</v>
      </c>
      <c r="C97">
        <v>2020</v>
      </c>
      <c r="D97">
        <v>1</v>
      </c>
      <c r="E97" t="s">
        <v>415</v>
      </c>
      <c r="F97" t="s">
        <v>416</v>
      </c>
      <c r="G97" t="s">
        <v>417</v>
      </c>
      <c r="H97" t="s">
        <v>84</v>
      </c>
      <c r="I97" t="s">
        <v>428</v>
      </c>
      <c r="J97" t="s">
        <v>59</v>
      </c>
      <c r="K97">
        <v>-24595.0584447</v>
      </c>
      <c r="L97" t="s">
        <v>89</v>
      </c>
      <c r="M97" t="s">
        <v>423</v>
      </c>
      <c r="N97">
        <v>0.74738783869542003</v>
      </c>
      <c r="O97">
        <v>18382.047574</v>
      </c>
      <c r="P97" t="s">
        <v>421</v>
      </c>
      <c r="Q97">
        <v>1</v>
      </c>
      <c r="V97">
        <v>1</v>
      </c>
      <c r="W97">
        <v>1</v>
      </c>
      <c r="X97">
        <v>1</v>
      </c>
      <c r="Y97">
        <v>1</v>
      </c>
      <c r="Z97">
        <v>18382.047574</v>
      </c>
    </row>
    <row r="98" spans="1:26" x14ac:dyDescent="0.25">
      <c r="A98">
        <v>104671</v>
      </c>
      <c r="B98" t="s">
        <v>197</v>
      </c>
      <c r="C98">
        <v>2020</v>
      </c>
      <c r="D98">
        <v>1</v>
      </c>
      <c r="E98" t="s">
        <v>415</v>
      </c>
      <c r="F98" t="s">
        <v>416</v>
      </c>
      <c r="G98" t="s">
        <v>417</v>
      </c>
      <c r="H98" t="s">
        <v>84</v>
      </c>
      <c r="I98" t="s">
        <v>428</v>
      </c>
      <c r="J98" t="s">
        <v>59</v>
      </c>
      <c r="K98">
        <v>-24595.0584447</v>
      </c>
      <c r="L98" t="s">
        <v>89</v>
      </c>
      <c r="M98" t="s">
        <v>424</v>
      </c>
      <c r="N98">
        <v>3.08071516317E-3</v>
      </c>
      <c r="O98">
        <v>75.770369000000002</v>
      </c>
      <c r="P98" t="s">
        <v>421</v>
      </c>
      <c r="Q98">
        <v>1</v>
      </c>
      <c r="V98">
        <v>1</v>
      </c>
      <c r="W98">
        <v>1</v>
      </c>
      <c r="X98">
        <v>1</v>
      </c>
      <c r="Y98">
        <v>1</v>
      </c>
      <c r="Z98">
        <v>75.770369000000002</v>
      </c>
    </row>
    <row r="99" spans="1:26" x14ac:dyDescent="0.25">
      <c r="A99">
        <v>104672</v>
      </c>
      <c r="B99" t="s">
        <v>197</v>
      </c>
      <c r="C99">
        <v>2020</v>
      </c>
      <c r="D99">
        <v>1</v>
      </c>
      <c r="E99" t="s">
        <v>415</v>
      </c>
      <c r="F99" t="s">
        <v>416</v>
      </c>
      <c r="G99" t="s">
        <v>417</v>
      </c>
      <c r="H99" t="s">
        <v>84</v>
      </c>
      <c r="I99" t="s">
        <v>428</v>
      </c>
      <c r="J99" t="s">
        <v>59</v>
      </c>
      <c r="K99">
        <v>-24595.0584447</v>
      </c>
      <c r="L99" t="s">
        <v>89</v>
      </c>
      <c r="M99" t="s">
        <v>425</v>
      </c>
      <c r="N99">
        <v>2.5360775708E-3</v>
      </c>
      <c r="O99">
        <v>62.374975999999997</v>
      </c>
      <c r="P99" t="s">
        <v>421</v>
      </c>
      <c r="Q99">
        <v>1</v>
      </c>
      <c r="V99">
        <v>1</v>
      </c>
      <c r="W99">
        <v>1</v>
      </c>
      <c r="X99">
        <v>1</v>
      </c>
      <c r="Y99">
        <v>1</v>
      </c>
      <c r="Z99">
        <v>62.374975999999997</v>
      </c>
    </row>
    <row r="100" spans="1:26" x14ac:dyDescent="0.25">
      <c r="A100">
        <v>104673</v>
      </c>
      <c r="B100" t="s">
        <v>197</v>
      </c>
      <c r="C100">
        <v>2020</v>
      </c>
      <c r="D100">
        <v>1</v>
      </c>
      <c r="E100" t="s">
        <v>415</v>
      </c>
      <c r="F100" t="s">
        <v>429</v>
      </c>
      <c r="G100" t="s">
        <v>430</v>
      </c>
      <c r="H100" t="s">
        <v>84</v>
      </c>
      <c r="I100" t="s">
        <v>431</v>
      </c>
      <c r="J100" t="s">
        <v>419</v>
      </c>
      <c r="K100">
        <v>-97105.594823869993</v>
      </c>
      <c r="L100" t="s">
        <v>85</v>
      </c>
      <c r="M100" t="s">
        <v>420</v>
      </c>
      <c r="N100">
        <v>0.24824931095561001</v>
      </c>
      <c r="O100">
        <v>24106.397004999999</v>
      </c>
      <c r="P100" t="s">
        <v>421</v>
      </c>
      <c r="Q100">
        <v>1</v>
      </c>
      <c r="V100">
        <v>1</v>
      </c>
      <c r="W100">
        <v>1</v>
      </c>
      <c r="X100">
        <v>1</v>
      </c>
      <c r="Y100">
        <v>1</v>
      </c>
      <c r="Z100">
        <v>24106.397004999999</v>
      </c>
    </row>
    <row r="101" spans="1:26" x14ac:dyDescent="0.25">
      <c r="A101">
        <v>104674</v>
      </c>
      <c r="B101" t="s">
        <v>197</v>
      </c>
      <c r="C101">
        <v>2020</v>
      </c>
      <c r="D101">
        <v>1</v>
      </c>
      <c r="E101" t="s">
        <v>415</v>
      </c>
      <c r="F101" t="s">
        <v>429</v>
      </c>
      <c r="G101" t="s">
        <v>430</v>
      </c>
      <c r="H101" t="s">
        <v>84</v>
      </c>
      <c r="I101" t="s">
        <v>431</v>
      </c>
      <c r="J101" t="s">
        <v>419</v>
      </c>
      <c r="K101">
        <v>-97105.594823869993</v>
      </c>
      <c r="L101" t="s">
        <v>85</v>
      </c>
      <c r="M101" t="s">
        <v>422</v>
      </c>
      <c r="N101">
        <v>7.7540047892240005E-2</v>
      </c>
      <c r="O101">
        <v>7529.5724730000002</v>
      </c>
      <c r="P101" t="s">
        <v>421</v>
      </c>
      <c r="Q101">
        <v>1</v>
      </c>
      <c r="V101">
        <v>1</v>
      </c>
      <c r="W101">
        <v>1</v>
      </c>
      <c r="X101">
        <v>1</v>
      </c>
      <c r="Y101">
        <v>1</v>
      </c>
      <c r="Z101">
        <v>7529.5724730000002</v>
      </c>
    </row>
    <row r="102" spans="1:26" x14ac:dyDescent="0.25">
      <c r="A102">
        <v>104675</v>
      </c>
      <c r="B102" t="s">
        <v>197</v>
      </c>
      <c r="C102">
        <v>2020</v>
      </c>
      <c r="D102">
        <v>1</v>
      </c>
      <c r="E102" t="s">
        <v>415</v>
      </c>
      <c r="F102" t="s">
        <v>429</v>
      </c>
      <c r="G102" t="s">
        <v>430</v>
      </c>
      <c r="H102" t="s">
        <v>84</v>
      </c>
      <c r="I102" t="s">
        <v>431</v>
      </c>
      <c r="J102" t="s">
        <v>419</v>
      </c>
      <c r="K102">
        <v>-97105.594823869993</v>
      </c>
      <c r="L102" t="s">
        <v>85</v>
      </c>
      <c r="M102" t="s">
        <v>423</v>
      </c>
      <c r="N102">
        <v>0.73979703899049998</v>
      </c>
      <c r="O102">
        <v>71838.431519999998</v>
      </c>
      <c r="P102" t="s">
        <v>421</v>
      </c>
      <c r="Q102">
        <v>1</v>
      </c>
      <c r="V102">
        <v>1</v>
      </c>
      <c r="W102">
        <v>1</v>
      </c>
      <c r="X102">
        <v>1</v>
      </c>
      <c r="Y102">
        <v>1</v>
      </c>
      <c r="Z102">
        <v>71838.431519999998</v>
      </c>
    </row>
    <row r="103" spans="1:26" x14ac:dyDescent="0.25">
      <c r="A103">
        <v>104676</v>
      </c>
      <c r="B103" t="s">
        <v>197</v>
      </c>
      <c r="C103">
        <v>2020</v>
      </c>
      <c r="D103">
        <v>1</v>
      </c>
      <c r="E103" t="s">
        <v>415</v>
      </c>
      <c r="F103" t="s">
        <v>429</v>
      </c>
      <c r="G103" t="s">
        <v>430</v>
      </c>
      <c r="H103" t="s">
        <v>84</v>
      </c>
      <c r="I103" t="s">
        <v>431</v>
      </c>
      <c r="J103" t="s">
        <v>419</v>
      </c>
      <c r="K103">
        <v>-97105.594823869993</v>
      </c>
      <c r="L103" t="s">
        <v>85</v>
      </c>
      <c r="M103" t="s">
        <v>424</v>
      </c>
      <c r="N103">
        <v>2.9085775596699999E-3</v>
      </c>
      <c r="O103">
        <v>282.43915399999997</v>
      </c>
      <c r="P103" t="s">
        <v>421</v>
      </c>
      <c r="Q103">
        <v>1</v>
      </c>
      <c r="V103">
        <v>1</v>
      </c>
      <c r="W103">
        <v>1</v>
      </c>
      <c r="X103">
        <v>1</v>
      </c>
      <c r="Y103">
        <v>1</v>
      </c>
      <c r="Z103">
        <v>282.43915399999997</v>
      </c>
    </row>
    <row r="104" spans="1:26" x14ac:dyDescent="0.25">
      <c r="A104">
        <v>104677</v>
      </c>
      <c r="B104" t="s">
        <v>197</v>
      </c>
      <c r="C104">
        <v>2020</v>
      </c>
      <c r="D104">
        <v>1</v>
      </c>
      <c r="E104" t="s">
        <v>415</v>
      </c>
      <c r="F104" t="s">
        <v>429</v>
      </c>
      <c r="G104" t="s">
        <v>430</v>
      </c>
      <c r="H104" t="s">
        <v>84</v>
      </c>
      <c r="I104" t="s">
        <v>431</v>
      </c>
      <c r="J104" t="s">
        <v>419</v>
      </c>
      <c r="K104">
        <v>-97105.594823869993</v>
      </c>
      <c r="L104" t="s">
        <v>85</v>
      </c>
      <c r="M104" t="s">
        <v>425</v>
      </c>
      <c r="N104">
        <v>2.6170694898000001E-3</v>
      </c>
      <c r="O104">
        <v>254.13209000000001</v>
      </c>
      <c r="P104" t="s">
        <v>421</v>
      </c>
      <c r="Q104">
        <v>1</v>
      </c>
      <c r="V104">
        <v>1</v>
      </c>
      <c r="W104">
        <v>1</v>
      </c>
      <c r="X104">
        <v>1</v>
      </c>
      <c r="Y104">
        <v>1</v>
      </c>
      <c r="Z104">
        <v>254.13209000000001</v>
      </c>
    </row>
    <row r="105" spans="1:26" x14ac:dyDescent="0.25">
      <c r="A105">
        <v>104678</v>
      </c>
      <c r="B105" t="s">
        <v>197</v>
      </c>
      <c r="C105">
        <v>2020</v>
      </c>
      <c r="D105">
        <v>1</v>
      </c>
      <c r="E105" t="s">
        <v>415</v>
      </c>
      <c r="F105" t="s">
        <v>429</v>
      </c>
      <c r="G105" t="s">
        <v>430</v>
      </c>
      <c r="H105" t="s">
        <v>84</v>
      </c>
      <c r="I105" t="s">
        <v>432</v>
      </c>
      <c r="J105" t="s">
        <v>87</v>
      </c>
      <c r="K105">
        <v>-42035.74761667</v>
      </c>
      <c r="L105" t="s">
        <v>427</v>
      </c>
      <c r="M105" t="s">
        <v>420</v>
      </c>
      <c r="N105">
        <v>0.45523813654234002</v>
      </c>
      <c r="O105">
        <v>19136.275412999999</v>
      </c>
      <c r="P105" t="s">
        <v>421</v>
      </c>
      <c r="Q105">
        <v>1</v>
      </c>
      <c r="V105">
        <v>1</v>
      </c>
      <c r="W105">
        <v>1</v>
      </c>
      <c r="X105">
        <v>1</v>
      </c>
      <c r="Y105">
        <v>1</v>
      </c>
      <c r="Z105">
        <v>19136.275412999999</v>
      </c>
    </row>
    <row r="106" spans="1:26" x14ac:dyDescent="0.25">
      <c r="A106">
        <v>104679</v>
      </c>
      <c r="B106" t="s">
        <v>197</v>
      </c>
      <c r="C106">
        <v>2020</v>
      </c>
      <c r="D106">
        <v>1</v>
      </c>
      <c r="E106" t="s">
        <v>415</v>
      </c>
      <c r="F106" t="s">
        <v>429</v>
      </c>
      <c r="G106" t="s">
        <v>430</v>
      </c>
      <c r="H106" t="s">
        <v>84</v>
      </c>
      <c r="I106" t="s">
        <v>432</v>
      </c>
      <c r="J106" t="s">
        <v>87</v>
      </c>
      <c r="K106">
        <v>-42035.74761667</v>
      </c>
      <c r="L106" t="s">
        <v>427</v>
      </c>
      <c r="M106" t="s">
        <v>422</v>
      </c>
      <c r="N106">
        <v>6.8896616392329996E-2</v>
      </c>
      <c r="O106">
        <v>2896.120778</v>
      </c>
      <c r="P106" t="s">
        <v>421</v>
      </c>
      <c r="Q106">
        <v>1</v>
      </c>
      <c r="V106">
        <v>1</v>
      </c>
      <c r="W106">
        <v>1</v>
      </c>
      <c r="X106">
        <v>1</v>
      </c>
      <c r="Y106">
        <v>1</v>
      </c>
      <c r="Z106">
        <v>2896.120778</v>
      </c>
    </row>
    <row r="107" spans="1:26" x14ac:dyDescent="0.25">
      <c r="A107">
        <v>104680</v>
      </c>
      <c r="B107" t="s">
        <v>197</v>
      </c>
      <c r="C107">
        <v>2020</v>
      </c>
      <c r="D107">
        <v>1</v>
      </c>
      <c r="E107" t="s">
        <v>415</v>
      </c>
      <c r="F107" t="s">
        <v>429</v>
      </c>
      <c r="G107" t="s">
        <v>430</v>
      </c>
      <c r="H107" t="s">
        <v>84</v>
      </c>
      <c r="I107" t="s">
        <v>432</v>
      </c>
      <c r="J107" t="s">
        <v>87</v>
      </c>
      <c r="K107">
        <v>-42035.74761667</v>
      </c>
      <c r="L107" t="s">
        <v>427</v>
      </c>
      <c r="M107" t="s">
        <v>423</v>
      </c>
      <c r="N107">
        <v>0.70986919705586005</v>
      </c>
      <c r="O107">
        <v>29839.882408000001</v>
      </c>
      <c r="P107" t="s">
        <v>421</v>
      </c>
      <c r="Q107">
        <v>1</v>
      </c>
      <c r="V107">
        <v>1</v>
      </c>
      <c r="W107">
        <v>1</v>
      </c>
      <c r="X107">
        <v>1</v>
      </c>
      <c r="Y107">
        <v>1</v>
      </c>
      <c r="Z107">
        <v>29839.882408000001</v>
      </c>
    </row>
    <row r="108" spans="1:26" x14ac:dyDescent="0.25">
      <c r="A108">
        <v>104681</v>
      </c>
      <c r="B108" t="s">
        <v>197</v>
      </c>
      <c r="C108">
        <v>2020</v>
      </c>
      <c r="D108">
        <v>1</v>
      </c>
      <c r="E108" t="s">
        <v>415</v>
      </c>
      <c r="F108" t="s">
        <v>429</v>
      </c>
      <c r="G108" t="s">
        <v>430</v>
      </c>
      <c r="H108" t="s">
        <v>84</v>
      </c>
      <c r="I108" t="s">
        <v>432</v>
      </c>
      <c r="J108" t="s">
        <v>87</v>
      </c>
      <c r="K108">
        <v>-42035.74761667</v>
      </c>
      <c r="L108" t="s">
        <v>427</v>
      </c>
      <c r="M108" t="s">
        <v>425</v>
      </c>
      <c r="N108">
        <v>1.4965642882E-3</v>
      </c>
      <c r="O108">
        <v>62.909199000000001</v>
      </c>
      <c r="P108" t="s">
        <v>421</v>
      </c>
      <c r="Q108">
        <v>1</v>
      </c>
      <c r="V108">
        <v>1</v>
      </c>
      <c r="W108">
        <v>1</v>
      </c>
      <c r="X108">
        <v>1</v>
      </c>
      <c r="Y108">
        <v>1</v>
      </c>
      <c r="Z108">
        <v>62.909199000000001</v>
      </c>
    </row>
    <row r="109" spans="1:26" x14ac:dyDescent="0.25">
      <c r="A109">
        <v>104682</v>
      </c>
      <c r="B109" t="s">
        <v>197</v>
      </c>
      <c r="C109">
        <v>2020</v>
      </c>
      <c r="D109">
        <v>1</v>
      </c>
      <c r="E109" t="s">
        <v>415</v>
      </c>
      <c r="F109" t="s">
        <v>429</v>
      </c>
      <c r="G109" t="s">
        <v>430</v>
      </c>
      <c r="H109" t="s">
        <v>84</v>
      </c>
      <c r="I109" t="s">
        <v>433</v>
      </c>
      <c r="J109" t="s">
        <v>59</v>
      </c>
      <c r="K109">
        <v>-32095.827351569998</v>
      </c>
      <c r="L109" t="s">
        <v>89</v>
      </c>
      <c r="M109" t="s">
        <v>420</v>
      </c>
      <c r="N109">
        <v>0.26343870574139999</v>
      </c>
      <c r="O109">
        <v>8455.2832170000001</v>
      </c>
      <c r="P109" t="s">
        <v>421</v>
      </c>
      <c r="Q109">
        <v>1</v>
      </c>
      <c r="V109">
        <v>1</v>
      </c>
      <c r="W109">
        <v>1</v>
      </c>
      <c r="X109">
        <v>1</v>
      </c>
      <c r="Y109">
        <v>1</v>
      </c>
      <c r="Z109">
        <v>8455.2832170000001</v>
      </c>
    </row>
    <row r="110" spans="1:26" x14ac:dyDescent="0.25">
      <c r="A110">
        <v>104683</v>
      </c>
      <c r="B110" t="s">
        <v>197</v>
      </c>
      <c r="C110">
        <v>2020</v>
      </c>
      <c r="D110">
        <v>1</v>
      </c>
      <c r="E110" t="s">
        <v>415</v>
      </c>
      <c r="F110" t="s">
        <v>429</v>
      </c>
      <c r="G110" t="s">
        <v>430</v>
      </c>
      <c r="H110" t="s">
        <v>84</v>
      </c>
      <c r="I110" t="s">
        <v>433</v>
      </c>
      <c r="J110" t="s">
        <v>59</v>
      </c>
      <c r="K110">
        <v>-32095.827351569998</v>
      </c>
      <c r="L110" t="s">
        <v>89</v>
      </c>
      <c r="M110" t="s">
        <v>422</v>
      </c>
      <c r="N110">
        <v>7.1262429683470005E-2</v>
      </c>
      <c r="O110">
        <v>2287.2266399999999</v>
      </c>
      <c r="P110" t="s">
        <v>421</v>
      </c>
      <c r="Q110">
        <v>1</v>
      </c>
      <c r="V110">
        <v>1</v>
      </c>
      <c r="W110">
        <v>1</v>
      </c>
      <c r="X110">
        <v>1</v>
      </c>
      <c r="Y110">
        <v>1</v>
      </c>
      <c r="Z110">
        <v>2287.2266399999999</v>
      </c>
    </row>
    <row r="111" spans="1:26" x14ac:dyDescent="0.25">
      <c r="A111">
        <v>104684</v>
      </c>
      <c r="B111" t="s">
        <v>197</v>
      </c>
      <c r="C111">
        <v>2020</v>
      </c>
      <c r="D111">
        <v>1</v>
      </c>
      <c r="E111" t="s">
        <v>415</v>
      </c>
      <c r="F111" t="s">
        <v>429</v>
      </c>
      <c r="G111" t="s">
        <v>430</v>
      </c>
      <c r="H111" t="s">
        <v>84</v>
      </c>
      <c r="I111" t="s">
        <v>433</v>
      </c>
      <c r="J111" t="s">
        <v>59</v>
      </c>
      <c r="K111">
        <v>-32095.827351569998</v>
      </c>
      <c r="L111" t="s">
        <v>89</v>
      </c>
      <c r="M111" t="s">
        <v>423</v>
      </c>
      <c r="N111">
        <v>0.74738783869542003</v>
      </c>
      <c r="O111">
        <v>23988.031035</v>
      </c>
      <c r="P111" t="s">
        <v>421</v>
      </c>
      <c r="Q111">
        <v>1</v>
      </c>
      <c r="V111">
        <v>1</v>
      </c>
      <c r="W111">
        <v>1</v>
      </c>
      <c r="X111">
        <v>1</v>
      </c>
      <c r="Y111">
        <v>1</v>
      </c>
      <c r="Z111">
        <v>23988.031035</v>
      </c>
    </row>
    <row r="112" spans="1:26" x14ac:dyDescent="0.25">
      <c r="A112">
        <v>104685</v>
      </c>
      <c r="B112" t="s">
        <v>197</v>
      </c>
      <c r="C112">
        <v>2020</v>
      </c>
      <c r="D112">
        <v>1</v>
      </c>
      <c r="E112" t="s">
        <v>415</v>
      </c>
      <c r="F112" t="s">
        <v>429</v>
      </c>
      <c r="G112" t="s">
        <v>430</v>
      </c>
      <c r="H112" t="s">
        <v>84</v>
      </c>
      <c r="I112" t="s">
        <v>433</v>
      </c>
      <c r="J112" t="s">
        <v>59</v>
      </c>
      <c r="K112">
        <v>-32095.827351569998</v>
      </c>
      <c r="L112" t="s">
        <v>89</v>
      </c>
      <c r="M112" t="s">
        <v>424</v>
      </c>
      <c r="N112">
        <v>3.08071516317E-3</v>
      </c>
      <c r="O112">
        <v>98.878101999999998</v>
      </c>
      <c r="P112" t="s">
        <v>421</v>
      </c>
      <c r="Q112">
        <v>1</v>
      </c>
      <c r="V112">
        <v>1</v>
      </c>
      <c r="W112">
        <v>1</v>
      </c>
      <c r="X112">
        <v>1</v>
      </c>
      <c r="Y112">
        <v>1</v>
      </c>
      <c r="Z112">
        <v>98.878101999999998</v>
      </c>
    </row>
    <row r="113" spans="1:26" x14ac:dyDescent="0.25">
      <c r="A113">
        <v>104686</v>
      </c>
      <c r="B113" t="s">
        <v>197</v>
      </c>
      <c r="C113">
        <v>2020</v>
      </c>
      <c r="D113">
        <v>1</v>
      </c>
      <c r="E113" t="s">
        <v>415</v>
      </c>
      <c r="F113" t="s">
        <v>429</v>
      </c>
      <c r="G113" t="s">
        <v>430</v>
      </c>
      <c r="H113" t="s">
        <v>84</v>
      </c>
      <c r="I113" t="s">
        <v>433</v>
      </c>
      <c r="J113" t="s">
        <v>59</v>
      </c>
      <c r="K113">
        <v>-32095.827351569998</v>
      </c>
      <c r="L113" t="s">
        <v>89</v>
      </c>
      <c r="M113" t="s">
        <v>425</v>
      </c>
      <c r="N113">
        <v>2.5360775708E-3</v>
      </c>
      <c r="O113">
        <v>81.397508000000002</v>
      </c>
      <c r="P113" t="s">
        <v>421</v>
      </c>
      <c r="Q113">
        <v>1</v>
      </c>
      <c r="V113">
        <v>1</v>
      </c>
      <c r="W113">
        <v>1</v>
      </c>
      <c r="X113">
        <v>1</v>
      </c>
      <c r="Y113">
        <v>1</v>
      </c>
      <c r="Z113">
        <v>81.397508000000002</v>
      </c>
    </row>
    <row r="114" spans="1:26" x14ac:dyDescent="0.25">
      <c r="A114">
        <v>104687</v>
      </c>
      <c r="B114" t="s">
        <v>197</v>
      </c>
      <c r="C114">
        <v>2020</v>
      </c>
      <c r="D114">
        <v>1</v>
      </c>
      <c r="E114" t="s">
        <v>415</v>
      </c>
      <c r="F114" t="s">
        <v>434</v>
      </c>
      <c r="G114" t="s">
        <v>435</v>
      </c>
      <c r="H114" t="s">
        <v>84</v>
      </c>
      <c r="I114" t="s">
        <v>436</v>
      </c>
      <c r="J114" t="s">
        <v>419</v>
      </c>
      <c r="K114">
        <v>-53328.351092359997</v>
      </c>
      <c r="L114" t="s">
        <v>85</v>
      </c>
      <c r="M114" t="s">
        <v>420</v>
      </c>
      <c r="N114">
        <v>0.24824931095561001</v>
      </c>
      <c r="O114">
        <v>13238.726413</v>
      </c>
      <c r="P114" t="s">
        <v>421</v>
      </c>
      <c r="Q114">
        <v>1</v>
      </c>
      <c r="V114">
        <v>1</v>
      </c>
      <c r="W114">
        <v>1</v>
      </c>
      <c r="X114">
        <v>1</v>
      </c>
      <c r="Y114">
        <v>1</v>
      </c>
      <c r="Z114">
        <v>13238.726413</v>
      </c>
    </row>
    <row r="115" spans="1:26" x14ac:dyDescent="0.25">
      <c r="A115">
        <v>104688</v>
      </c>
      <c r="B115" t="s">
        <v>197</v>
      </c>
      <c r="C115">
        <v>2020</v>
      </c>
      <c r="D115">
        <v>1</v>
      </c>
      <c r="E115" t="s">
        <v>415</v>
      </c>
      <c r="F115" t="s">
        <v>434</v>
      </c>
      <c r="G115" t="s">
        <v>435</v>
      </c>
      <c r="H115" t="s">
        <v>84</v>
      </c>
      <c r="I115" t="s">
        <v>436</v>
      </c>
      <c r="J115" t="s">
        <v>419</v>
      </c>
      <c r="K115">
        <v>-53328.351092359997</v>
      </c>
      <c r="L115" t="s">
        <v>85</v>
      </c>
      <c r="M115" t="s">
        <v>422</v>
      </c>
      <c r="N115">
        <v>7.7540047892240005E-2</v>
      </c>
      <c r="O115">
        <v>4135.0828979999997</v>
      </c>
      <c r="P115" t="s">
        <v>421</v>
      </c>
      <c r="Q115">
        <v>1</v>
      </c>
      <c r="V115">
        <v>1</v>
      </c>
      <c r="W115">
        <v>1</v>
      </c>
      <c r="X115">
        <v>1</v>
      </c>
      <c r="Y115">
        <v>1</v>
      </c>
      <c r="Z115">
        <v>4135.0828979999997</v>
      </c>
    </row>
    <row r="116" spans="1:26" x14ac:dyDescent="0.25">
      <c r="A116">
        <v>104689</v>
      </c>
      <c r="B116" t="s">
        <v>197</v>
      </c>
      <c r="C116">
        <v>2020</v>
      </c>
      <c r="D116">
        <v>1</v>
      </c>
      <c r="E116" t="s">
        <v>415</v>
      </c>
      <c r="F116" t="s">
        <v>434</v>
      </c>
      <c r="G116" t="s">
        <v>435</v>
      </c>
      <c r="H116" t="s">
        <v>84</v>
      </c>
      <c r="I116" t="s">
        <v>436</v>
      </c>
      <c r="J116" t="s">
        <v>419</v>
      </c>
      <c r="K116">
        <v>-53328.351092359997</v>
      </c>
      <c r="L116" t="s">
        <v>85</v>
      </c>
      <c r="M116" t="s">
        <v>423</v>
      </c>
      <c r="N116">
        <v>0.73979703899049998</v>
      </c>
      <c r="O116">
        <v>39452.156232000001</v>
      </c>
      <c r="P116" t="s">
        <v>421</v>
      </c>
      <c r="Q116">
        <v>1</v>
      </c>
      <c r="V116">
        <v>1</v>
      </c>
      <c r="W116">
        <v>1</v>
      </c>
      <c r="X116">
        <v>1</v>
      </c>
      <c r="Y116">
        <v>1</v>
      </c>
      <c r="Z116">
        <v>39452.156232000001</v>
      </c>
    </row>
    <row r="117" spans="1:26" x14ac:dyDescent="0.25">
      <c r="A117">
        <v>104690</v>
      </c>
      <c r="B117" t="s">
        <v>197</v>
      </c>
      <c r="C117">
        <v>2020</v>
      </c>
      <c r="D117">
        <v>1</v>
      </c>
      <c r="E117" t="s">
        <v>415</v>
      </c>
      <c r="F117" t="s">
        <v>434</v>
      </c>
      <c r="G117" t="s">
        <v>435</v>
      </c>
      <c r="H117" t="s">
        <v>84</v>
      </c>
      <c r="I117" t="s">
        <v>436</v>
      </c>
      <c r="J117" t="s">
        <v>419</v>
      </c>
      <c r="K117">
        <v>-53328.351092359997</v>
      </c>
      <c r="L117" t="s">
        <v>85</v>
      </c>
      <c r="M117" t="s">
        <v>424</v>
      </c>
      <c r="N117">
        <v>2.9085775596699999E-3</v>
      </c>
      <c r="O117">
        <v>155.109645</v>
      </c>
      <c r="P117" t="s">
        <v>421</v>
      </c>
      <c r="Q117">
        <v>1</v>
      </c>
      <c r="V117">
        <v>1</v>
      </c>
      <c r="W117">
        <v>1</v>
      </c>
      <c r="X117">
        <v>1</v>
      </c>
      <c r="Y117">
        <v>1</v>
      </c>
      <c r="Z117">
        <v>155.109645</v>
      </c>
    </row>
    <row r="118" spans="1:26" x14ac:dyDescent="0.25">
      <c r="A118">
        <v>104691</v>
      </c>
      <c r="B118" t="s">
        <v>197</v>
      </c>
      <c r="C118">
        <v>2020</v>
      </c>
      <c r="D118">
        <v>1</v>
      </c>
      <c r="E118" t="s">
        <v>415</v>
      </c>
      <c r="F118" t="s">
        <v>434</v>
      </c>
      <c r="G118" t="s">
        <v>435</v>
      </c>
      <c r="H118" t="s">
        <v>84</v>
      </c>
      <c r="I118" t="s">
        <v>436</v>
      </c>
      <c r="J118" t="s">
        <v>419</v>
      </c>
      <c r="K118">
        <v>-53328.351092359997</v>
      </c>
      <c r="L118" t="s">
        <v>85</v>
      </c>
      <c r="M118" t="s">
        <v>425</v>
      </c>
      <c r="N118">
        <v>2.6170694898000001E-3</v>
      </c>
      <c r="O118">
        <v>139.56400099999999</v>
      </c>
      <c r="P118" t="s">
        <v>421</v>
      </c>
      <c r="Q118">
        <v>1</v>
      </c>
      <c r="V118">
        <v>1</v>
      </c>
      <c r="W118">
        <v>1</v>
      </c>
      <c r="X118">
        <v>1</v>
      </c>
      <c r="Y118">
        <v>1</v>
      </c>
      <c r="Z118">
        <v>139.56400099999999</v>
      </c>
    </row>
    <row r="119" spans="1:26" x14ac:dyDescent="0.25">
      <c r="A119">
        <v>104692</v>
      </c>
      <c r="B119" t="s">
        <v>197</v>
      </c>
      <c r="C119">
        <v>2020</v>
      </c>
      <c r="D119">
        <v>1</v>
      </c>
      <c r="E119" t="s">
        <v>415</v>
      </c>
      <c r="F119" t="s">
        <v>434</v>
      </c>
      <c r="G119" t="s">
        <v>435</v>
      </c>
      <c r="H119" t="s">
        <v>84</v>
      </c>
      <c r="I119" t="s">
        <v>437</v>
      </c>
      <c r="J119" t="s">
        <v>87</v>
      </c>
      <c r="K119">
        <v>-20502.22129464</v>
      </c>
      <c r="L119" t="s">
        <v>427</v>
      </c>
      <c r="M119" t="s">
        <v>420</v>
      </c>
      <c r="N119">
        <v>0.45523813654234002</v>
      </c>
      <c r="O119">
        <v>9333.3930170000003</v>
      </c>
      <c r="P119" t="s">
        <v>421</v>
      </c>
      <c r="Q119">
        <v>1</v>
      </c>
      <c r="V119">
        <v>1</v>
      </c>
      <c r="W119">
        <v>1</v>
      </c>
      <c r="X119">
        <v>1</v>
      </c>
      <c r="Y119">
        <v>1</v>
      </c>
      <c r="Z119">
        <v>9333.3930170000003</v>
      </c>
    </row>
    <row r="120" spans="1:26" x14ac:dyDescent="0.25">
      <c r="A120">
        <v>104693</v>
      </c>
      <c r="B120" t="s">
        <v>197</v>
      </c>
      <c r="C120">
        <v>2020</v>
      </c>
      <c r="D120">
        <v>1</v>
      </c>
      <c r="E120" t="s">
        <v>415</v>
      </c>
      <c r="F120" t="s">
        <v>434</v>
      </c>
      <c r="G120" t="s">
        <v>435</v>
      </c>
      <c r="H120" t="s">
        <v>84</v>
      </c>
      <c r="I120" t="s">
        <v>437</v>
      </c>
      <c r="J120" t="s">
        <v>87</v>
      </c>
      <c r="K120">
        <v>-20502.22129464</v>
      </c>
      <c r="L120" t="s">
        <v>427</v>
      </c>
      <c r="M120" t="s">
        <v>422</v>
      </c>
      <c r="N120">
        <v>6.8896616392329996E-2</v>
      </c>
      <c r="O120">
        <v>1412.533676</v>
      </c>
      <c r="P120" t="s">
        <v>421</v>
      </c>
      <c r="Q120">
        <v>1</v>
      </c>
      <c r="V120">
        <v>1</v>
      </c>
      <c r="W120">
        <v>1</v>
      </c>
      <c r="X120">
        <v>1</v>
      </c>
      <c r="Y120">
        <v>1</v>
      </c>
      <c r="Z120">
        <v>1412.533676</v>
      </c>
    </row>
    <row r="121" spans="1:26" x14ac:dyDescent="0.25">
      <c r="A121">
        <v>104694</v>
      </c>
      <c r="B121" t="s">
        <v>197</v>
      </c>
      <c r="C121">
        <v>2020</v>
      </c>
      <c r="D121">
        <v>1</v>
      </c>
      <c r="E121" t="s">
        <v>415</v>
      </c>
      <c r="F121" t="s">
        <v>434</v>
      </c>
      <c r="G121" t="s">
        <v>435</v>
      </c>
      <c r="H121" t="s">
        <v>84</v>
      </c>
      <c r="I121" t="s">
        <v>437</v>
      </c>
      <c r="J121" t="s">
        <v>87</v>
      </c>
      <c r="K121">
        <v>-20502.22129464</v>
      </c>
      <c r="L121" t="s">
        <v>427</v>
      </c>
      <c r="M121" t="s">
        <v>423</v>
      </c>
      <c r="N121">
        <v>0.70986919705586005</v>
      </c>
      <c r="O121">
        <v>14553.895368</v>
      </c>
      <c r="P121" t="s">
        <v>421</v>
      </c>
      <c r="Q121">
        <v>1</v>
      </c>
      <c r="V121">
        <v>1</v>
      </c>
      <c r="W121">
        <v>1</v>
      </c>
      <c r="X121">
        <v>1</v>
      </c>
      <c r="Y121">
        <v>1</v>
      </c>
      <c r="Z121">
        <v>14553.895368</v>
      </c>
    </row>
    <row r="122" spans="1:26" x14ac:dyDescent="0.25">
      <c r="A122">
        <v>104695</v>
      </c>
      <c r="B122" t="s">
        <v>197</v>
      </c>
      <c r="C122">
        <v>2020</v>
      </c>
      <c r="D122">
        <v>1</v>
      </c>
      <c r="E122" t="s">
        <v>415</v>
      </c>
      <c r="F122" t="s">
        <v>434</v>
      </c>
      <c r="G122" t="s">
        <v>435</v>
      </c>
      <c r="H122" t="s">
        <v>84</v>
      </c>
      <c r="I122" t="s">
        <v>437</v>
      </c>
      <c r="J122" t="s">
        <v>87</v>
      </c>
      <c r="K122">
        <v>-20502.22129464</v>
      </c>
      <c r="L122" t="s">
        <v>427</v>
      </c>
      <c r="M122" t="s">
        <v>425</v>
      </c>
      <c r="N122">
        <v>1.4965642882E-3</v>
      </c>
      <c r="O122">
        <v>30.682891999999999</v>
      </c>
      <c r="P122" t="s">
        <v>421</v>
      </c>
      <c r="Q122">
        <v>1</v>
      </c>
      <c r="V122">
        <v>1</v>
      </c>
      <c r="W122">
        <v>1</v>
      </c>
      <c r="X122">
        <v>1</v>
      </c>
      <c r="Y122">
        <v>1</v>
      </c>
      <c r="Z122">
        <v>30.682891999999999</v>
      </c>
    </row>
    <row r="123" spans="1:26" x14ac:dyDescent="0.25">
      <c r="A123">
        <v>104696</v>
      </c>
      <c r="B123" t="s">
        <v>197</v>
      </c>
      <c r="C123">
        <v>2020</v>
      </c>
      <c r="D123">
        <v>1</v>
      </c>
      <c r="E123" t="s">
        <v>415</v>
      </c>
      <c r="F123" t="s">
        <v>434</v>
      </c>
      <c r="G123" t="s">
        <v>435</v>
      </c>
      <c r="H123" t="s">
        <v>84</v>
      </c>
      <c r="I123" t="s">
        <v>438</v>
      </c>
      <c r="J123" t="s">
        <v>59</v>
      </c>
      <c r="K123">
        <v>-17267.25223659</v>
      </c>
      <c r="L123" t="s">
        <v>89</v>
      </c>
      <c r="M123" t="s">
        <v>420</v>
      </c>
      <c r="N123">
        <v>0.26343870574139999</v>
      </c>
      <c r="O123">
        <v>4548.8625810000003</v>
      </c>
      <c r="P123" t="s">
        <v>421</v>
      </c>
      <c r="Q123">
        <v>1</v>
      </c>
      <c r="V123">
        <v>1</v>
      </c>
      <c r="W123">
        <v>1</v>
      </c>
      <c r="X123">
        <v>1</v>
      </c>
      <c r="Y123">
        <v>1</v>
      </c>
      <c r="Z123">
        <v>4548.8625810000003</v>
      </c>
    </row>
    <row r="124" spans="1:26" x14ac:dyDescent="0.25">
      <c r="A124">
        <v>104697</v>
      </c>
      <c r="B124" t="s">
        <v>197</v>
      </c>
      <c r="C124">
        <v>2020</v>
      </c>
      <c r="D124">
        <v>1</v>
      </c>
      <c r="E124" t="s">
        <v>415</v>
      </c>
      <c r="F124" t="s">
        <v>434</v>
      </c>
      <c r="G124" t="s">
        <v>435</v>
      </c>
      <c r="H124" t="s">
        <v>84</v>
      </c>
      <c r="I124" t="s">
        <v>438</v>
      </c>
      <c r="J124" t="s">
        <v>59</v>
      </c>
      <c r="K124">
        <v>-17267.25223659</v>
      </c>
      <c r="L124" t="s">
        <v>89</v>
      </c>
      <c r="M124" t="s">
        <v>422</v>
      </c>
      <c r="N124">
        <v>7.1262429683470005E-2</v>
      </c>
      <c r="O124">
        <v>1230.5063479999999</v>
      </c>
      <c r="P124" t="s">
        <v>421</v>
      </c>
      <c r="Q124">
        <v>1</v>
      </c>
      <c r="V124">
        <v>1</v>
      </c>
      <c r="W124">
        <v>1</v>
      </c>
      <c r="X124">
        <v>1</v>
      </c>
      <c r="Y124">
        <v>1</v>
      </c>
      <c r="Z124">
        <v>1230.5063479999999</v>
      </c>
    </row>
    <row r="125" spans="1:26" x14ac:dyDescent="0.25">
      <c r="A125">
        <v>104698</v>
      </c>
      <c r="B125" t="s">
        <v>197</v>
      </c>
      <c r="C125">
        <v>2020</v>
      </c>
      <c r="D125">
        <v>1</v>
      </c>
      <c r="E125" t="s">
        <v>415</v>
      </c>
      <c r="F125" t="s">
        <v>434</v>
      </c>
      <c r="G125" t="s">
        <v>435</v>
      </c>
      <c r="H125" t="s">
        <v>84</v>
      </c>
      <c r="I125" t="s">
        <v>438</v>
      </c>
      <c r="J125" t="s">
        <v>59</v>
      </c>
      <c r="K125">
        <v>-17267.25223659</v>
      </c>
      <c r="L125" t="s">
        <v>89</v>
      </c>
      <c r="M125" t="s">
        <v>423</v>
      </c>
      <c r="N125">
        <v>0.74738783869542003</v>
      </c>
      <c r="O125">
        <v>12905.334328999999</v>
      </c>
      <c r="P125" t="s">
        <v>421</v>
      </c>
      <c r="Q125">
        <v>1</v>
      </c>
      <c r="V125">
        <v>1</v>
      </c>
      <c r="W125">
        <v>1</v>
      </c>
      <c r="X125">
        <v>1</v>
      </c>
      <c r="Y125">
        <v>1</v>
      </c>
      <c r="Z125">
        <v>12905.334328999999</v>
      </c>
    </row>
    <row r="126" spans="1:26" x14ac:dyDescent="0.25">
      <c r="A126">
        <v>104699</v>
      </c>
      <c r="B126" t="s">
        <v>197</v>
      </c>
      <c r="C126">
        <v>2020</v>
      </c>
      <c r="D126">
        <v>1</v>
      </c>
      <c r="E126" t="s">
        <v>415</v>
      </c>
      <c r="F126" t="s">
        <v>434</v>
      </c>
      <c r="G126" t="s">
        <v>435</v>
      </c>
      <c r="H126" t="s">
        <v>84</v>
      </c>
      <c r="I126" t="s">
        <v>438</v>
      </c>
      <c r="J126" t="s">
        <v>59</v>
      </c>
      <c r="K126">
        <v>-17267.25223659</v>
      </c>
      <c r="L126" t="s">
        <v>89</v>
      </c>
      <c r="M126" t="s">
        <v>424</v>
      </c>
      <c r="N126">
        <v>3.08071516317E-3</v>
      </c>
      <c r="O126">
        <v>53.195486000000002</v>
      </c>
      <c r="P126" t="s">
        <v>421</v>
      </c>
      <c r="Q126">
        <v>1</v>
      </c>
      <c r="V126">
        <v>1</v>
      </c>
      <c r="W126">
        <v>1</v>
      </c>
      <c r="X126">
        <v>1</v>
      </c>
      <c r="Y126">
        <v>1</v>
      </c>
      <c r="Z126">
        <v>53.195486000000002</v>
      </c>
    </row>
    <row r="127" spans="1:26" x14ac:dyDescent="0.25">
      <c r="A127">
        <v>104700</v>
      </c>
      <c r="B127" t="s">
        <v>197</v>
      </c>
      <c r="C127">
        <v>2020</v>
      </c>
      <c r="D127">
        <v>1</v>
      </c>
      <c r="E127" t="s">
        <v>415</v>
      </c>
      <c r="F127" t="s">
        <v>434</v>
      </c>
      <c r="G127" t="s">
        <v>435</v>
      </c>
      <c r="H127" t="s">
        <v>84</v>
      </c>
      <c r="I127" t="s">
        <v>438</v>
      </c>
      <c r="J127" t="s">
        <v>59</v>
      </c>
      <c r="K127">
        <v>-17267.25223659</v>
      </c>
      <c r="L127" t="s">
        <v>89</v>
      </c>
      <c r="M127" t="s">
        <v>425</v>
      </c>
      <c r="N127">
        <v>2.5360775708E-3</v>
      </c>
      <c r="O127">
        <v>43.791091000000002</v>
      </c>
      <c r="P127" t="s">
        <v>421</v>
      </c>
      <c r="Q127">
        <v>1</v>
      </c>
      <c r="V127">
        <v>1</v>
      </c>
      <c r="W127">
        <v>1</v>
      </c>
      <c r="X127">
        <v>1</v>
      </c>
      <c r="Y127">
        <v>1</v>
      </c>
      <c r="Z127">
        <v>43.791091000000002</v>
      </c>
    </row>
    <row r="128" spans="1:26" x14ac:dyDescent="0.25">
      <c r="A128">
        <v>159533</v>
      </c>
      <c r="B128" t="s">
        <v>439</v>
      </c>
      <c r="C128">
        <v>2021</v>
      </c>
      <c r="D128">
        <v>1</v>
      </c>
      <c r="E128" t="s">
        <v>415</v>
      </c>
      <c r="F128" t="s">
        <v>416</v>
      </c>
      <c r="G128" t="s">
        <v>417</v>
      </c>
      <c r="H128" t="s">
        <v>84</v>
      </c>
      <c r="I128" t="s">
        <v>418</v>
      </c>
      <c r="J128" t="s">
        <v>419</v>
      </c>
      <c r="K128">
        <v>-61394.960772960003</v>
      </c>
      <c r="L128" t="s">
        <v>85</v>
      </c>
      <c r="M128" t="s">
        <v>420</v>
      </c>
      <c r="N128">
        <v>0.24824931095561001</v>
      </c>
      <c r="O128">
        <v>15241.256708000001</v>
      </c>
      <c r="P128" t="s">
        <v>421</v>
      </c>
      <c r="Q128">
        <v>1</v>
      </c>
      <c r="V128">
        <v>1</v>
      </c>
      <c r="W128">
        <v>1</v>
      </c>
      <c r="X128">
        <v>1</v>
      </c>
      <c r="Y128">
        <v>1</v>
      </c>
      <c r="Z128">
        <v>15241.256708000001</v>
      </c>
    </row>
    <row r="129" spans="1:26" x14ac:dyDescent="0.25">
      <c r="A129">
        <v>159534</v>
      </c>
      <c r="B129" t="s">
        <v>439</v>
      </c>
      <c r="C129">
        <v>2021</v>
      </c>
      <c r="D129">
        <v>1</v>
      </c>
      <c r="E129" t="s">
        <v>415</v>
      </c>
      <c r="F129" t="s">
        <v>416</v>
      </c>
      <c r="G129" t="s">
        <v>417</v>
      </c>
      <c r="H129" t="s">
        <v>84</v>
      </c>
      <c r="I129" t="s">
        <v>418</v>
      </c>
      <c r="J129" t="s">
        <v>419</v>
      </c>
      <c r="K129">
        <v>-61394.960772960003</v>
      </c>
      <c r="L129" t="s">
        <v>85</v>
      </c>
      <c r="M129" t="s">
        <v>422</v>
      </c>
      <c r="N129">
        <v>7.7540047892240005E-2</v>
      </c>
      <c r="O129">
        <v>4760.5681990000003</v>
      </c>
      <c r="P129" t="s">
        <v>421</v>
      </c>
      <c r="Q129">
        <v>1</v>
      </c>
      <c r="V129">
        <v>1</v>
      </c>
      <c r="W129">
        <v>1</v>
      </c>
      <c r="X129">
        <v>1</v>
      </c>
      <c r="Y129">
        <v>1</v>
      </c>
      <c r="Z129">
        <v>4760.5681990000003</v>
      </c>
    </row>
    <row r="130" spans="1:26" x14ac:dyDescent="0.25">
      <c r="A130">
        <v>159535</v>
      </c>
      <c r="B130" t="s">
        <v>439</v>
      </c>
      <c r="C130">
        <v>2021</v>
      </c>
      <c r="D130">
        <v>1</v>
      </c>
      <c r="E130" t="s">
        <v>415</v>
      </c>
      <c r="F130" t="s">
        <v>416</v>
      </c>
      <c r="G130" t="s">
        <v>417</v>
      </c>
      <c r="H130" t="s">
        <v>84</v>
      </c>
      <c r="I130" t="s">
        <v>418</v>
      </c>
      <c r="J130" t="s">
        <v>419</v>
      </c>
      <c r="K130">
        <v>-61394.960772960003</v>
      </c>
      <c r="L130" t="s">
        <v>85</v>
      </c>
      <c r="M130" t="s">
        <v>423</v>
      </c>
      <c r="N130">
        <v>0.73979703899049998</v>
      </c>
      <c r="O130">
        <v>45419.810189000003</v>
      </c>
      <c r="P130" t="s">
        <v>421</v>
      </c>
      <c r="Q130">
        <v>1</v>
      </c>
      <c r="V130">
        <v>1</v>
      </c>
      <c r="W130">
        <v>1</v>
      </c>
      <c r="X130">
        <v>1</v>
      </c>
      <c r="Y130">
        <v>1</v>
      </c>
      <c r="Z130">
        <v>45419.810189000003</v>
      </c>
    </row>
    <row r="131" spans="1:26" x14ac:dyDescent="0.25">
      <c r="A131">
        <v>159536</v>
      </c>
      <c r="B131" t="s">
        <v>439</v>
      </c>
      <c r="C131">
        <v>2021</v>
      </c>
      <c r="D131">
        <v>1</v>
      </c>
      <c r="E131" t="s">
        <v>415</v>
      </c>
      <c r="F131" t="s">
        <v>416</v>
      </c>
      <c r="G131" t="s">
        <v>417</v>
      </c>
      <c r="H131" t="s">
        <v>84</v>
      </c>
      <c r="I131" t="s">
        <v>418</v>
      </c>
      <c r="J131" t="s">
        <v>419</v>
      </c>
      <c r="K131">
        <v>-61394.960772960003</v>
      </c>
      <c r="L131" t="s">
        <v>85</v>
      </c>
      <c r="M131" t="s">
        <v>424</v>
      </c>
      <c r="N131">
        <v>2.9085775596699999E-3</v>
      </c>
      <c r="O131">
        <v>178.57200499999999</v>
      </c>
      <c r="P131" t="s">
        <v>421</v>
      </c>
      <c r="Q131">
        <v>1</v>
      </c>
      <c r="V131">
        <v>1</v>
      </c>
      <c r="W131">
        <v>1</v>
      </c>
      <c r="X131">
        <v>1</v>
      </c>
      <c r="Y131">
        <v>1</v>
      </c>
      <c r="Z131">
        <v>178.57200499999999</v>
      </c>
    </row>
    <row r="132" spans="1:26" x14ac:dyDescent="0.25">
      <c r="A132">
        <v>159537</v>
      </c>
      <c r="B132" t="s">
        <v>439</v>
      </c>
      <c r="C132">
        <v>2021</v>
      </c>
      <c r="D132">
        <v>1</v>
      </c>
      <c r="E132" t="s">
        <v>415</v>
      </c>
      <c r="F132" t="s">
        <v>416</v>
      </c>
      <c r="G132" t="s">
        <v>417</v>
      </c>
      <c r="H132" t="s">
        <v>84</v>
      </c>
      <c r="I132" t="s">
        <v>418</v>
      </c>
      <c r="J132" t="s">
        <v>419</v>
      </c>
      <c r="K132">
        <v>-61394.960772960003</v>
      </c>
      <c r="L132" t="s">
        <v>85</v>
      </c>
      <c r="M132" t="s">
        <v>425</v>
      </c>
      <c r="N132">
        <v>2.6170694898000001E-3</v>
      </c>
      <c r="O132">
        <v>160.674879</v>
      </c>
      <c r="P132" t="s">
        <v>421</v>
      </c>
      <c r="Q132">
        <v>1</v>
      </c>
      <c r="V132">
        <v>1</v>
      </c>
      <c r="W132">
        <v>1</v>
      </c>
      <c r="X132">
        <v>1</v>
      </c>
      <c r="Y132">
        <v>1</v>
      </c>
      <c r="Z132">
        <v>160.674879</v>
      </c>
    </row>
    <row r="133" spans="1:26" x14ac:dyDescent="0.25">
      <c r="A133">
        <v>159538</v>
      </c>
      <c r="B133" t="s">
        <v>439</v>
      </c>
      <c r="C133">
        <v>2021</v>
      </c>
      <c r="D133">
        <v>1</v>
      </c>
      <c r="E133" t="s">
        <v>415</v>
      </c>
      <c r="F133" t="s">
        <v>416</v>
      </c>
      <c r="G133" t="s">
        <v>417</v>
      </c>
      <c r="H133" t="s">
        <v>84</v>
      </c>
      <c r="I133" t="s">
        <v>426</v>
      </c>
      <c r="J133" t="s">
        <v>87</v>
      </c>
      <c r="K133">
        <v>-18253.107005639999</v>
      </c>
      <c r="L133" t="s">
        <v>427</v>
      </c>
      <c r="M133" t="s">
        <v>420</v>
      </c>
      <c r="N133">
        <v>0.45523813654234002</v>
      </c>
      <c r="O133">
        <v>8309.5104190000002</v>
      </c>
      <c r="P133" t="s">
        <v>421</v>
      </c>
      <c r="Q133">
        <v>1</v>
      </c>
      <c r="V133">
        <v>1</v>
      </c>
      <c r="W133">
        <v>1</v>
      </c>
      <c r="X133">
        <v>1</v>
      </c>
      <c r="Y133">
        <v>1</v>
      </c>
      <c r="Z133">
        <v>8309.5104190000002</v>
      </c>
    </row>
    <row r="134" spans="1:26" x14ac:dyDescent="0.25">
      <c r="A134">
        <v>159539</v>
      </c>
      <c r="B134" t="s">
        <v>439</v>
      </c>
      <c r="C134">
        <v>2021</v>
      </c>
      <c r="D134">
        <v>1</v>
      </c>
      <c r="E134" t="s">
        <v>415</v>
      </c>
      <c r="F134" t="s">
        <v>416</v>
      </c>
      <c r="G134" t="s">
        <v>417</v>
      </c>
      <c r="H134" t="s">
        <v>84</v>
      </c>
      <c r="I134" t="s">
        <v>426</v>
      </c>
      <c r="J134" t="s">
        <v>87</v>
      </c>
      <c r="K134">
        <v>-18253.107005639999</v>
      </c>
      <c r="L134" t="s">
        <v>427</v>
      </c>
      <c r="M134" t="s">
        <v>422</v>
      </c>
      <c r="N134">
        <v>6.8896616392329996E-2</v>
      </c>
      <c r="O134">
        <v>1257.577311</v>
      </c>
      <c r="P134" t="s">
        <v>421</v>
      </c>
      <c r="Q134">
        <v>1</v>
      </c>
      <c r="V134">
        <v>1</v>
      </c>
      <c r="W134">
        <v>1</v>
      </c>
      <c r="X134">
        <v>1</v>
      </c>
      <c r="Y134">
        <v>1</v>
      </c>
      <c r="Z134">
        <v>1257.577311</v>
      </c>
    </row>
    <row r="135" spans="1:26" x14ac:dyDescent="0.25">
      <c r="A135">
        <v>159540</v>
      </c>
      <c r="B135" t="s">
        <v>439</v>
      </c>
      <c r="C135">
        <v>2021</v>
      </c>
      <c r="D135">
        <v>1</v>
      </c>
      <c r="E135" t="s">
        <v>415</v>
      </c>
      <c r="F135" t="s">
        <v>416</v>
      </c>
      <c r="G135" t="s">
        <v>417</v>
      </c>
      <c r="H135" t="s">
        <v>84</v>
      </c>
      <c r="I135" t="s">
        <v>426</v>
      </c>
      <c r="J135" t="s">
        <v>87</v>
      </c>
      <c r="K135">
        <v>-18253.107005639999</v>
      </c>
      <c r="L135" t="s">
        <v>427</v>
      </c>
      <c r="M135" t="s">
        <v>423</v>
      </c>
      <c r="N135">
        <v>0.70986919705586005</v>
      </c>
      <c r="O135">
        <v>12957.318413999999</v>
      </c>
      <c r="P135" t="s">
        <v>421</v>
      </c>
      <c r="Q135">
        <v>1</v>
      </c>
      <c r="V135">
        <v>1</v>
      </c>
      <c r="W135">
        <v>1</v>
      </c>
      <c r="X135">
        <v>1</v>
      </c>
      <c r="Y135">
        <v>1</v>
      </c>
      <c r="Z135">
        <v>12957.318413999999</v>
      </c>
    </row>
    <row r="136" spans="1:26" x14ac:dyDescent="0.25">
      <c r="A136">
        <v>159541</v>
      </c>
      <c r="B136" t="s">
        <v>439</v>
      </c>
      <c r="C136">
        <v>2021</v>
      </c>
      <c r="D136">
        <v>1</v>
      </c>
      <c r="E136" t="s">
        <v>415</v>
      </c>
      <c r="F136" t="s">
        <v>416</v>
      </c>
      <c r="G136" t="s">
        <v>417</v>
      </c>
      <c r="H136" t="s">
        <v>84</v>
      </c>
      <c r="I136" t="s">
        <v>426</v>
      </c>
      <c r="J136" t="s">
        <v>87</v>
      </c>
      <c r="K136">
        <v>-18253.107005639999</v>
      </c>
      <c r="L136" t="s">
        <v>427</v>
      </c>
      <c r="M136" t="s">
        <v>425</v>
      </c>
      <c r="N136">
        <v>1.4965642882E-3</v>
      </c>
      <c r="O136">
        <v>27.316948</v>
      </c>
      <c r="P136" t="s">
        <v>421</v>
      </c>
      <c r="Q136">
        <v>1</v>
      </c>
      <c r="V136">
        <v>1</v>
      </c>
      <c r="W136">
        <v>1</v>
      </c>
      <c r="X136">
        <v>1</v>
      </c>
      <c r="Y136">
        <v>1</v>
      </c>
      <c r="Z136">
        <v>27.316948</v>
      </c>
    </row>
    <row r="137" spans="1:26" x14ac:dyDescent="0.25">
      <c r="A137">
        <v>159542</v>
      </c>
      <c r="B137" t="s">
        <v>439</v>
      </c>
      <c r="C137">
        <v>2021</v>
      </c>
      <c r="D137">
        <v>1</v>
      </c>
      <c r="E137" t="s">
        <v>415</v>
      </c>
      <c r="F137" t="s">
        <v>416</v>
      </c>
      <c r="G137" t="s">
        <v>417</v>
      </c>
      <c r="H137" t="s">
        <v>84</v>
      </c>
      <c r="I137" t="s">
        <v>428</v>
      </c>
      <c r="J137" t="s">
        <v>59</v>
      </c>
      <c r="K137">
        <v>-15402.649356870001</v>
      </c>
      <c r="L137" t="s">
        <v>89</v>
      </c>
      <c r="M137" t="s">
        <v>420</v>
      </c>
      <c r="N137">
        <v>0.26343870574139999</v>
      </c>
      <c r="O137">
        <v>4057.654012</v>
      </c>
      <c r="P137" t="s">
        <v>421</v>
      </c>
      <c r="Q137">
        <v>1</v>
      </c>
      <c r="V137">
        <v>1</v>
      </c>
      <c r="W137">
        <v>1</v>
      </c>
      <c r="X137">
        <v>1</v>
      </c>
      <c r="Y137">
        <v>1</v>
      </c>
      <c r="Z137">
        <v>4057.654012</v>
      </c>
    </row>
    <row r="138" spans="1:26" x14ac:dyDescent="0.25">
      <c r="A138">
        <v>159543</v>
      </c>
      <c r="B138" t="s">
        <v>439</v>
      </c>
      <c r="C138">
        <v>2021</v>
      </c>
      <c r="D138">
        <v>1</v>
      </c>
      <c r="E138" t="s">
        <v>415</v>
      </c>
      <c r="F138" t="s">
        <v>416</v>
      </c>
      <c r="G138" t="s">
        <v>417</v>
      </c>
      <c r="H138" t="s">
        <v>84</v>
      </c>
      <c r="I138" t="s">
        <v>428</v>
      </c>
      <c r="J138" t="s">
        <v>59</v>
      </c>
      <c r="K138">
        <v>-15402.649356870001</v>
      </c>
      <c r="L138" t="s">
        <v>89</v>
      </c>
      <c r="M138" t="s">
        <v>422</v>
      </c>
      <c r="N138">
        <v>7.1262429683470005E-2</v>
      </c>
      <c r="O138">
        <v>1097.6302169999999</v>
      </c>
      <c r="P138" t="s">
        <v>421</v>
      </c>
      <c r="Q138">
        <v>1</v>
      </c>
      <c r="V138">
        <v>1</v>
      </c>
      <c r="W138">
        <v>1</v>
      </c>
      <c r="X138">
        <v>1</v>
      </c>
      <c r="Y138">
        <v>1</v>
      </c>
      <c r="Z138">
        <v>1097.6302169999999</v>
      </c>
    </row>
    <row r="139" spans="1:26" x14ac:dyDescent="0.25">
      <c r="A139">
        <v>159544</v>
      </c>
      <c r="B139" t="s">
        <v>439</v>
      </c>
      <c r="C139">
        <v>2021</v>
      </c>
      <c r="D139">
        <v>1</v>
      </c>
      <c r="E139" t="s">
        <v>415</v>
      </c>
      <c r="F139" t="s">
        <v>416</v>
      </c>
      <c r="G139" t="s">
        <v>417</v>
      </c>
      <c r="H139" t="s">
        <v>84</v>
      </c>
      <c r="I139" t="s">
        <v>428</v>
      </c>
      <c r="J139" t="s">
        <v>59</v>
      </c>
      <c r="K139">
        <v>-15402.649356870001</v>
      </c>
      <c r="L139" t="s">
        <v>89</v>
      </c>
      <c r="M139" t="s">
        <v>423</v>
      </c>
      <c r="N139">
        <v>0.74738783869542003</v>
      </c>
      <c r="O139">
        <v>11511.752812999999</v>
      </c>
      <c r="P139" t="s">
        <v>421</v>
      </c>
      <c r="Q139">
        <v>1</v>
      </c>
      <c r="V139">
        <v>1</v>
      </c>
      <c r="W139">
        <v>1</v>
      </c>
      <c r="X139">
        <v>1</v>
      </c>
      <c r="Y139">
        <v>1</v>
      </c>
      <c r="Z139">
        <v>11511.752812999999</v>
      </c>
    </row>
    <row r="140" spans="1:26" x14ac:dyDescent="0.25">
      <c r="A140">
        <v>159545</v>
      </c>
      <c r="B140" t="s">
        <v>439</v>
      </c>
      <c r="C140">
        <v>2021</v>
      </c>
      <c r="D140">
        <v>1</v>
      </c>
      <c r="E140" t="s">
        <v>415</v>
      </c>
      <c r="F140" t="s">
        <v>416</v>
      </c>
      <c r="G140" t="s">
        <v>417</v>
      </c>
      <c r="H140" t="s">
        <v>84</v>
      </c>
      <c r="I140" t="s">
        <v>428</v>
      </c>
      <c r="J140" t="s">
        <v>59</v>
      </c>
      <c r="K140">
        <v>-15402.649356870001</v>
      </c>
      <c r="L140" t="s">
        <v>89</v>
      </c>
      <c r="M140" t="s">
        <v>424</v>
      </c>
      <c r="N140">
        <v>3.08071516317E-3</v>
      </c>
      <c r="O140">
        <v>47.451174999999999</v>
      </c>
      <c r="P140" t="s">
        <v>421</v>
      </c>
      <c r="Q140">
        <v>1</v>
      </c>
      <c r="V140">
        <v>1</v>
      </c>
      <c r="W140">
        <v>1</v>
      </c>
      <c r="X140">
        <v>1</v>
      </c>
      <c r="Y140">
        <v>1</v>
      </c>
      <c r="Z140">
        <v>47.451174999999999</v>
      </c>
    </row>
    <row r="141" spans="1:26" x14ac:dyDescent="0.25">
      <c r="A141">
        <v>159546</v>
      </c>
      <c r="B141" t="s">
        <v>439</v>
      </c>
      <c r="C141">
        <v>2021</v>
      </c>
      <c r="D141">
        <v>1</v>
      </c>
      <c r="E141" t="s">
        <v>415</v>
      </c>
      <c r="F141" t="s">
        <v>416</v>
      </c>
      <c r="G141" t="s">
        <v>417</v>
      </c>
      <c r="H141" t="s">
        <v>84</v>
      </c>
      <c r="I141" t="s">
        <v>428</v>
      </c>
      <c r="J141" t="s">
        <v>59</v>
      </c>
      <c r="K141">
        <v>-15402.649356870001</v>
      </c>
      <c r="L141" t="s">
        <v>89</v>
      </c>
      <c r="M141" t="s">
        <v>425</v>
      </c>
      <c r="N141">
        <v>2.5360775708E-3</v>
      </c>
      <c r="O141">
        <v>39.062314000000001</v>
      </c>
      <c r="P141" t="s">
        <v>421</v>
      </c>
      <c r="Q141">
        <v>1</v>
      </c>
      <c r="V141">
        <v>1</v>
      </c>
      <c r="W141">
        <v>1</v>
      </c>
      <c r="X141">
        <v>1</v>
      </c>
      <c r="Y141">
        <v>1</v>
      </c>
      <c r="Z141">
        <v>39.062314000000001</v>
      </c>
    </row>
    <row r="142" spans="1:26" x14ac:dyDescent="0.25">
      <c r="A142">
        <v>159547</v>
      </c>
      <c r="B142" t="s">
        <v>439</v>
      </c>
      <c r="C142">
        <v>2021</v>
      </c>
      <c r="D142">
        <v>1</v>
      </c>
      <c r="E142" t="s">
        <v>415</v>
      </c>
      <c r="F142" t="s">
        <v>429</v>
      </c>
      <c r="G142" t="s">
        <v>430</v>
      </c>
      <c r="H142" t="s">
        <v>84</v>
      </c>
      <c r="I142" t="s">
        <v>431</v>
      </c>
      <c r="J142" t="s">
        <v>419</v>
      </c>
      <c r="K142">
        <v>-88588.857277019997</v>
      </c>
      <c r="L142" t="s">
        <v>85</v>
      </c>
      <c r="M142" t="s">
        <v>420</v>
      </c>
      <c r="N142">
        <v>0.24824931095561001</v>
      </c>
      <c r="O142">
        <v>21992.122777</v>
      </c>
      <c r="P142" t="s">
        <v>421</v>
      </c>
      <c r="Q142">
        <v>1</v>
      </c>
      <c r="V142">
        <v>1</v>
      </c>
      <c r="W142">
        <v>1</v>
      </c>
      <c r="X142">
        <v>1</v>
      </c>
      <c r="Y142">
        <v>1</v>
      </c>
      <c r="Z142">
        <v>21992.122777</v>
      </c>
    </row>
    <row r="143" spans="1:26" x14ac:dyDescent="0.25">
      <c r="A143">
        <v>159548</v>
      </c>
      <c r="B143" t="s">
        <v>439</v>
      </c>
      <c r="C143">
        <v>2021</v>
      </c>
      <c r="D143">
        <v>1</v>
      </c>
      <c r="E143" t="s">
        <v>415</v>
      </c>
      <c r="F143" t="s">
        <v>429</v>
      </c>
      <c r="G143" t="s">
        <v>430</v>
      </c>
      <c r="H143" t="s">
        <v>84</v>
      </c>
      <c r="I143" t="s">
        <v>431</v>
      </c>
      <c r="J143" t="s">
        <v>419</v>
      </c>
      <c r="K143">
        <v>-88588.857277019997</v>
      </c>
      <c r="L143" t="s">
        <v>85</v>
      </c>
      <c r="M143" t="s">
        <v>422</v>
      </c>
      <c r="N143">
        <v>7.7540047892240005E-2</v>
      </c>
      <c r="O143">
        <v>6869.1842360000001</v>
      </c>
      <c r="P143" t="s">
        <v>421</v>
      </c>
      <c r="Q143">
        <v>1</v>
      </c>
      <c r="V143">
        <v>1</v>
      </c>
      <c r="W143">
        <v>1</v>
      </c>
      <c r="X143">
        <v>1</v>
      </c>
      <c r="Y143">
        <v>1</v>
      </c>
      <c r="Z143">
        <v>6869.1842360000001</v>
      </c>
    </row>
    <row r="144" spans="1:26" x14ac:dyDescent="0.25">
      <c r="A144">
        <v>159549</v>
      </c>
      <c r="B144" t="s">
        <v>439</v>
      </c>
      <c r="C144">
        <v>2021</v>
      </c>
      <c r="D144">
        <v>1</v>
      </c>
      <c r="E144" t="s">
        <v>415</v>
      </c>
      <c r="F144" t="s">
        <v>429</v>
      </c>
      <c r="G144" t="s">
        <v>430</v>
      </c>
      <c r="H144" t="s">
        <v>84</v>
      </c>
      <c r="I144" t="s">
        <v>431</v>
      </c>
      <c r="J144" t="s">
        <v>419</v>
      </c>
      <c r="K144">
        <v>-88588.857277019997</v>
      </c>
      <c r="L144" t="s">
        <v>85</v>
      </c>
      <c r="M144" t="s">
        <v>423</v>
      </c>
      <c r="N144">
        <v>0.73979703899049998</v>
      </c>
      <c r="O144">
        <v>65537.774300999998</v>
      </c>
      <c r="P144" t="s">
        <v>421</v>
      </c>
      <c r="Q144">
        <v>1</v>
      </c>
      <c r="V144">
        <v>1</v>
      </c>
      <c r="W144">
        <v>1</v>
      </c>
      <c r="X144">
        <v>1</v>
      </c>
      <c r="Y144">
        <v>1</v>
      </c>
      <c r="Z144">
        <v>65537.774300999998</v>
      </c>
    </row>
    <row r="145" spans="1:26" x14ac:dyDescent="0.25">
      <c r="A145">
        <v>159550</v>
      </c>
      <c r="B145" t="s">
        <v>439</v>
      </c>
      <c r="C145">
        <v>2021</v>
      </c>
      <c r="D145">
        <v>1</v>
      </c>
      <c r="E145" t="s">
        <v>415</v>
      </c>
      <c r="F145" t="s">
        <v>429</v>
      </c>
      <c r="G145" t="s">
        <v>430</v>
      </c>
      <c r="H145" t="s">
        <v>84</v>
      </c>
      <c r="I145" t="s">
        <v>431</v>
      </c>
      <c r="J145" t="s">
        <v>419</v>
      </c>
      <c r="K145">
        <v>-88588.857277019997</v>
      </c>
      <c r="L145" t="s">
        <v>85</v>
      </c>
      <c r="M145" t="s">
        <v>424</v>
      </c>
      <c r="N145">
        <v>2.9085775596699999E-3</v>
      </c>
      <c r="O145">
        <v>257.66756199999998</v>
      </c>
      <c r="P145" t="s">
        <v>421</v>
      </c>
      <c r="Q145">
        <v>1</v>
      </c>
      <c r="V145">
        <v>1</v>
      </c>
      <c r="W145">
        <v>1</v>
      </c>
      <c r="X145">
        <v>1</v>
      </c>
      <c r="Y145">
        <v>1</v>
      </c>
      <c r="Z145">
        <v>257.66756199999998</v>
      </c>
    </row>
    <row r="146" spans="1:26" x14ac:dyDescent="0.25">
      <c r="A146">
        <v>159551</v>
      </c>
      <c r="B146" t="s">
        <v>439</v>
      </c>
      <c r="C146">
        <v>2021</v>
      </c>
      <c r="D146">
        <v>1</v>
      </c>
      <c r="E146" t="s">
        <v>415</v>
      </c>
      <c r="F146" t="s">
        <v>429</v>
      </c>
      <c r="G146" t="s">
        <v>430</v>
      </c>
      <c r="H146" t="s">
        <v>84</v>
      </c>
      <c r="I146" t="s">
        <v>431</v>
      </c>
      <c r="J146" t="s">
        <v>419</v>
      </c>
      <c r="K146">
        <v>-88588.857277019997</v>
      </c>
      <c r="L146" t="s">
        <v>85</v>
      </c>
      <c r="M146" t="s">
        <v>425</v>
      </c>
      <c r="N146">
        <v>2.6170694898000001E-3</v>
      </c>
      <c r="O146">
        <v>231.84319600000001</v>
      </c>
      <c r="P146" t="s">
        <v>421</v>
      </c>
      <c r="Q146">
        <v>1</v>
      </c>
      <c r="V146">
        <v>1</v>
      </c>
      <c r="W146">
        <v>1</v>
      </c>
      <c r="X146">
        <v>1</v>
      </c>
      <c r="Y146">
        <v>1</v>
      </c>
      <c r="Z146">
        <v>231.84319600000001</v>
      </c>
    </row>
    <row r="147" spans="1:26" x14ac:dyDescent="0.25">
      <c r="A147">
        <v>159552</v>
      </c>
      <c r="B147" t="s">
        <v>439</v>
      </c>
      <c r="C147">
        <v>2021</v>
      </c>
      <c r="D147">
        <v>1</v>
      </c>
      <c r="E147" t="s">
        <v>415</v>
      </c>
      <c r="F147" t="s">
        <v>429</v>
      </c>
      <c r="G147" t="s">
        <v>430</v>
      </c>
      <c r="H147" t="s">
        <v>84</v>
      </c>
      <c r="I147" t="s">
        <v>432</v>
      </c>
      <c r="J147" t="s">
        <v>87</v>
      </c>
      <c r="K147">
        <v>-25493.975241730001</v>
      </c>
      <c r="L147" t="s">
        <v>427</v>
      </c>
      <c r="M147" t="s">
        <v>420</v>
      </c>
      <c r="N147">
        <v>0.45523813654234002</v>
      </c>
      <c r="O147">
        <v>11605.829782000001</v>
      </c>
      <c r="P147" t="s">
        <v>421</v>
      </c>
      <c r="Q147">
        <v>1</v>
      </c>
      <c r="V147">
        <v>1</v>
      </c>
      <c r="W147">
        <v>1</v>
      </c>
      <c r="X147">
        <v>1</v>
      </c>
      <c r="Y147">
        <v>1</v>
      </c>
      <c r="Z147">
        <v>11605.829782000001</v>
      </c>
    </row>
    <row r="148" spans="1:26" x14ac:dyDescent="0.25">
      <c r="A148">
        <v>159553</v>
      </c>
      <c r="B148" t="s">
        <v>439</v>
      </c>
      <c r="C148">
        <v>2021</v>
      </c>
      <c r="D148">
        <v>1</v>
      </c>
      <c r="E148" t="s">
        <v>415</v>
      </c>
      <c r="F148" t="s">
        <v>429</v>
      </c>
      <c r="G148" t="s">
        <v>430</v>
      </c>
      <c r="H148" t="s">
        <v>84</v>
      </c>
      <c r="I148" t="s">
        <v>432</v>
      </c>
      <c r="J148" t="s">
        <v>87</v>
      </c>
      <c r="K148">
        <v>-25493.975241730001</v>
      </c>
      <c r="L148" t="s">
        <v>427</v>
      </c>
      <c r="M148" t="s">
        <v>422</v>
      </c>
      <c r="N148">
        <v>6.8896616392329996E-2</v>
      </c>
      <c r="O148">
        <v>1756.448633</v>
      </c>
      <c r="P148" t="s">
        <v>421</v>
      </c>
      <c r="Q148">
        <v>1</v>
      </c>
      <c r="V148">
        <v>1</v>
      </c>
      <c r="W148">
        <v>1</v>
      </c>
      <c r="X148">
        <v>1</v>
      </c>
      <c r="Y148">
        <v>1</v>
      </c>
      <c r="Z148">
        <v>1756.448633</v>
      </c>
    </row>
    <row r="149" spans="1:26" x14ac:dyDescent="0.25">
      <c r="A149">
        <v>159554</v>
      </c>
      <c r="B149" t="s">
        <v>439</v>
      </c>
      <c r="C149">
        <v>2021</v>
      </c>
      <c r="D149">
        <v>1</v>
      </c>
      <c r="E149" t="s">
        <v>415</v>
      </c>
      <c r="F149" t="s">
        <v>429</v>
      </c>
      <c r="G149" t="s">
        <v>430</v>
      </c>
      <c r="H149" t="s">
        <v>84</v>
      </c>
      <c r="I149" t="s">
        <v>432</v>
      </c>
      <c r="J149" t="s">
        <v>87</v>
      </c>
      <c r="K149">
        <v>-25493.975241730001</v>
      </c>
      <c r="L149" t="s">
        <v>427</v>
      </c>
      <c r="M149" t="s">
        <v>423</v>
      </c>
      <c r="N149">
        <v>0.70986919705586005</v>
      </c>
      <c r="O149">
        <v>18097.387735</v>
      </c>
      <c r="P149" t="s">
        <v>421</v>
      </c>
      <c r="Q149">
        <v>1</v>
      </c>
      <c r="V149">
        <v>1</v>
      </c>
      <c r="W149">
        <v>1</v>
      </c>
      <c r="X149">
        <v>1</v>
      </c>
      <c r="Y149">
        <v>1</v>
      </c>
      <c r="Z149">
        <v>18097.387735</v>
      </c>
    </row>
    <row r="150" spans="1:26" x14ac:dyDescent="0.25">
      <c r="A150">
        <v>159555</v>
      </c>
      <c r="B150" t="s">
        <v>439</v>
      </c>
      <c r="C150">
        <v>2021</v>
      </c>
      <c r="D150">
        <v>1</v>
      </c>
      <c r="E150" t="s">
        <v>415</v>
      </c>
      <c r="F150" t="s">
        <v>429</v>
      </c>
      <c r="G150" t="s">
        <v>430</v>
      </c>
      <c r="H150" t="s">
        <v>84</v>
      </c>
      <c r="I150" t="s">
        <v>432</v>
      </c>
      <c r="J150" t="s">
        <v>87</v>
      </c>
      <c r="K150">
        <v>-25493.975241730001</v>
      </c>
      <c r="L150" t="s">
        <v>427</v>
      </c>
      <c r="M150" t="s">
        <v>425</v>
      </c>
      <c r="N150">
        <v>1.4965642882E-3</v>
      </c>
      <c r="O150">
        <v>38.153373000000002</v>
      </c>
      <c r="P150" t="s">
        <v>421</v>
      </c>
      <c r="Q150">
        <v>1</v>
      </c>
      <c r="V150">
        <v>1</v>
      </c>
      <c r="W150">
        <v>1</v>
      </c>
      <c r="X150">
        <v>1</v>
      </c>
      <c r="Y150">
        <v>1</v>
      </c>
      <c r="Z150">
        <v>38.153373000000002</v>
      </c>
    </row>
    <row r="151" spans="1:26" x14ac:dyDescent="0.25">
      <c r="A151">
        <v>159556</v>
      </c>
      <c r="B151" t="s">
        <v>439</v>
      </c>
      <c r="C151">
        <v>2021</v>
      </c>
      <c r="D151">
        <v>1</v>
      </c>
      <c r="E151" t="s">
        <v>415</v>
      </c>
      <c r="F151" t="s">
        <v>429</v>
      </c>
      <c r="G151" t="s">
        <v>430</v>
      </c>
      <c r="H151" t="s">
        <v>84</v>
      </c>
      <c r="I151" t="s">
        <v>433</v>
      </c>
      <c r="J151" t="s">
        <v>59</v>
      </c>
      <c r="K151">
        <v>-24558.518734550002</v>
      </c>
      <c r="L151" t="s">
        <v>89</v>
      </c>
      <c r="M151" t="s">
        <v>420</v>
      </c>
      <c r="N151">
        <v>0.26343870574139999</v>
      </c>
      <c r="O151">
        <v>6469.6643899999999</v>
      </c>
      <c r="P151" t="s">
        <v>421</v>
      </c>
      <c r="Q151">
        <v>1</v>
      </c>
      <c r="V151">
        <v>1</v>
      </c>
      <c r="W151">
        <v>1</v>
      </c>
      <c r="X151">
        <v>1</v>
      </c>
      <c r="Y151">
        <v>1</v>
      </c>
      <c r="Z151">
        <v>6469.6643899999999</v>
      </c>
    </row>
    <row r="152" spans="1:26" x14ac:dyDescent="0.25">
      <c r="A152">
        <v>159557</v>
      </c>
      <c r="B152" t="s">
        <v>439</v>
      </c>
      <c r="C152">
        <v>2021</v>
      </c>
      <c r="D152">
        <v>1</v>
      </c>
      <c r="E152" t="s">
        <v>415</v>
      </c>
      <c r="F152" t="s">
        <v>429</v>
      </c>
      <c r="G152" t="s">
        <v>430</v>
      </c>
      <c r="H152" t="s">
        <v>84</v>
      </c>
      <c r="I152" t="s">
        <v>433</v>
      </c>
      <c r="J152" t="s">
        <v>59</v>
      </c>
      <c r="K152">
        <v>-24558.518734550002</v>
      </c>
      <c r="L152" t="s">
        <v>89</v>
      </c>
      <c r="M152" t="s">
        <v>422</v>
      </c>
      <c r="N152">
        <v>7.1262429683470005E-2</v>
      </c>
      <c r="O152">
        <v>1750.0997139999999</v>
      </c>
      <c r="P152" t="s">
        <v>421</v>
      </c>
      <c r="Q152">
        <v>1</v>
      </c>
      <c r="V152">
        <v>1</v>
      </c>
      <c r="W152">
        <v>1</v>
      </c>
      <c r="X152">
        <v>1</v>
      </c>
      <c r="Y152">
        <v>1</v>
      </c>
      <c r="Z152">
        <v>1750.0997139999999</v>
      </c>
    </row>
    <row r="153" spans="1:26" x14ac:dyDescent="0.25">
      <c r="A153">
        <v>159558</v>
      </c>
      <c r="B153" t="s">
        <v>439</v>
      </c>
      <c r="C153">
        <v>2021</v>
      </c>
      <c r="D153">
        <v>1</v>
      </c>
      <c r="E153" t="s">
        <v>415</v>
      </c>
      <c r="F153" t="s">
        <v>429</v>
      </c>
      <c r="G153" t="s">
        <v>430</v>
      </c>
      <c r="H153" t="s">
        <v>84</v>
      </c>
      <c r="I153" t="s">
        <v>433</v>
      </c>
      <c r="J153" t="s">
        <v>59</v>
      </c>
      <c r="K153">
        <v>-24558.518734550002</v>
      </c>
      <c r="L153" t="s">
        <v>89</v>
      </c>
      <c r="M153" t="s">
        <v>423</v>
      </c>
      <c r="N153">
        <v>0.74738783869542003</v>
      </c>
      <c r="O153">
        <v>18354.738238999998</v>
      </c>
      <c r="P153" t="s">
        <v>421</v>
      </c>
      <c r="Q153">
        <v>1</v>
      </c>
      <c r="V153">
        <v>1</v>
      </c>
      <c r="W153">
        <v>1</v>
      </c>
      <c r="X153">
        <v>1</v>
      </c>
      <c r="Y153">
        <v>1</v>
      </c>
      <c r="Z153">
        <v>18354.738238999998</v>
      </c>
    </row>
    <row r="154" spans="1:26" x14ac:dyDescent="0.25">
      <c r="A154">
        <v>159559</v>
      </c>
      <c r="B154" t="s">
        <v>439</v>
      </c>
      <c r="C154">
        <v>2021</v>
      </c>
      <c r="D154">
        <v>1</v>
      </c>
      <c r="E154" t="s">
        <v>415</v>
      </c>
      <c r="F154" t="s">
        <v>429</v>
      </c>
      <c r="G154" t="s">
        <v>430</v>
      </c>
      <c r="H154" t="s">
        <v>84</v>
      </c>
      <c r="I154" t="s">
        <v>433</v>
      </c>
      <c r="J154" t="s">
        <v>59</v>
      </c>
      <c r="K154">
        <v>-24558.518734550002</v>
      </c>
      <c r="L154" t="s">
        <v>89</v>
      </c>
      <c r="M154" t="s">
        <v>424</v>
      </c>
      <c r="N154">
        <v>3.08071516317E-3</v>
      </c>
      <c r="O154">
        <v>75.657801000000006</v>
      </c>
      <c r="P154" t="s">
        <v>421</v>
      </c>
      <c r="Q154">
        <v>1</v>
      </c>
      <c r="V154">
        <v>1</v>
      </c>
      <c r="W154">
        <v>1</v>
      </c>
      <c r="X154">
        <v>1</v>
      </c>
      <c r="Y154">
        <v>1</v>
      </c>
      <c r="Z154">
        <v>75.657801000000006</v>
      </c>
    </row>
    <row r="155" spans="1:26" x14ac:dyDescent="0.25">
      <c r="A155">
        <v>159560</v>
      </c>
      <c r="B155" t="s">
        <v>439</v>
      </c>
      <c r="C155">
        <v>2021</v>
      </c>
      <c r="D155">
        <v>1</v>
      </c>
      <c r="E155" t="s">
        <v>415</v>
      </c>
      <c r="F155" t="s">
        <v>429</v>
      </c>
      <c r="G155" t="s">
        <v>430</v>
      </c>
      <c r="H155" t="s">
        <v>84</v>
      </c>
      <c r="I155" t="s">
        <v>433</v>
      </c>
      <c r="J155" t="s">
        <v>59</v>
      </c>
      <c r="K155">
        <v>-24558.518734550002</v>
      </c>
      <c r="L155" t="s">
        <v>89</v>
      </c>
      <c r="M155" t="s">
        <v>425</v>
      </c>
      <c r="N155">
        <v>2.5360775708E-3</v>
      </c>
      <c r="O155">
        <v>62.282308999999998</v>
      </c>
      <c r="P155" t="s">
        <v>421</v>
      </c>
      <c r="Q155">
        <v>1</v>
      </c>
      <c r="V155">
        <v>1</v>
      </c>
      <c r="W155">
        <v>1</v>
      </c>
      <c r="X155">
        <v>1</v>
      </c>
      <c r="Y155">
        <v>1</v>
      </c>
      <c r="Z155">
        <v>62.282308999999998</v>
      </c>
    </row>
    <row r="156" spans="1:26" x14ac:dyDescent="0.25">
      <c r="A156">
        <v>159561</v>
      </c>
      <c r="B156" t="s">
        <v>439</v>
      </c>
      <c r="C156">
        <v>2021</v>
      </c>
      <c r="D156">
        <v>1</v>
      </c>
      <c r="E156" t="s">
        <v>415</v>
      </c>
      <c r="F156" t="s">
        <v>434</v>
      </c>
      <c r="G156" t="s">
        <v>435</v>
      </c>
      <c r="H156" t="s">
        <v>84</v>
      </c>
      <c r="I156" t="s">
        <v>436</v>
      </c>
      <c r="J156" t="s">
        <v>419</v>
      </c>
      <c r="K156">
        <v>-47697.31280362</v>
      </c>
      <c r="L156" t="s">
        <v>85</v>
      </c>
      <c r="M156" t="s">
        <v>420</v>
      </c>
      <c r="N156">
        <v>0.24824931095561001</v>
      </c>
      <c r="O156">
        <v>11840.825038000001</v>
      </c>
      <c r="P156" t="s">
        <v>421</v>
      </c>
      <c r="Q156">
        <v>1</v>
      </c>
      <c r="V156">
        <v>1</v>
      </c>
      <c r="W156">
        <v>1</v>
      </c>
      <c r="X156">
        <v>1</v>
      </c>
      <c r="Y156">
        <v>1</v>
      </c>
      <c r="Z156">
        <v>11840.825038000001</v>
      </c>
    </row>
    <row r="157" spans="1:26" x14ac:dyDescent="0.25">
      <c r="A157">
        <v>159562</v>
      </c>
      <c r="B157" t="s">
        <v>439</v>
      </c>
      <c r="C157">
        <v>2021</v>
      </c>
      <c r="D157">
        <v>1</v>
      </c>
      <c r="E157" t="s">
        <v>415</v>
      </c>
      <c r="F157" t="s">
        <v>434</v>
      </c>
      <c r="G157" t="s">
        <v>435</v>
      </c>
      <c r="H157" t="s">
        <v>84</v>
      </c>
      <c r="I157" t="s">
        <v>436</v>
      </c>
      <c r="J157" t="s">
        <v>419</v>
      </c>
      <c r="K157">
        <v>-47697.31280362</v>
      </c>
      <c r="L157" t="s">
        <v>85</v>
      </c>
      <c r="M157" t="s">
        <v>422</v>
      </c>
      <c r="N157">
        <v>7.7540047892240005E-2</v>
      </c>
      <c r="O157">
        <v>3698.4519190000001</v>
      </c>
      <c r="P157" t="s">
        <v>421</v>
      </c>
      <c r="Q157">
        <v>1</v>
      </c>
      <c r="V157">
        <v>1</v>
      </c>
      <c r="W157">
        <v>1</v>
      </c>
      <c r="X157">
        <v>1</v>
      </c>
      <c r="Y157">
        <v>1</v>
      </c>
      <c r="Z157">
        <v>3698.4519190000001</v>
      </c>
    </row>
    <row r="158" spans="1:26" x14ac:dyDescent="0.25">
      <c r="A158">
        <v>159563</v>
      </c>
      <c r="B158" t="s">
        <v>439</v>
      </c>
      <c r="C158">
        <v>2021</v>
      </c>
      <c r="D158">
        <v>1</v>
      </c>
      <c r="E158" t="s">
        <v>415</v>
      </c>
      <c r="F158" t="s">
        <v>434</v>
      </c>
      <c r="G158" t="s">
        <v>435</v>
      </c>
      <c r="H158" t="s">
        <v>84</v>
      </c>
      <c r="I158" t="s">
        <v>436</v>
      </c>
      <c r="J158" t="s">
        <v>419</v>
      </c>
      <c r="K158">
        <v>-47697.31280362</v>
      </c>
      <c r="L158" t="s">
        <v>85</v>
      </c>
      <c r="M158" t="s">
        <v>423</v>
      </c>
      <c r="N158">
        <v>0.73979703899049998</v>
      </c>
      <c r="O158">
        <v>35286.330779999997</v>
      </c>
      <c r="P158" t="s">
        <v>421</v>
      </c>
      <c r="Q158">
        <v>1</v>
      </c>
      <c r="V158">
        <v>1</v>
      </c>
      <c r="W158">
        <v>1</v>
      </c>
      <c r="X158">
        <v>1</v>
      </c>
      <c r="Y158">
        <v>1</v>
      </c>
      <c r="Z158">
        <v>35286.330779999997</v>
      </c>
    </row>
    <row r="159" spans="1:26" x14ac:dyDescent="0.25">
      <c r="A159">
        <v>159564</v>
      </c>
      <c r="B159" t="s">
        <v>439</v>
      </c>
      <c r="C159">
        <v>2021</v>
      </c>
      <c r="D159">
        <v>1</v>
      </c>
      <c r="E159" t="s">
        <v>415</v>
      </c>
      <c r="F159" t="s">
        <v>434</v>
      </c>
      <c r="G159" t="s">
        <v>435</v>
      </c>
      <c r="H159" t="s">
        <v>84</v>
      </c>
      <c r="I159" t="s">
        <v>436</v>
      </c>
      <c r="J159" t="s">
        <v>419</v>
      </c>
      <c r="K159">
        <v>-47697.31280362</v>
      </c>
      <c r="L159" t="s">
        <v>85</v>
      </c>
      <c r="M159" t="s">
        <v>424</v>
      </c>
      <c r="N159">
        <v>2.9085775596699999E-3</v>
      </c>
      <c r="O159">
        <v>138.731334</v>
      </c>
      <c r="P159" t="s">
        <v>421</v>
      </c>
      <c r="Q159">
        <v>1</v>
      </c>
      <c r="V159">
        <v>1</v>
      </c>
      <c r="W159">
        <v>1</v>
      </c>
      <c r="X159">
        <v>1</v>
      </c>
      <c r="Y159">
        <v>1</v>
      </c>
      <c r="Z159">
        <v>138.731334</v>
      </c>
    </row>
    <row r="160" spans="1:26" x14ac:dyDescent="0.25">
      <c r="A160">
        <v>159565</v>
      </c>
      <c r="B160" t="s">
        <v>439</v>
      </c>
      <c r="C160">
        <v>2021</v>
      </c>
      <c r="D160">
        <v>1</v>
      </c>
      <c r="E160" t="s">
        <v>415</v>
      </c>
      <c r="F160" t="s">
        <v>434</v>
      </c>
      <c r="G160" t="s">
        <v>435</v>
      </c>
      <c r="H160" t="s">
        <v>84</v>
      </c>
      <c r="I160" t="s">
        <v>436</v>
      </c>
      <c r="J160" t="s">
        <v>419</v>
      </c>
      <c r="K160">
        <v>-47697.31280362</v>
      </c>
      <c r="L160" t="s">
        <v>85</v>
      </c>
      <c r="M160" t="s">
        <v>425</v>
      </c>
      <c r="N160">
        <v>2.6170694898000001E-3</v>
      </c>
      <c r="O160">
        <v>124.82718199999999</v>
      </c>
      <c r="P160" t="s">
        <v>421</v>
      </c>
      <c r="Q160">
        <v>1</v>
      </c>
      <c r="V160">
        <v>1</v>
      </c>
      <c r="W160">
        <v>1</v>
      </c>
      <c r="X160">
        <v>1</v>
      </c>
      <c r="Y160">
        <v>1</v>
      </c>
      <c r="Z160">
        <v>124.82718199999999</v>
      </c>
    </row>
    <row r="161" spans="1:26" x14ac:dyDescent="0.25">
      <c r="A161">
        <v>159566</v>
      </c>
      <c r="B161" t="s">
        <v>439</v>
      </c>
      <c r="C161">
        <v>2021</v>
      </c>
      <c r="D161">
        <v>1</v>
      </c>
      <c r="E161" t="s">
        <v>415</v>
      </c>
      <c r="F161" t="s">
        <v>434</v>
      </c>
      <c r="G161" t="s">
        <v>435</v>
      </c>
      <c r="H161" t="s">
        <v>84</v>
      </c>
      <c r="I161" t="s">
        <v>437</v>
      </c>
      <c r="J161" t="s">
        <v>87</v>
      </c>
      <c r="K161">
        <v>-12783.48665411</v>
      </c>
      <c r="L161" t="s">
        <v>427</v>
      </c>
      <c r="M161" t="s">
        <v>420</v>
      </c>
      <c r="N161">
        <v>0.45523813654234002</v>
      </c>
      <c r="O161">
        <v>5819.5306430000001</v>
      </c>
      <c r="P161" t="s">
        <v>421</v>
      </c>
      <c r="Q161">
        <v>1</v>
      </c>
      <c r="V161">
        <v>1</v>
      </c>
      <c r="W161">
        <v>1</v>
      </c>
      <c r="X161">
        <v>1</v>
      </c>
      <c r="Y161">
        <v>1</v>
      </c>
      <c r="Z161">
        <v>5819.5306430000001</v>
      </c>
    </row>
    <row r="162" spans="1:26" x14ac:dyDescent="0.25">
      <c r="A162">
        <v>159567</v>
      </c>
      <c r="B162" t="s">
        <v>439</v>
      </c>
      <c r="C162">
        <v>2021</v>
      </c>
      <c r="D162">
        <v>1</v>
      </c>
      <c r="E162" t="s">
        <v>415</v>
      </c>
      <c r="F162" t="s">
        <v>434</v>
      </c>
      <c r="G162" t="s">
        <v>435</v>
      </c>
      <c r="H162" t="s">
        <v>84</v>
      </c>
      <c r="I162" t="s">
        <v>437</v>
      </c>
      <c r="J162" t="s">
        <v>87</v>
      </c>
      <c r="K162">
        <v>-12783.48665411</v>
      </c>
      <c r="L162" t="s">
        <v>427</v>
      </c>
      <c r="M162" t="s">
        <v>422</v>
      </c>
      <c r="N162">
        <v>6.8896616392329996E-2</v>
      </c>
      <c r="O162">
        <v>880.73897599999998</v>
      </c>
      <c r="P162" t="s">
        <v>421</v>
      </c>
      <c r="Q162">
        <v>1</v>
      </c>
      <c r="V162">
        <v>1</v>
      </c>
      <c r="W162">
        <v>1</v>
      </c>
      <c r="X162">
        <v>1</v>
      </c>
      <c r="Y162">
        <v>1</v>
      </c>
      <c r="Z162">
        <v>880.73897599999998</v>
      </c>
    </row>
    <row r="163" spans="1:26" x14ac:dyDescent="0.25">
      <c r="A163">
        <v>159568</v>
      </c>
      <c r="B163" t="s">
        <v>439</v>
      </c>
      <c r="C163">
        <v>2021</v>
      </c>
      <c r="D163">
        <v>1</v>
      </c>
      <c r="E163" t="s">
        <v>415</v>
      </c>
      <c r="F163" t="s">
        <v>434</v>
      </c>
      <c r="G163" t="s">
        <v>435</v>
      </c>
      <c r="H163" t="s">
        <v>84</v>
      </c>
      <c r="I163" t="s">
        <v>437</v>
      </c>
      <c r="J163" t="s">
        <v>87</v>
      </c>
      <c r="K163">
        <v>-12783.48665411</v>
      </c>
      <c r="L163" t="s">
        <v>427</v>
      </c>
      <c r="M163" t="s">
        <v>423</v>
      </c>
      <c r="N163">
        <v>0.70986919705586005</v>
      </c>
      <c r="O163">
        <v>9074.6034070000005</v>
      </c>
      <c r="P163" t="s">
        <v>421</v>
      </c>
      <c r="Q163">
        <v>1</v>
      </c>
      <c r="V163">
        <v>1</v>
      </c>
      <c r="W163">
        <v>1</v>
      </c>
      <c r="X163">
        <v>1</v>
      </c>
      <c r="Y163">
        <v>1</v>
      </c>
      <c r="Z163">
        <v>9074.6034070000005</v>
      </c>
    </row>
    <row r="164" spans="1:26" x14ac:dyDescent="0.25">
      <c r="A164">
        <v>159569</v>
      </c>
      <c r="B164" t="s">
        <v>439</v>
      </c>
      <c r="C164">
        <v>2021</v>
      </c>
      <c r="D164">
        <v>1</v>
      </c>
      <c r="E164" t="s">
        <v>415</v>
      </c>
      <c r="F164" t="s">
        <v>434</v>
      </c>
      <c r="G164" t="s">
        <v>435</v>
      </c>
      <c r="H164" t="s">
        <v>84</v>
      </c>
      <c r="I164" t="s">
        <v>437</v>
      </c>
      <c r="J164" t="s">
        <v>87</v>
      </c>
      <c r="K164">
        <v>-12783.48665411</v>
      </c>
      <c r="L164" t="s">
        <v>427</v>
      </c>
      <c r="M164" t="s">
        <v>425</v>
      </c>
      <c r="N164">
        <v>1.4965642882E-3</v>
      </c>
      <c r="O164">
        <v>19.131309999999999</v>
      </c>
      <c r="P164" t="s">
        <v>421</v>
      </c>
      <c r="Q164">
        <v>1</v>
      </c>
      <c r="V164">
        <v>1</v>
      </c>
      <c r="W164">
        <v>1</v>
      </c>
      <c r="X164">
        <v>1</v>
      </c>
      <c r="Y164">
        <v>1</v>
      </c>
      <c r="Z164">
        <v>19.131309999999999</v>
      </c>
    </row>
    <row r="165" spans="1:26" x14ac:dyDescent="0.25">
      <c r="A165">
        <v>159570</v>
      </c>
      <c r="B165" t="s">
        <v>439</v>
      </c>
      <c r="C165">
        <v>2021</v>
      </c>
      <c r="D165">
        <v>1</v>
      </c>
      <c r="E165" t="s">
        <v>415</v>
      </c>
      <c r="F165" t="s">
        <v>434</v>
      </c>
      <c r="G165" t="s">
        <v>435</v>
      </c>
      <c r="H165" t="s">
        <v>84</v>
      </c>
      <c r="I165" t="s">
        <v>438</v>
      </c>
      <c r="J165" t="s">
        <v>59</v>
      </c>
      <c r="K165">
        <v>-12215.763674309999</v>
      </c>
      <c r="L165" t="s">
        <v>89</v>
      </c>
      <c r="M165" t="s">
        <v>420</v>
      </c>
      <c r="N165">
        <v>0.26343870574139999</v>
      </c>
      <c r="O165">
        <v>3218.1049720000001</v>
      </c>
      <c r="P165" t="s">
        <v>421</v>
      </c>
      <c r="Q165">
        <v>1</v>
      </c>
      <c r="V165">
        <v>1</v>
      </c>
      <c r="W165">
        <v>1</v>
      </c>
      <c r="X165">
        <v>1</v>
      </c>
      <c r="Y165">
        <v>1</v>
      </c>
      <c r="Z165">
        <v>3218.1049720000001</v>
      </c>
    </row>
    <row r="166" spans="1:26" x14ac:dyDescent="0.25">
      <c r="A166">
        <v>159571</v>
      </c>
      <c r="B166" t="s">
        <v>439</v>
      </c>
      <c r="C166">
        <v>2021</v>
      </c>
      <c r="D166">
        <v>1</v>
      </c>
      <c r="E166" t="s">
        <v>415</v>
      </c>
      <c r="F166" t="s">
        <v>434</v>
      </c>
      <c r="G166" t="s">
        <v>435</v>
      </c>
      <c r="H166" t="s">
        <v>84</v>
      </c>
      <c r="I166" t="s">
        <v>438</v>
      </c>
      <c r="J166" t="s">
        <v>59</v>
      </c>
      <c r="K166">
        <v>-12215.763674309999</v>
      </c>
      <c r="L166" t="s">
        <v>89</v>
      </c>
      <c r="M166" t="s">
        <v>422</v>
      </c>
      <c r="N166">
        <v>7.1262429683470005E-2</v>
      </c>
      <c r="O166">
        <v>870.52499999999998</v>
      </c>
      <c r="P166" t="s">
        <v>421</v>
      </c>
      <c r="Q166">
        <v>1</v>
      </c>
      <c r="V166">
        <v>1</v>
      </c>
      <c r="W166">
        <v>1</v>
      </c>
      <c r="X166">
        <v>1</v>
      </c>
      <c r="Y166">
        <v>1</v>
      </c>
      <c r="Z166">
        <v>870.52499999999998</v>
      </c>
    </row>
    <row r="167" spans="1:26" x14ac:dyDescent="0.25">
      <c r="A167">
        <v>159572</v>
      </c>
      <c r="B167" t="s">
        <v>439</v>
      </c>
      <c r="C167">
        <v>2021</v>
      </c>
      <c r="D167">
        <v>1</v>
      </c>
      <c r="E167" t="s">
        <v>415</v>
      </c>
      <c r="F167" t="s">
        <v>434</v>
      </c>
      <c r="G167" t="s">
        <v>435</v>
      </c>
      <c r="H167" t="s">
        <v>84</v>
      </c>
      <c r="I167" t="s">
        <v>438</v>
      </c>
      <c r="J167" t="s">
        <v>59</v>
      </c>
      <c r="K167">
        <v>-12215.763674309999</v>
      </c>
      <c r="L167" t="s">
        <v>89</v>
      </c>
      <c r="M167" t="s">
        <v>423</v>
      </c>
      <c r="N167">
        <v>0.74738783869542003</v>
      </c>
      <c r="O167">
        <v>9129.9132109999991</v>
      </c>
      <c r="P167" t="s">
        <v>421</v>
      </c>
      <c r="Q167">
        <v>1</v>
      </c>
      <c r="V167">
        <v>1</v>
      </c>
      <c r="W167">
        <v>1</v>
      </c>
      <c r="X167">
        <v>1</v>
      </c>
      <c r="Y167">
        <v>1</v>
      </c>
      <c r="Z167">
        <v>9129.9132109999991</v>
      </c>
    </row>
    <row r="168" spans="1:26" x14ac:dyDescent="0.25">
      <c r="A168">
        <v>159573</v>
      </c>
      <c r="B168" t="s">
        <v>439</v>
      </c>
      <c r="C168">
        <v>2021</v>
      </c>
      <c r="D168">
        <v>1</v>
      </c>
      <c r="E168" t="s">
        <v>415</v>
      </c>
      <c r="F168" t="s">
        <v>434</v>
      </c>
      <c r="G168" t="s">
        <v>435</v>
      </c>
      <c r="H168" t="s">
        <v>84</v>
      </c>
      <c r="I168" t="s">
        <v>438</v>
      </c>
      <c r="J168" t="s">
        <v>59</v>
      </c>
      <c r="K168">
        <v>-12215.763674309999</v>
      </c>
      <c r="L168" t="s">
        <v>89</v>
      </c>
      <c r="M168" t="s">
        <v>424</v>
      </c>
      <c r="N168">
        <v>3.08071516317E-3</v>
      </c>
      <c r="O168">
        <v>37.633288</v>
      </c>
      <c r="P168" t="s">
        <v>421</v>
      </c>
      <c r="Q168">
        <v>1</v>
      </c>
      <c r="V168">
        <v>1</v>
      </c>
      <c r="W168">
        <v>1</v>
      </c>
      <c r="X168">
        <v>1</v>
      </c>
      <c r="Y168">
        <v>1</v>
      </c>
      <c r="Z168">
        <v>37.633288</v>
      </c>
    </row>
    <row r="169" spans="1:26" x14ac:dyDescent="0.25">
      <c r="A169">
        <v>159574</v>
      </c>
      <c r="B169" t="s">
        <v>439</v>
      </c>
      <c r="C169">
        <v>2021</v>
      </c>
      <c r="D169">
        <v>1</v>
      </c>
      <c r="E169" t="s">
        <v>415</v>
      </c>
      <c r="F169" t="s">
        <v>434</v>
      </c>
      <c r="G169" t="s">
        <v>435</v>
      </c>
      <c r="H169" t="s">
        <v>84</v>
      </c>
      <c r="I169" t="s">
        <v>438</v>
      </c>
      <c r="J169" t="s">
        <v>59</v>
      </c>
      <c r="K169">
        <v>-12215.763674309999</v>
      </c>
      <c r="L169" t="s">
        <v>89</v>
      </c>
      <c r="M169" t="s">
        <v>425</v>
      </c>
      <c r="N169">
        <v>2.5360775708E-3</v>
      </c>
      <c r="O169">
        <v>30.980124</v>
      </c>
      <c r="P169" t="s">
        <v>421</v>
      </c>
      <c r="Q169">
        <v>1</v>
      </c>
      <c r="V169">
        <v>1</v>
      </c>
      <c r="W169">
        <v>1</v>
      </c>
      <c r="X169">
        <v>1</v>
      </c>
      <c r="Y169">
        <v>1</v>
      </c>
      <c r="Z169">
        <v>30.980124</v>
      </c>
    </row>
    <row r="170" spans="1:26" x14ac:dyDescent="0.25">
      <c r="A170">
        <v>3358</v>
      </c>
      <c r="B170" t="s">
        <v>117</v>
      </c>
      <c r="C170">
        <v>2018</v>
      </c>
      <c r="D170">
        <v>1</v>
      </c>
      <c r="E170" t="s">
        <v>415</v>
      </c>
      <c r="F170" t="s">
        <v>416</v>
      </c>
      <c r="G170" t="s">
        <v>417</v>
      </c>
      <c r="H170" t="s">
        <v>84</v>
      </c>
      <c r="I170" t="s">
        <v>418</v>
      </c>
      <c r="J170" t="s">
        <v>419</v>
      </c>
      <c r="K170">
        <v>-17953.967291419998</v>
      </c>
      <c r="L170" t="s">
        <v>85</v>
      </c>
      <c r="M170" t="s">
        <v>420</v>
      </c>
      <c r="N170">
        <v>0.24824931095561001</v>
      </c>
      <c r="O170">
        <v>4457.0600089999998</v>
      </c>
      <c r="P170" t="s">
        <v>421</v>
      </c>
      <c r="Q170">
        <v>1</v>
      </c>
      <c r="V170">
        <v>1</v>
      </c>
      <c r="W170">
        <v>1</v>
      </c>
      <c r="X170">
        <v>1</v>
      </c>
      <c r="Y170">
        <v>1</v>
      </c>
      <c r="Z170">
        <v>4457.0600089999998</v>
      </c>
    </row>
    <row r="171" spans="1:26" x14ac:dyDescent="0.25">
      <c r="A171">
        <v>3359</v>
      </c>
      <c r="B171" t="s">
        <v>117</v>
      </c>
      <c r="C171">
        <v>2018</v>
      </c>
      <c r="D171">
        <v>1</v>
      </c>
      <c r="E171" t="s">
        <v>415</v>
      </c>
      <c r="F171" t="s">
        <v>416</v>
      </c>
      <c r="G171" t="s">
        <v>417</v>
      </c>
      <c r="H171" t="s">
        <v>84</v>
      </c>
      <c r="I171" t="s">
        <v>418</v>
      </c>
      <c r="J171" t="s">
        <v>419</v>
      </c>
      <c r="K171">
        <v>-17953.967291419998</v>
      </c>
      <c r="L171" t="s">
        <v>85</v>
      </c>
      <c r="M171" t="s">
        <v>422</v>
      </c>
      <c r="N171">
        <v>7.7540047892240005E-2</v>
      </c>
      <c r="O171">
        <v>1392.151484</v>
      </c>
      <c r="P171" t="s">
        <v>421</v>
      </c>
      <c r="Q171">
        <v>1</v>
      </c>
      <c r="V171">
        <v>1</v>
      </c>
      <c r="W171">
        <v>1</v>
      </c>
      <c r="X171">
        <v>1</v>
      </c>
      <c r="Y171">
        <v>1</v>
      </c>
      <c r="Z171">
        <v>1392.151484</v>
      </c>
    </row>
    <row r="172" spans="1:26" x14ac:dyDescent="0.25">
      <c r="A172">
        <v>3360</v>
      </c>
      <c r="B172" t="s">
        <v>117</v>
      </c>
      <c r="C172">
        <v>2018</v>
      </c>
      <c r="D172">
        <v>1</v>
      </c>
      <c r="E172" t="s">
        <v>415</v>
      </c>
      <c r="F172" t="s">
        <v>416</v>
      </c>
      <c r="G172" t="s">
        <v>417</v>
      </c>
      <c r="H172" t="s">
        <v>84</v>
      </c>
      <c r="I172" t="s">
        <v>418</v>
      </c>
      <c r="J172" t="s">
        <v>419</v>
      </c>
      <c r="K172">
        <v>-17953.967291419998</v>
      </c>
      <c r="L172" t="s">
        <v>85</v>
      </c>
      <c r="M172" t="s">
        <v>423</v>
      </c>
      <c r="N172">
        <v>0.73979703899049998</v>
      </c>
      <c r="O172">
        <v>13282.29184</v>
      </c>
      <c r="P172" t="s">
        <v>421</v>
      </c>
      <c r="Q172">
        <v>1</v>
      </c>
      <c r="V172">
        <v>1</v>
      </c>
      <c r="W172">
        <v>1</v>
      </c>
      <c r="X172">
        <v>1</v>
      </c>
      <c r="Y172">
        <v>1</v>
      </c>
      <c r="Z172">
        <v>13282.29184</v>
      </c>
    </row>
    <row r="173" spans="1:26" x14ac:dyDescent="0.25">
      <c r="A173">
        <v>3361</v>
      </c>
      <c r="B173" t="s">
        <v>117</v>
      </c>
      <c r="C173">
        <v>2018</v>
      </c>
      <c r="D173">
        <v>1</v>
      </c>
      <c r="E173" t="s">
        <v>415</v>
      </c>
      <c r="F173" t="s">
        <v>416</v>
      </c>
      <c r="G173" t="s">
        <v>417</v>
      </c>
      <c r="H173" t="s">
        <v>84</v>
      </c>
      <c r="I173" t="s">
        <v>418</v>
      </c>
      <c r="J173" t="s">
        <v>419</v>
      </c>
      <c r="K173">
        <v>-17953.967291419998</v>
      </c>
      <c r="L173" t="s">
        <v>85</v>
      </c>
      <c r="M173" t="s">
        <v>424</v>
      </c>
      <c r="N173">
        <v>2.9085775596699999E-3</v>
      </c>
      <c r="O173">
        <v>52.220506</v>
      </c>
      <c r="P173" t="s">
        <v>421</v>
      </c>
      <c r="Q173">
        <v>1</v>
      </c>
      <c r="V173">
        <v>1</v>
      </c>
      <c r="W173">
        <v>1</v>
      </c>
      <c r="X173">
        <v>1</v>
      </c>
      <c r="Y173">
        <v>1</v>
      </c>
      <c r="Z173">
        <v>52.220506</v>
      </c>
    </row>
    <row r="174" spans="1:26" x14ac:dyDescent="0.25">
      <c r="A174">
        <v>3362</v>
      </c>
      <c r="B174" t="s">
        <v>117</v>
      </c>
      <c r="C174">
        <v>2018</v>
      </c>
      <c r="D174">
        <v>1</v>
      </c>
      <c r="E174" t="s">
        <v>415</v>
      </c>
      <c r="F174" t="s">
        <v>416</v>
      </c>
      <c r="G174" t="s">
        <v>417</v>
      </c>
      <c r="H174" t="s">
        <v>84</v>
      </c>
      <c r="I174" t="s">
        <v>418</v>
      </c>
      <c r="J174" t="s">
        <v>419</v>
      </c>
      <c r="K174">
        <v>-17953.967291419998</v>
      </c>
      <c r="L174" t="s">
        <v>85</v>
      </c>
      <c r="M174" t="s">
        <v>425</v>
      </c>
      <c r="N174">
        <v>2.6170694898000001E-3</v>
      </c>
      <c r="O174">
        <v>46.986780000000003</v>
      </c>
      <c r="P174" t="s">
        <v>421</v>
      </c>
      <c r="Q174">
        <v>1</v>
      </c>
      <c r="V174">
        <v>1</v>
      </c>
      <c r="W174">
        <v>1</v>
      </c>
      <c r="X174">
        <v>1</v>
      </c>
      <c r="Y174">
        <v>1</v>
      </c>
      <c r="Z174">
        <v>46.986780000000003</v>
      </c>
    </row>
    <row r="175" spans="1:26" x14ac:dyDescent="0.25">
      <c r="A175">
        <v>3363</v>
      </c>
      <c r="B175" t="s">
        <v>117</v>
      </c>
      <c r="C175">
        <v>2018</v>
      </c>
      <c r="D175">
        <v>1</v>
      </c>
      <c r="E175" t="s">
        <v>415</v>
      </c>
      <c r="F175" t="s">
        <v>416</v>
      </c>
      <c r="G175" t="s">
        <v>417</v>
      </c>
      <c r="H175" t="s">
        <v>84</v>
      </c>
      <c r="I175" t="s">
        <v>426</v>
      </c>
      <c r="J175" t="s">
        <v>87</v>
      </c>
      <c r="K175">
        <v>-4973.3486040300004</v>
      </c>
      <c r="L175" t="s">
        <v>427</v>
      </c>
      <c r="M175" t="s">
        <v>420</v>
      </c>
      <c r="N175">
        <v>0.45523813654234002</v>
      </c>
      <c r="O175">
        <v>2264.0579509999998</v>
      </c>
      <c r="P175" t="s">
        <v>421</v>
      </c>
      <c r="Q175">
        <v>1</v>
      </c>
      <c r="V175">
        <v>1</v>
      </c>
      <c r="W175">
        <v>1</v>
      </c>
      <c r="X175">
        <v>1</v>
      </c>
      <c r="Y175">
        <v>1</v>
      </c>
      <c r="Z175">
        <v>2264.0579509999998</v>
      </c>
    </row>
    <row r="176" spans="1:26" x14ac:dyDescent="0.25">
      <c r="A176">
        <v>3364</v>
      </c>
      <c r="B176" t="s">
        <v>117</v>
      </c>
      <c r="C176">
        <v>2018</v>
      </c>
      <c r="D176">
        <v>1</v>
      </c>
      <c r="E176" t="s">
        <v>415</v>
      </c>
      <c r="F176" t="s">
        <v>416</v>
      </c>
      <c r="G176" t="s">
        <v>417</v>
      </c>
      <c r="H176" t="s">
        <v>84</v>
      </c>
      <c r="I176" t="s">
        <v>426</v>
      </c>
      <c r="J176" t="s">
        <v>87</v>
      </c>
      <c r="K176">
        <v>-4973.3486040300004</v>
      </c>
      <c r="L176" t="s">
        <v>427</v>
      </c>
      <c r="M176" t="s">
        <v>422</v>
      </c>
      <c r="N176">
        <v>6.8896616392329996E-2</v>
      </c>
      <c r="O176">
        <v>342.64689099999998</v>
      </c>
      <c r="P176" t="s">
        <v>421</v>
      </c>
      <c r="Q176">
        <v>1</v>
      </c>
      <c r="V176">
        <v>1</v>
      </c>
      <c r="W176">
        <v>1</v>
      </c>
      <c r="X176">
        <v>1</v>
      </c>
      <c r="Y176">
        <v>1</v>
      </c>
      <c r="Z176">
        <v>342.64689099999998</v>
      </c>
    </row>
    <row r="177" spans="1:26" x14ac:dyDescent="0.25">
      <c r="A177">
        <v>3365</v>
      </c>
      <c r="B177" t="s">
        <v>117</v>
      </c>
      <c r="C177">
        <v>2018</v>
      </c>
      <c r="D177">
        <v>1</v>
      </c>
      <c r="E177" t="s">
        <v>415</v>
      </c>
      <c r="F177" t="s">
        <v>416</v>
      </c>
      <c r="G177" t="s">
        <v>417</v>
      </c>
      <c r="H177" t="s">
        <v>84</v>
      </c>
      <c r="I177" t="s">
        <v>426</v>
      </c>
      <c r="J177" t="s">
        <v>87</v>
      </c>
      <c r="K177">
        <v>-4973.3486040300004</v>
      </c>
      <c r="L177" t="s">
        <v>427</v>
      </c>
      <c r="M177" t="s">
        <v>423</v>
      </c>
      <c r="N177">
        <v>0.70986919705586005</v>
      </c>
      <c r="O177">
        <v>3530.4269800000002</v>
      </c>
      <c r="P177" t="s">
        <v>421</v>
      </c>
      <c r="Q177">
        <v>1</v>
      </c>
      <c r="V177">
        <v>1</v>
      </c>
      <c r="W177">
        <v>1</v>
      </c>
      <c r="X177">
        <v>1</v>
      </c>
      <c r="Y177">
        <v>1</v>
      </c>
      <c r="Z177">
        <v>3530.4269800000002</v>
      </c>
    </row>
    <row r="178" spans="1:26" x14ac:dyDescent="0.25">
      <c r="A178">
        <v>3366</v>
      </c>
      <c r="B178" t="s">
        <v>117</v>
      </c>
      <c r="C178">
        <v>2018</v>
      </c>
      <c r="D178">
        <v>1</v>
      </c>
      <c r="E178" t="s">
        <v>415</v>
      </c>
      <c r="F178" t="s">
        <v>416</v>
      </c>
      <c r="G178" t="s">
        <v>417</v>
      </c>
      <c r="H178" t="s">
        <v>84</v>
      </c>
      <c r="I178" t="s">
        <v>426</v>
      </c>
      <c r="J178" t="s">
        <v>87</v>
      </c>
      <c r="K178">
        <v>-4973.3486040300004</v>
      </c>
      <c r="L178" t="s">
        <v>427</v>
      </c>
      <c r="M178" t="s">
        <v>425</v>
      </c>
      <c r="N178">
        <v>1.4965642882E-3</v>
      </c>
      <c r="O178">
        <v>7.4429360000000004</v>
      </c>
      <c r="P178" t="s">
        <v>421</v>
      </c>
      <c r="Q178">
        <v>1</v>
      </c>
      <c r="V178">
        <v>1</v>
      </c>
      <c r="W178">
        <v>1</v>
      </c>
      <c r="X178">
        <v>1</v>
      </c>
      <c r="Y178">
        <v>1</v>
      </c>
      <c r="Z178">
        <v>7.4429360000000004</v>
      </c>
    </row>
    <row r="179" spans="1:26" x14ac:dyDescent="0.25">
      <c r="A179">
        <v>3367</v>
      </c>
      <c r="B179" t="s">
        <v>117</v>
      </c>
      <c r="C179">
        <v>2018</v>
      </c>
      <c r="D179">
        <v>1</v>
      </c>
      <c r="E179" t="s">
        <v>415</v>
      </c>
      <c r="F179" t="s">
        <v>416</v>
      </c>
      <c r="G179" t="s">
        <v>417</v>
      </c>
      <c r="H179" t="s">
        <v>84</v>
      </c>
      <c r="I179" t="s">
        <v>428</v>
      </c>
      <c r="J179" t="s">
        <v>59</v>
      </c>
      <c r="K179">
        <v>-6263.3690596699998</v>
      </c>
      <c r="L179" t="s">
        <v>89</v>
      </c>
      <c r="M179" t="s">
        <v>420</v>
      </c>
      <c r="N179">
        <v>0.26343870574139999</v>
      </c>
      <c r="O179">
        <v>1650.013839</v>
      </c>
      <c r="P179" t="s">
        <v>421</v>
      </c>
      <c r="Q179">
        <v>1</v>
      </c>
      <c r="V179">
        <v>1</v>
      </c>
      <c r="W179">
        <v>1</v>
      </c>
      <c r="X179">
        <v>1</v>
      </c>
      <c r="Y179">
        <v>1</v>
      </c>
      <c r="Z179">
        <v>1650.013839</v>
      </c>
    </row>
    <row r="180" spans="1:26" x14ac:dyDescent="0.25">
      <c r="A180">
        <v>3368</v>
      </c>
      <c r="B180" t="s">
        <v>117</v>
      </c>
      <c r="C180">
        <v>2018</v>
      </c>
      <c r="D180">
        <v>1</v>
      </c>
      <c r="E180" t="s">
        <v>415</v>
      </c>
      <c r="F180" t="s">
        <v>416</v>
      </c>
      <c r="G180" t="s">
        <v>417</v>
      </c>
      <c r="H180" t="s">
        <v>84</v>
      </c>
      <c r="I180" t="s">
        <v>428</v>
      </c>
      <c r="J180" t="s">
        <v>59</v>
      </c>
      <c r="K180">
        <v>-6263.3690596699998</v>
      </c>
      <c r="L180" t="s">
        <v>89</v>
      </c>
      <c r="M180" t="s">
        <v>422</v>
      </c>
      <c r="N180">
        <v>7.1262429683470005E-2</v>
      </c>
      <c r="O180">
        <v>446.34289699999999</v>
      </c>
      <c r="P180" t="s">
        <v>421</v>
      </c>
      <c r="Q180">
        <v>1</v>
      </c>
      <c r="V180">
        <v>1</v>
      </c>
      <c r="W180">
        <v>1</v>
      </c>
      <c r="X180">
        <v>1</v>
      </c>
      <c r="Y180">
        <v>1</v>
      </c>
      <c r="Z180">
        <v>446.34289699999999</v>
      </c>
    </row>
    <row r="181" spans="1:26" x14ac:dyDescent="0.25">
      <c r="A181">
        <v>3369</v>
      </c>
      <c r="B181" t="s">
        <v>117</v>
      </c>
      <c r="C181">
        <v>2018</v>
      </c>
      <c r="D181">
        <v>1</v>
      </c>
      <c r="E181" t="s">
        <v>415</v>
      </c>
      <c r="F181" t="s">
        <v>416</v>
      </c>
      <c r="G181" t="s">
        <v>417</v>
      </c>
      <c r="H181" t="s">
        <v>84</v>
      </c>
      <c r="I181" t="s">
        <v>428</v>
      </c>
      <c r="J181" t="s">
        <v>59</v>
      </c>
      <c r="K181">
        <v>-6263.3690596699998</v>
      </c>
      <c r="L181" t="s">
        <v>89</v>
      </c>
      <c r="M181" t="s">
        <v>423</v>
      </c>
      <c r="N181">
        <v>0.74738783869542003</v>
      </c>
      <c r="O181">
        <v>4681.1658639999996</v>
      </c>
      <c r="P181" t="s">
        <v>421</v>
      </c>
      <c r="Q181">
        <v>1</v>
      </c>
      <c r="V181">
        <v>1</v>
      </c>
      <c r="W181">
        <v>1</v>
      </c>
      <c r="X181">
        <v>1</v>
      </c>
      <c r="Y181">
        <v>1</v>
      </c>
      <c r="Z181">
        <v>4681.1658639999996</v>
      </c>
    </row>
    <row r="182" spans="1:26" x14ac:dyDescent="0.25">
      <c r="A182">
        <v>3370</v>
      </c>
      <c r="B182" t="s">
        <v>117</v>
      </c>
      <c r="C182">
        <v>2018</v>
      </c>
      <c r="D182">
        <v>1</v>
      </c>
      <c r="E182" t="s">
        <v>415</v>
      </c>
      <c r="F182" t="s">
        <v>416</v>
      </c>
      <c r="G182" t="s">
        <v>417</v>
      </c>
      <c r="H182" t="s">
        <v>84</v>
      </c>
      <c r="I182" t="s">
        <v>428</v>
      </c>
      <c r="J182" t="s">
        <v>59</v>
      </c>
      <c r="K182">
        <v>-6263.3690596699998</v>
      </c>
      <c r="L182" t="s">
        <v>89</v>
      </c>
      <c r="M182" t="s">
        <v>424</v>
      </c>
      <c r="N182">
        <v>3.08071516317E-3</v>
      </c>
      <c r="O182">
        <v>19.295656000000001</v>
      </c>
      <c r="P182" t="s">
        <v>421</v>
      </c>
      <c r="Q182">
        <v>1</v>
      </c>
      <c r="V182">
        <v>1</v>
      </c>
      <c r="W182">
        <v>1</v>
      </c>
      <c r="X182">
        <v>1</v>
      </c>
      <c r="Y182">
        <v>1</v>
      </c>
      <c r="Z182">
        <v>19.295656000000001</v>
      </c>
    </row>
    <row r="183" spans="1:26" x14ac:dyDescent="0.25">
      <c r="A183">
        <v>3371</v>
      </c>
      <c r="B183" t="s">
        <v>117</v>
      </c>
      <c r="C183">
        <v>2018</v>
      </c>
      <c r="D183">
        <v>1</v>
      </c>
      <c r="E183" t="s">
        <v>415</v>
      </c>
      <c r="F183" t="s">
        <v>416</v>
      </c>
      <c r="G183" t="s">
        <v>417</v>
      </c>
      <c r="H183" t="s">
        <v>84</v>
      </c>
      <c r="I183" t="s">
        <v>428</v>
      </c>
      <c r="J183" t="s">
        <v>59</v>
      </c>
      <c r="K183">
        <v>-6263.3690596699998</v>
      </c>
      <c r="L183" t="s">
        <v>89</v>
      </c>
      <c r="M183" t="s">
        <v>425</v>
      </c>
      <c r="N183">
        <v>2.5360775708E-3</v>
      </c>
      <c r="O183">
        <v>15.88439</v>
      </c>
      <c r="P183" t="s">
        <v>421</v>
      </c>
      <c r="Q183">
        <v>1</v>
      </c>
      <c r="V183">
        <v>1</v>
      </c>
      <c r="W183">
        <v>1</v>
      </c>
      <c r="X183">
        <v>1</v>
      </c>
      <c r="Y183">
        <v>1</v>
      </c>
      <c r="Z183">
        <v>15.88439</v>
      </c>
    </row>
    <row r="184" spans="1:26" x14ac:dyDescent="0.25">
      <c r="A184">
        <v>3372</v>
      </c>
      <c r="B184" t="s">
        <v>117</v>
      </c>
      <c r="C184">
        <v>2018</v>
      </c>
      <c r="D184">
        <v>1</v>
      </c>
      <c r="E184" t="s">
        <v>415</v>
      </c>
      <c r="F184" t="s">
        <v>429</v>
      </c>
      <c r="G184" t="s">
        <v>430</v>
      </c>
      <c r="H184" t="s">
        <v>84</v>
      </c>
      <c r="I184" t="s">
        <v>431</v>
      </c>
      <c r="J184" t="s">
        <v>419</v>
      </c>
      <c r="K184">
        <v>-24902.488100170001</v>
      </c>
      <c r="L184" t="s">
        <v>85</v>
      </c>
      <c r="M184" t="s">
        <v>420</v>
      </c>
      <c r="N184">
        <v>0.24824931095561001</v>
      </c>
      <c r="O184">
        <v>6182.0255120000002</v>
      </c>
      <c r="P184" t="s">
        <v>421</v>
      </c>
      <c r="Q184">
        <v>1</v>
      </c>
      <c r="V184">
        <v>1</v>
      </c>
      <c r="W184">
        <v>1</v>
      </c>
      <c r="X184">
        <v>1</v>
      </c>
      <c r="Y184">
        <v>1</v>
      </c>
      <c r="Z184">
        <v>6182.0255120000002</v>
      </c>
    </row>
    <row r="185" spans="1:26" x14ac:dyDescent="0.25">
      <c r="A185">
        <v>3373</v>
      </c>
      <c r="B185" t="s">
        <v>117</v>
      </c>
      <c r="C185">
        <v>2018</v>
      </c>
      <c r="D185">
        <v>1</v>
      </c>
      <c r="E185" t="s">
        <v>415</v>
      </c>
      <c r="F185" t="s">
        <v>429</v>
      </c>
      <c r="G185" t="s">
        <v>430</v>
      </c>
      <c r="H185" t="s">
        <v>84</v>
      </c>
      <c r="I185" t="s">
        <v>431</v>
      </c>
      <c r="J185" t="s">
        <v>419</v>
      </c>
      <c r="K185">
        <v>-24902.488100170001</v>
      </c>
      <c r="L185" t="s">
        <v>85</v>
      </c>
      <c r="M185" t="s">
        <v>422</v>
      </c>
      <c r="N185">
        <v>7.7540047892240005E-2</v>
      </c>
      <c r="O185">
        <v>1930.94012</v>
      </c>
      <c r="P185" t="s">
        <v>421</v>
      </c>
      <c r="Q185">
        <v>1</v>
      </c>
      <c r="V185">
        <v>1</v>
      </c>
      <c r="W185">
        <v>1</v>
      </c>
      <c r="X185">
        <v>1</v>
      </c>
      <c r="Y185">
        <v>1</v>
      </c>
      <c r="Z185">
        <v>1930.94012</v>
      </c>
    </row>
    <row r="186" spans="1:26" x14ac:dyDescent="0.25">
      <c r="A186">
        <v>3374</v>
      </c>
      <c r="B186" t="s">
        <v>117</v>
      </c>
      <c r="C186">
        <v>2018</v>
      </c>
      <c r="D186">
        <v>1</v>
      </c>
      <c r="E186" t="s">
        <v>415</v>
      </c>
      <c r="F186" t="s">
        <v>429</v>
      </c>
      <c r="G186" t="s">
        <v>430</v>
      </c>
      <c r="H186" t="s">
        <v>84</v>
      </c>
      <c r="I186" t="s">
        <v>431</v>
      </c>
      <c r="J186" t="s">
        <v>419</v>
      </c>
      <c r="K186">
        <v>-24902.488100170001</v>
      </c>
      <c r="L186" t="s">
        <v>85</v>
      </c>
      <c r="M186" t="s">
        <v>423</v>
      </c>
      <c r="N186">
        <v>0.73979703899049998</v>
      </c>
      <c r="O186">
        <v>18422.786960000001</v>
      </c>
      <c r="P186" t="s">
        <v>421</v>
      </c>
      <c r="Q186">
        <v>1</v>
      </c>
      <c r="V186">
        <v>1</v>
      </c>
      <c r="W186">
        <v>1</v>
      </c>
      <c r="X186">
        <v>1</v>
      </c>
      <c r="Y186">
        <v>1</v>
      </c>
      <c r="Z186">
        <v>18422.786960000001</v>
      </c>
    </row>
    <row r="187" spans="1:26" x14ac:dyDescent="0.25">
      <c r="A187">
        <v>3375</v>
      </c>
      <c r="B187" t="s">
        <v>117</v>
      </c>
      <c r="C187">
        <v>2018</v>
      </c>
      <c r="D187">
        <v>1</v>
      </c>
      <c r="E187" t="s">
        <v>415</v>
      </c>
      <c r="F187" t="s">
        <v>429</v>
      </c>
      <c r="G187" t="s">
        <v>430</v>
      </c>
      <c r="H187" t="s">
        <v>84</v>
      </c>
      <c r="I187" t="s">
        <v>431</v>
      </c>
      <c r="J187" t="s">
        <v>419</v>
      </c>
      <c r="K187">
        <v>-24902.488100170001</v>
      </c>
      <c r="L187" t="s">
        <v>85</v>
      </c>
      <c r="M187" t="s">
        <v>424</v>
      </c>
      <c r="N187">
        <v>2.9085775596699999E-3</v>
      </c>
      <c r="O187">
        <v>72.430818000000002</v>
      </c>
      <c r="P187" t="s">
        <v>421</v>
      </c>
      <c r="Q187">
        <v>1</v>
      </c>
      <c r="V187">
        <v>1</v>
      </c>
      <c r="W187">
        <v>1</v>
      </c>
      <c r="X187">
        <v>1</v>
      </c>
      <c r="Y187">
        <v>1</v>
      </c>
      <c r="Z187">
        <v>72.430818000000002</v>
      </c>
    </row>
    <row r="188" spans="1:26" x14ac:dyDescent="0.25">
      <c r="A188">
        <v>3376</v>
      </c>
      <c r="B188" t="s">
        <v>117</v>
      </c>
      <c r="C188">
        <v>2018</v>
      </c>
      <c r="D188">
        <v>1</v>
      </c>
      <c r="E188" t="s">
        <v>415</v>
      </c>
      <c r="F188" t="s">
        <v>429</v>
      </c>
      <c r="G188" t="s">
        <v>430</v>
      </c>
      <c r="H188" t="s">
        <v>84</v>
      </c>
      <c r="I188" t="s">
        <v>431</v>
      </c>
      <c r="J188" t="s">
        <v>419</v>
      </c>
      <c r="K188">
        <v>-24902.488100170001</v>
      </c>
      <c r="L188" t="s">
        <v>85</v>
      </c>
      <c r="M188" t="s">
        <v>425</v>
      </c>
      <c r="N188">
        <v>2.6170694898000001E-3</v>
      </c>
      <c r="O188">
        <v>65.171542000000002</v>
      </c>
      <c r="P188" t="s">
        <v>421</v>
      </c>
      <c r="Q188">
        <v>1</v>
      </c>
      <c r="V188">
        <v>1</v>
      </c>
      <c r="W188">
        <v>1</v>
      </c>
      <c r="X188">
        <v>1</v>
      </c>
      <c r="Y188">
        <v>1</v>
      </c>
      <c r="Z188">
        <v>65.171542000000002</v>
      </c>
    </row>
    <row r="189" spans="1:26" x14ac:dyDescent="0.25">
      <c r="A189">
        <v>3377</v>
      </c>
      <c r="B189" t="s">
        <v>117</v>
      </c>
      <c r="C189">
        <v>2018</v>
      </c>
      <c r="D189">
        <v>1</v>
      </c>
      <c r="E189" t="s">
        <v>415</v>
      </c>
      <c r="F189" t="s">
        <v>429</v>
      </c>
      <c r="G189" t="s">
        <v>430</v>
      </c>
      <c r="H189" t="s">
        <v>84</v>
      </c>
      <c r="I189" t="s">
        <v>432</v>
      </c>
      <c r="J189" t="s">
        <v>87</v>
      </c>
      <c r="K189">
        <v>-7119.1877574600003</v>
      </c>
      <c r="L189" t="s">
        <v>427</v>
      </c>
      <c r="M189" t="s">
        <v>420</v>
      </c>
      <c r="N189">
        <v>0.45523813654234002</v>
      </c>
      <c r="O189">
        <v>3240.9257680000001</v>
      </c>
      <c r="P189" t="s">
        <v>421</v>
      </c>
      <c r="Q189">
        <v>1</v>
      </c>
      <c r="V189">
        <v>1</v>
      </c>
      <c r="W189">
        <v>1</v>
      </c>
      <c r="X189">
        <v>1</v>
      </c>
      <c r="Y189">
        <v>1</v>
      </c>
      <c r="Z189">
        <v>3240.9257680000001</v>
      </c>
    </row>
    <row r="190" spans="1:26" x14ac:dyDescent="0.25">
      <c r="A190">
        <v>3378</v>
      </c>
      <c r="B190" t="s">
        <v>117</v>
      </c>
      <c r="C190">
        <v>2018</v>
      </c>
      <c r="D190">
        <v>1</v>
      </c>
      <c r="E190" t="s">
        <v>415</v>
      </c>
      <c r="F190" t="s">
        <v>429</v>
      </c>
      <c r="G190" t="s">
        <v>430</v>
      </c>
      <c r="H190" t="s">
        <v>84</v>
      </c>
      <c r="I190" t="s">
        <v>432</v>
      </c>
      <c r="J190" t="s">
        <v>87</v>
      </c>
      <c r="K190">
        <v>-7119.1877574600003</v>
      </c>
      <c r="L190" t="s">
        <v>427</v>
      </c>
      <c r="M190" t="s">
        <v>422</v>
      </c>
      <c r="N190">
        <v>6.8896616392329996E-2</v>
      </c>
      <c r="O190">
        <v>490.48794800000002</v>
      </c>
      <c r="P190" t="s">
        <v>421</v>
      </c>
      <c r="Q190">
        <v>1</v>
      </c>
      <c r="V190">
        <v>1</v>
      </c>
      <c r="W190">
        <v>1</v>
      </c>
      <c r="X190">
        <v>1</v>
      </c>
      <c r="Y190">
        <v>1</v>
      </c>
      <c r="Z190">
        <v>490.48794800000002</v>
      </c>
    </row>
    <row r="191" spans="1:26" x14ac:dyDescent="0.25">
      <c r="A191">
        <v>3379</v>
      </c>
      <c r="B191" t="s">
        <v>117</v>
      </c>
      <c r="C191">
        <v>2018</v>
      </c>
      <c r="D191">
        <v>1</v>
      </c>
      <c r="E191" t="s">
        <v>415</v>
      </c>
      <c r="F191" t="s">
        <v>429</v>
      </c>
      <c r="G191" t="s">
        <v>430</v>
      </c>
      <c r="H191" t="s">
        <v>84</v>
      </c>
      <c r="I191" t="s">
        <v>432</v>
      </c>
      <c r="J191" t="s">
        <v>87</v>
      </c>
      <c r="K191">
        <v>-7119.1877574600003</v>
      </c>
      <c r="L191" t="s">
        <v>427</v>
      </c>
      <c r="M191" t="s">
        <v>423</v>
      </c>
      <c r="N191">
        <v>0.70986919705586005</v>
      </c>
      <c r="O191">
        <v>5053.6920970000001</v>
      </c>
      <c r="P191" t="s">
        <v>421</v>
      </c>
      <c r="Q191">
        <v>1</v>
      </c>
      <c r="V191">
        <v>1</v>
      </c>
      <c r="W191">
        <v>1</v>
      </c>
      <c r="X191">
        <v>1</v>
      </c>
      <c r="Y191">
        <v>1</v>
      </c>
      <c r="Z191">
        <v>5053.6920970000001</v>
      </c>
    </row>
    <row r="192" spans="1:26" x14ac:dyDescent="0.25">
      <c r="A192">
        <v>3380</v>
      </c>
      <c r="B192" t="s">
        <v>117</v>
      </c>
      <c r="C192">
        <v>2018</v>
      </c>
      <c r="D192">
        <v>1</v>
      </c>
      <c r="E192" t="s">
        <v>415</v>
      </c>
      <c r="F192" t="s">
        <v>429</v>
      </c>
      <c r="G192" t="s">
        <v>430</v>
      </c>
      <c r="H192" t="s">
        <v>84</v>
      </c>
      <c r="I192" t="s">
        <v>432</v>
      </c>
      <c r="J192" t="s">
        <v>87</v>
      </c>
      <c r="K192">
        <v>-7119.1877574600003</v>
      </c>
      <c r="L192" t="s">
        <v>427</v>
      </c>
      <c r="M192" t="s">
        <v>425</v>
      </c>
      <c r="N192">
        <v>1.4965642882E-3</v>
      </c>
      <c r="O192">
        <v>10.654322000000001</v>
      </c>
      <c r="P192" t="s">
        <v>421</v>
      </c>
      <c r="Q192">
        <v>1</v>
      </c>
      <c r="V192">
        <v>1</v>
      </c>
      <c r="W192">
        <v>1</v>
      </c>
      <c r="X192">
        <v>1</v>
      </c>
      <c r="Y192">
        <v>1</v>
      </c>
      <c r="Z192">
        <v>10.654322000000001</v>
      </c>
    </row>
    <row r="193" spans="1:26" x14ac:dyDescent="0.25">
      <c r="A193">
        <v>3381</v>
      </c>
      <c r="B193" t="s">
        <v>117</v>
      </c>
      <c r="C193">
        <v>2018</v>
      </c>
      <c r="D193">
        <v>1</v>
      </c>
      <c r="E193" t="s">
        <v>415</v>
      </c>
      <c r="F193" t="s">
        <v>429</v>
      </c>
      <c r="G193" t="s">
        <v>430</v>
      </c>
      <c r="H193" t="s">
        <v>84</v>
      </c>
      <c r="I193" t="s">
        <v>433</v>
      </c>
      <c r="J193" t="s">
        <v>59</v>
      </c>
      <c r="K193">
        <v>-8728.6779471499995</v>
      </c>
      <c r="L193" t="s">
        <v>89</v>
      </c>
      <c r="M193" t="s">
        <v>420</v>
      </c>
      <c r="N193">
        <v>0.26343870574139999</v>
      </c>
      <c r="O193">
        <v>2299.4716210000001</v>
      </c>
      <c r="P193" t="s">
        <v>421</v>
      </c>
      <c r="Q193">
        <v>1</v>
      </c>
      <c r="V193">
        <v>1</v>
      </c>
      <c r="W193">
        <v>1</v>
      </c>
      <c r="X193">
        <v>1</v>
      </c>
      <c r="Y193">
        <v>1</v>
      </c>
      <c r="Z193">
        <v>2299.4716210000001</v>
      </c>
    </row>
    <row r="194" spans="1:26" x14ac:dyDescent="0.25">
      <c r="A194">
        <v>3382</v>
      </c>
      <c r="B194" t="s">
        <v>117</v>
      </c>
      <c r="C194">
        <v>2018</v>
      </c>
      <c r="D194">
        <v>1</v>
      </c>
      <c r="E194" t="s">
        <v>415</v>
      </c>
      <c r="F194" t="s">
        <v>429</v>
      </c>
      <c r="G194" t="s">
        <v>430</v>
      </c>
      <c r="H194" t="s">
        <v>84</v>
      </c>
      <c r="I194" t="s">
        <v>433</v>
      </c>
      <c r="J194" t="s">
        <v>59</v>
      </c>
      <c r="K194">
        <v>-8728.6779471499995</v>
      </c>
      <c r="L194" t="s">
        <v>89</v>
      </c>
      <c r="M194" t="s">
        <v>422</v>
      </c>
      <c r="N194">
        <v>7.1262429683470005E-2</v>
      </c>
      <c r="O194">
        <v>622.02679799999999</v>
      </c>
      <c r="P194" t="s">
        <v>421</v>
      </c>
      <c r="Q194">
        <v>1</v>
      </c>
      <c r="V194">
        <v>1</v>
      </c>
      <c r="W194">
        <v>1</v>
      </c>
      <c r="X194">
        <v>1</v>
      </c>
      <c r="Y194">
        <v>1</v>
      </c>
      <c r="Z194">
        <v>622.02679799999999</v>
      </c>
    </row>
    <row r="195" spans="1:26" x14ac:dyDescent="0.25">
      <c r="A195">
        <v>3383</v>
      </c>
      <c r="B195" t="s">
        <v>117</v>
      </c>
      <c r="C195">
        <v>2018</v>
      </c>
      <c r="D195">
        <v>1</v>
      </c>
      <c r="E195" t="s">
        <v>415</v>
      </c>
      <c r="F195" t="s">
        <v>429</v>
      </c>
      <c r="G195" t="s">
        <v>430</v>
      </c>
      <c r="H195" t="s">
        <v>84</v>
      </c>
      <c r="I195" t="s">
        <v>433</v>
      </c>
      <c r="J195" t="s">
        <v>59</v>
      </c>
      <c r="K195">
        <v>-8728.6779471499995</v>
      </c>
      <c r="L195" t="s">
        <v>89</v>
      </c>
      <c r="M195" t="s">
        <v>423</v>
      </c>
      <c r="N195">
        <v>0.74738783869542003</v>
      </c>
      <c r="O195">
        <v>6523.707746</v>
      </c>
      <c r="P195" t="s">
        <v>421</v>
      </c>
      <c r="Q195">
        <v>1</v>
      </c>
      <c r="V195">
        <v>1</v>
      </c>
      <c r="W195">
        <v>1</v>
      </c>
      <c r="X195">
        <v>1</v>
      </c>
      <c r="Y195">
        <v>1</v>
      </c>
      <c r="Z195">
        <v>6523.707746</v>
      </c>
    </row>
    <row r="196" spans="1:26" x14ac:dyDescent="0.25">
      <c r="A196">
        <v>3384</v>
      </c>
      <c r="B196" t="s">
        <v>117</v>
      </c>
      <c r="C196">
        <v>2018</v>
      </c>
      <c r="D196">
        <v>1</v>
      </c>
      <c r="E196" t="s">
        <v>415</v>
      </c>
      <c r="F196" t="s">
        <v>429</v>
      </c>
      <c r="G196" t="s">
        <v>430</v>
      </c>
      <c r="H196" t="s">
        <v>84</v>
      </c>
      <c r="I196" t="s">
        <v>433</v>
      </c>
      <c r="J196" t="s">
        <v>59</v>
      </c>
      <c r="K196">
        <v>-8728.6779471499995</v>
      </c>
      <c r="L196" t="s">
        <v>89</v>
      </c>
      <c r="M196" t="s">
        <v>424</v>
      </c>
      <c r="N196">
        <v>3.08071516317E-3</v>
      </c>
      <c r="O196">
        <v>26.890571000000001</v>
      </c>
      <c r="P196" t="s">
        <v>421</v>
      </c>
      <c r="Q196">
        <v>1</v>
      </c>
      <c r="V196">
        <v>1</v>
      </c>
      <c r="W196">
        <v>1</v>
      </c>
      <c r="X196">
        <v>1</v>
      </c>
      <c r="Y196">
        <v>1</v>
      </c>
      <c r="Z196">
        <v>26.890571000000001</v>
      </c>
    </row>
    <row r="197" spans="1:26" x14ac:dyDescent="0.25">
      <c r="A197">
        <v>3385</v>
      </c>
      <c r="B197" t="s">
        <v>117</v>
      </c>
      <c r="C197">
        <v>2018</v>
      </c>
      <c r="D197">
        <v>1</v>
      </c>
      <c r="E197" t="s">
        <v>415</v>
      </c>
      <c r="F197" t="s">
        <v>429</v>
      </c>
      <c r="G197" t="s">
        <v>430</v>
      </c>
      <c r="H197" t="s">
        <v>84</v>
      </c>
      <c r="I197" t="s">
        <v>433</v>
      </c>
      <c r="J197" t="s">
        <v>59</v>
      </c>
      <c r="K197">
        <v>-8728.6779471499995</v>
      </c>
      <c r="L197" t="s">
        <v>89</v>
      </c>
      <c r="M197" t="s">
        <v>425</v>
      </c>
      <c r="N197">
        <v>2.5360775708E-3</v>
      </c>
      <c r="O197">
        <v>22.136603999999998</v>
      </c>
      <c r="P197" t="s">
        <v>421</v>
      </c>
      <c r="Q197">
        <v>1</v>
      </c>
      <c r="V197">
        <v>1</v>
      </c>
      <c r="W197">
        <v>1</v>
      </c>
      <c r="X197">
        <v>1</v>
      </c>
      <c r="Y197">
        <v>1</v>
      </c>
      <c r="Z197">
        <v>22.136603999999998</v>
      </c>
    </row>
    <row r="198" spans="1:26" x14ac:dyDescent="0.25">
      <c r="A198">
        <v>3386</v>
      </c>
      <c r="B198" t="s">
        <v>117</v>
      </c>
      <c r="C198">
        <v>2018</v>
      </c>
      <c r="D198">
        <v>1</v>
      </c>
      <c r="E198" t="s">
        <v>415</v>
      </c>
      <c r="F198" t="s">
        <v>434</v>
      </c>
      <c r="G198" t="s">
        <v>435</v>
      </c>
      <c r="H198" t="s">
        <v>84</v>
      </c>
      <c r="I198" t="s">
        <v>436</v>
      </c>
      <c r="J198" t="s">
        <v>419</v>
      </c>
      <c r="K198">
        <v>-12924.452717849999</v>
      </c>
      <c r="L198" t="s">
        <v>85</v>
      </c>
      <c r="M198" t="s">
        <v>420</v>
      </c>
      <c r="N198">
        <v>0.24824931095561001</v>
      </c>
      <c r="O198">
        <v>3208.4864819999998</v>
      </c>
      <c r="P198" t="s">
        <v>421</v>
      </c>
      <c r="Q198">
        <v>1</v>
      </c>
      <c r="V198">
        <v>1</v>
      </c>
      <c r="W198">
        <v>1</v>
      </c>
      <c r="X198">
        <v>1</v>
      </c>
      <c r="Y198">
        <v>1</v>
      </c>
      <c r="Z198">
        <v>3208.4864819999998</v>
      </c>
    </row>
    <row r="199" spans="1:26" x14ac:dyDescent="0.25">
      <c r="A199">
        <v>3387</v>
      </c>
      <c r="B199" t="s">
        <v>117</v>
      </c>
      <c r="C199">
        <v>2018</v>
      </c>
      <c r="D199">
        <v>1</v>
      </c>
      <c r="E199" t="s">
        <v>415</v>
      </c>
      <c r="F199" t="s">
        <v>434</v>
      </c>
      <c r="G199" t="s">
        <v>435</v>
      </c>
      <c r="H199" t="s">
        <v>84</v>
      </c>
      <c r="I199" t="s">
        <v>436</v>
      </c>
      <c r="J199" t="s">
        <v>419</v>
      </c>
      <c r="K199">
        <v>-12924.452717849999</v>
      </c>
      <c r="L199" t="s">
        <v>85</v>
      </c>
      <c r="M199" t="s">
        <v>422</v>
      </c>
      <c r="N199">
        <v>7.7540047892240005E-2</v>
      </c>
      <c r="O199">
        <v>1002.162683</v>
      </c>
      <c r="P199" t="s">
        <v>421</v>
      </c>
      <c r="Q199">
        <v>1</v>
      </c>
      <c r="V199">
        <v>1</v>
      </c>
      <c r="W199">
        <v>1</v>
      </c>
      <c r="X199">
        <v>1</v>
      </c>
      <c r="Y199">
        <v>1</v>
      </c>
      <c r="Z199">
        <v>1002.162683</v>
      </c>
    </row>
    <row r="200" spans="1:26" x14ac:dyDescent="0.25">
      <c r="A200">
        <v>3388</v>
      </c>
      <c r="B200" t="s">
        <v>117</v>
      </c>
      <c r="C200">
        <v>2018</v>
      </c>
      <c r="D200">
        <v>1</v>
      </c>
      <c r="E200" t="s">
        <v>415</v>
      </c>
      <c r="F200" t="s">
        <v>434</v>
      </c>
      <c r="G200" t="s">
        <v>435</v>
      </c>
      <c r="H200" t="s">
        <v>84</v>
      </c>
      <c r="I200" t="s">
        <v>436</v>
      </c>
      <c r="J200" t="s">
        <v>419</v>
      </c>
      <c r="K200">
        <v>-12924.452717849999</v>
      </c>
      <c r="L200" t="s">
        <v>85</v>
      </c>
      <c r="M200" t="s">
        <v>423</v>
      </c>
      <c r="N200">
        <v>0.73979703899049998</v>
      </c>
      <c r="O200">
        <v>9561.4718510000002</v>
      </c>
      <c r="P200" t="s">
        <v>421</v>
      </c>
      <c r="Q200">
        <v>1</v>
      </c>
      <c r="V200">
        <v>1</v>
      </c>
      <c r="W200">
        <v>1</v>
      </c>
      <c r="X200">
        <v>1</v>
      </c>
      <c r="Y200">
        <v>1</v>
      </c>
      <c r="Z200">
        <v>9561.4718510000002</v>
      </c>
    </row>
    <row r="201" spans="1:26" x14ac:dyDescent="0.25">
      <c r="A201">
        <v>3389</v>
      </c>
      <c r="B201" t="s">
        <v>117</v>
      </c>
      <c r="C201">
        <v>2018</v>
      </c>
      <c r="D201">
        <v>1</v>
      </c>
      <c r="E201" t="s">
        <v>415</v>
      </c>
      <c r="F201" t="s">
        <v>434</v>
      </c>
      <c r="G201" t="s">
        <v>435</v>
      </c>
      <c r="H201" t="s">
        <v>84</v>
      </c>
      <c r="I201" t="s">
        <v>436</v>
      </c>
      <c r="J201" t="s">
        <v>419</v>
      </c>
      <c r="K201">
        <v>-12924.452717849999</v>
      </c>
      <c r="L201" t="s">
        <v>85</v>
      </c>
      <c r="M201" t="s">
        <v>424</v>
      </c>
      <c r="N201">
        <v>2.9085775596699999E-3</v>
      </c>
      <c r="O201">
        <v>37.591773000000003</v>
      </c>
      <c r="P201" t="s">
        <v>421</v>
      </c>
      <c r="Q201">
        <v>1</v>
      </c>
      <c r="V201">
        <v>1</v>
      </c>
      <c r="W201">
        <v>1</v>
      </c>
      <c r="X201">
        <v>1</v>
      </c>
      <c r="Y201">
        <v>1</v>
      </c>
      <c r="Z201">
        <v>37.591773000000003</v>
      </c>
    </row>
    <row r="202" spans="1:26" x14ac:dyDescent="0.25">
      <c r="A202">
        <v>3390</v>
      </c>
      <c r="B202" t="s">
        <v>117</v>
      </c>
      <c r="C202">
        <v>2018</v>
      </c>
      <c r="D202">
        <v>1</v>
      </c>
      <c r="E202" t="s">
        <v>415</v>
      </c>
      <c r="F202" t="s">
        <v>434</v>
      </c>
      <c r="G202" t="s">
        <v>435</v>
      </c>
      <c r="H202" t="s">
        <v>84</v>
      </c>
      <c r="I202" t="s">
        <v>436</v>
      </c>
      <c r="J202" t="s">
        <v>419</v>
      </c>
      <c r="K202">
        <v>-12924.452717849999</v>
      </c>
      <c r="L202" t="s">
        <v>85</v>
      </c>
      <c r="M202" t="s">
        <v>425</v>
      </c>
      <c r="N202">
        <v>2.6170694898000001E-3</v>
      </c>
      <c r="O202">
        <v>33.824190999999999</v>
      </c>
      <c r="P202" t="s">
        <v>421</v>
      </c>
      <c r="Q202">
        <v>1</v>
      </c>
      <c r="V202">
        <v>1</v>
      </c>
      <c r="W202">
        <v>1</v>
      </c>
      <c r="X202">
        <v>1</v>
      </c>
      <c r="Y202">
        <v>1</v>
      </c>
      <c r="Z202">
        <v>33.824190999999999</v>
      </c>
    </row>
    <row r="203" spans="1:26" x14ac:dyDescent="0.25">
      <c r="A203">
        <v>3391</v>
      </c>
      <c r="B203" t="s">
        <v>117</v>
      </c>
      <c r="C203">
        <v>2018</v>
      </c>
      <c r="D203">
        <v>1</v>
      </c>
      <c r="E203" t="s">
        <v>415</v>
      </c>
      <c r="F203" t="s">
        <v>434</v>
      </c>
      <c r="G203" t="s">
        <v>435</v>
      </c>
      <c r="H203" t="s">
        <v>84</v>
      </c>
      <c r="I203" t="s">
        <v>437</v>
      </c>
      <c r="J203" t="s">
        <v>87</v>
      </c>
      <c r="K203">
        <v>-3529.1986543899998</v>
      </c>
      <c r="L203" t="s">
        <v>427</v>
      </c>
      <c r="M203" t="s">
        <v>420</v>
      </c>
      <c r="N203">
        <v>0.45523813654234002</v>
      </c>
      <c r="O203">
        <v>1606.6258190000001</v>
      </c>
      <c r="P203" t="s">
        <v>421</v>
      </c>
      <c r="Q203">
        <v>1</v>
      </c>
      <c r="V203">
        <v>1</v>
      </c>
      <c r="W203">
        <v>1</v>
      </c>
      <c r="X203">
        <v>1</v>
      </c>
      <c r="Y203">
        <v>1</v>
      </c>
      <c r="Z203">
        <v>1606.6258190000001</v>
      </c>
    </row>
    <row r="204" spans="1:26" x14ac:dyDescent="0.25">
      <c r="A204">
        <v>3392</v>
      </c>
      <c r="B204" t="s">
        <v>117</v>
      </c>
      <c r="C204">
        <v>2018</v>
      </c>
      <c r="D204">
        <v>1</v>
      </c>
      <c r="E204" t="s">
        <v>415</v>
      </c>
      <c r="F204" t="s">
        <v>434</v>
      </c>
      <c r="G204" t="s">
        <v>435</v>
      </c>
      <c r="H204" t="s">
        <v>84</v>
      </c>
      <c r="I204" t="s">
        <v>437</v>
      </c>
      <c r="J204" t="s">
        <v>87</v>
      </c>
      <c r="K204">
        <v>-3529.1986543899998</v>
      </c>
      <c r="L204" t="s">
        <v>427</v>
      </c>
      <c r="M204" t="s">
        <v>422</v>
      </c>
      <c r="N204">
        <v>6.8896616392329996E-2</v>
      </c>
      <c r="O204">
        <v>243.149846</v>
      </c>
      <c r="P204" t="s">
        <v>421</v>
      </c>
      <c r="Q204">
        <v>1</v>
      </c>
      <c r="V204">
        <v>1</v>
      </c>
      <c r="W204">
        <v>1</v>
      </c>
      <c r="X204">
        <v>1</v>
      </c>
      <c r="Y204">
        <v>1</v>
      </c>
      <c r="Z204">
        <v>243.149846</v>
      </c>
    </row>
    <row r="205" spans="1:26" x14ac:dyDescent="0.25">
      <c r="A205">
        <v>3393</v>
      </c>
      <c r="B205" t="s">
        <v>117</v>
      </c>
      <c r="C205">
        <v>2018</v>
      </c>
      <c r="D205">
        <v>1</v>
      </c>
      <c r="E205" t="s">
        <v>415</v>
      </c>
      <c r="F205" t="s">
        <v>434</v>
      </c>
      <c r="G205" t="s">
        <v>435</v>
      </c>
      <c r="H205" t="s">
        <v>84</v>
      </c>
      <c r="I205" t="s">
        <v>437</v>
      </c>
      <c r="J205" t="s">
        <v>87</v>
      </c>
      <c r="K205">
        <v>-3529.1986543899998</v>
      </c>
      <c r="L205" t="s">
        <v>427</v>
      </c>
      <c r="M205" t="s">
        <v>423</v>
      </c>
      <c r="N205">
        <v>0.70986919705586005</v>
      </c>
      <c r="O205">
        <v>2505.2694150000002</v>
      </c>
      <c r="P205" t="s">
        <v>421</v>
      </c>
      <c r="Q205">
        <v>1</v>
      </c>
      <c r="V205">
        <v>1</v>
      </c>
      <c r="W205">
        <v>1</v>
      </c>
      <c r="X205">
        <v>1</v>
      </c>
      <c r="Y205">
        <v>1</v>
      </c>
      <c r="Z205">
        <v>2505.2694150000002</v>
      </c>
    </row>
    <row r="206" spans="1:26" x14ac:dyDescent="0.25">
      <c r="A206">
        <v>3394</v>
      </c>
      <c r="B206" t="s">
        <v>117</v>
      </c>
      <c r="C206">
        <v>2018</v>
      </c>
      <c r="D206">
        <v>1</v>
      </c>
      <c r="E206" t="s">
        <v>415</v>
      </c>
      <c r="F206" t="s">
        <v>434</v>
      </c>
      <c r="G206" t="s">
        <v>435</v>
      </c>
      <c r="H206" t="s">
        <v>84</v>
      </c>
      <c r="I206" t="s">
        <v>437</v>
      </c>
      <c r="J206" t="s">
        <v>87</v>
      </c>
      <c r="K206">
        <v>-3529.1986543899998</v>
      </c>
      <c r="L206" t="s">
        <v>427</v>
      </c>
      <c r="M206" t="s">
        <v>425</v>
      </c>
      <c r="N206">
        <v>1.4965642882E-3</v>
      </c>
      <c r="O206">
        <v>5.2816729999999996</v>
      </c>
      <c r="P206" t="s">
        <v>421</v>
      </c>
      <c r="Q206">
        <v>1</v>
      </c>
      <c r="V206">
        <v>1</v>
      </c>
      <c r="W206">
        <v>1</v>
      </c>
      <c r="X206">
        <v>1</v>
      </c>
      <c r="Y206">
        <v>1</v>
      </c>
      <c r="Z206">
        <v>5.2816729999999996</v>
      </c>
    </row>
    <row r="207" spans="1:26" x14ac:dyDescent="0.25">
      <c r="A207">
        <v>3395</v>
      </c>
      <c r="B207" t="s">
        <v>117</v>
      </c>
      <c r="C207">
        <v>2018</v>
      </c>
      <c r="D207">
        <v>1</v>
      </c>
      <c r="E207" t="s">
        <v>415</v>
      </c>
      <c r="F207" t="s">
        <v>434</v>
      </c>
      <c r="G207" t="s">
        <v>435</v>
      </c>
      <c r="H207" t="s">
        <v>84</v>
      </c>
      <c r="I207" t="s">
        <v>438</v>
      </c>
      <c r="J207" t="s">
        <v>59</v>
      </c>
      <c r="K207">
        <v>-4500.3355385699997</v>
      </c>
      <c r="L207" t="s">
        <v>89</v>
      </c>
      <c r="M207" t="s">
        <v>420</v>
      </c>
      <c r="N207">
        <v>0.26343870574139999</v>
      </c>
      <c r="O207">
        <v>1185.5625700000001</v>
      </c>
      <c r="P207" t="s">
        <v>421</v>
      </c>
      <c r="Q207">
        <v>1</v>
      </c>
      <c r="V207">
        <v>1</v>
      </c>
      <c r="W207">
        <v>1</v>
      </c>
      <c r="X207">
        <v>1</v>
      </c>
      <c r="Y207">
        <v>1</v>
      </c>
      <c r="Z207">
        <v>1185.5625700000001</v>
      </c>
    </row>
    <row r="208" spans="1:26" x14ac:dyDescent="0.25">
      <c r="A208">
        <v>3396</v>
      </c>
      <c r="B208" t="s">
        <v>117</v>
      </c>
      <c r="C208">
        <v>2018</v>
      </c>
      <c r="D208">
        <v>1</v>
      </c>
      <c r="E208" t="s">
        <v>415</v>
      </c>
      <c r="F208" t="s">
        <v>434</v>
      </c>
      <c r="G208" t="s">
        <v>435</v>
      </c>
      <c r="H208" t="s">
        <v>84</v>
      </c>
      <c r="I208" t="s">
        <v>438</v>
      </c>
      <c r="J208" t="s">
        <v>59</v>
      </c>
      <c r="K208">
        <v>-4500.3355385699997</v>
      </c>
      <c r="L208" t="s">
        <v>89</v>
      </c>
      <c r="M208" t="s">
        <v>422</v>
      </c>
      <c r="N208">
        <v>7.1262429683470005E-2</v>
      </c>
      <c r="O208">
        <v>320.70484499999998</v>
      </c>
      <c r="P208" t="s">
        <v>421</v>
      </c>
      <c r="Q208">
        <v>1</v>
      </c>
      <c r="V208">
        <v>1</v>
      </c>
      <c r="W208">
        <v>1</v>
      </c>
      <c r="X208">
        <v>1</v>
      </c>
      <c r="Y208">
        <v>1</v>
      </c>
      <c r="Z208">
        <v>320.70484499999998</v>
      </c>
    </row>
    <row r="209" spans="1:26" x14ac:dyDescent="0.25">
      <c r="A209">
        <v>3397</v>
      </c>
      <c r="B209" t="s">
        <v>117</v>
      </c>
      <c r="C209">
        <v>2018</v>
      </c>
      <c r="D209">
        <v>1</v>
      </c>
      <c r="E209" t="s">
        <v>415</v>
      </c>
      <c r="F209" t="s">
        <v>434</v>
      </c>
      <c r="G209" t="s">
        <v>435</v>
      </c>
      <c r="H209" t="s">
        <v>84</v>
      </c>
      <c r="I209" t="s">
        <v>438</v>
      </c>
      <c r="J209" t="s">
        <v>59</v>
      </c>
      <c r="K209">
        <v>-4500.3355385699997</v>
      </c>
      <c r="L209" t="s">
        <v>89</v>
      </c>
      <c r="M209" t="s">
        <v>423</v>
      </c>
      <c r="N209">
        <v>0.74738783869542003</v>
      </c>
      <c r="O209">
        <v>3363.496052</v>
      </c>
      <c r="P209" t="s">
        <v>421</v>
      </c>
      <c r="Q209">
        <v>1</v>
      </c>
      <c r="V209">
        <v>1</v>
      </c>
      <c r="W209">
        <v>1</v>
      </c>
      <c r="X209">
        <v>1</v>
      </c>
      <c r="Y209">
        <v>1</v>
      </c>
      <c r="Z209">
        <v>3363.496052</v>
      </c>
    </row>
    <row r="210" spans="1:26" x14ac:dyDescent="0.25">
      <c r="A210">
        <v>3398</v>
      </c>
      <c r="B210" t="s">
        <v>117</v>
      </c>
      <c r="C210">
        <v>2018</v>
      </c>
      <c r="D210">
        <v>1</v>
      </c>
      <c r="E210" t="s">
        <v>415</v>
      </c>
      <c r="F210" t="s">
        <v>434</v>
      </c>
      <c r="G210" t="s">
        <v>435</v>
      </c>
      <c r="H210" t="s">
        <v>84</v>
      </c>
      <c r="I210" t="s">
        <v>438</v>
      </c>
      <c r="J210" t="s">
        <v>59</v>
      </c>
      <c r="K210">
        <v>-4500.3355385699997</v>
      </c>
      <c r="L210" t="s">
        <v>89</v>
      </c>
      <c r="M210" t="s">
        <v>424</v>
      </c>
      <c r="N210">
        <v>3.08071516317E-3</v>
      </c>
      <c r="O210">
        <v>13.864252</v>
      </c>
      <c r="P210" t="s">
        <v>421</v>
      </c>
      <c r="Q210">
        <v>1</v>
      </c>
      <c r="V210">
        <v>1</v>
      </c>
      <c r="W210">
        <v>1</v>
      </c>
      <c r="X210">
        <v>1</v>
      </c>
      <c r="Y210">
        <v>1</v>
      </c>
      <c r="Z210">
        <v>13.864252</v>
      </c>
    </row>
    <row r="211" spans="1:26" x14ac:dyDescent="0.25">
      <c r="A211">
        <v>3399</v>
      </c>
      <c r="B211" t="s">
        <v>117</v>
      </c>
      <c r="C211">
        <v>2018</v>
      </c>
      <c r="D211">
        <v>1</v>
      </c>
      <c r="E211" t="s">
        <v>415</v>
      </c>
      <c r="F211" t="s">
        <v>434</v>
      </c>
      <c r="G211" t="s">
        <v>435</v>
      </c>
      <c r="H211" t="s">
        <v>84</v>
      </c>
      <c r="I211" t="s">
        <v>438</v>
      </c>
      <c r="J211" t="s">
        <v>59</v>
      </c>
      <c r="K211">
        <v>-4500.3355385699997</v>
      </c>
      <c r="L211" t="s">
        <v>89</v>
      </c>
      <c r="M211" t="s">
        <v>425</v>
      </c>
      <c r="N211">
        <v>2.5360775708E-3</v>
      </c>
      <c r="O211">
        <v>11.4132</v>
      </c>
      <c r="P211" t="s">
        <v>421</v>
      </c>
      <c r="Q211">
        <v>1</v>
      </c>
      <c r="V211">
        <v>1</v>
      </c>
      <c r="W211">
        <v>1</v>
      </c>
      <c r="X211">
        <v>1</v>
      </c>
      <c r="Y211">
        <v>1</v>
      </c>
      <c r="Z211">
        <v>11.4132</v>
      </c>
    </row>
    <row r="212" spans="1:26" x14ac:dyDescent="0.25">
      <c r="A212">
        <v>54799</v>
      </c>
      <c r="B212" t="s">
        <v>147</v>
      </c>
      <c r="C212">
        <v>2019</v>
      </c>
      <c r="D212">
        <v>1</v>
      </c>
      <c r="E212" t="s">
        <v>415</v>
      </c>
      <c r="F212" t="s">
        <v>416</v>
      </c>
      <c r="G212" t="s">
        <v>417</v>
      </c>
      <c r="H212" t="s">
        <v>84</v>
      </c>
      <c r="I212" t="s">
        <v>418</v>
      </c>
      <c r="J212" t="s">
        <v>419</v>
      </c>
      <c r="K212">
        <v>-31361.086083940001</v>
      </c>
      <c r="L212" t="s">
        <v>85</v>
      </c>
      <c r="M212" t="s">
        <v>420</v>
      </c>
      <c r="N212">
        <v>0.24824931095561001</v>
      </c>
      <c r="O212">
        <v>7785.3680109999996</v>
      </c>
      <c r="P212" t="s">
        <v>421</v>
      </c>
      <c r="Q212">
        <v>1</v>
      </c>
      <c r="V212">
        <v>1</v>
      </c>
      <c r="W212">
        <v>1</v>
      </c>
      <c r="X212">
        <v>1</v>
      </c>
      <c r="Y212">
        <v>1</v>
      </c>
      <c r="Z212">
        <v>7785.3680109999996</v>
      </c>
    </row>
    <row r="213" spans="1:26" x14ac:dyDescent="0.25">
      <c r="A213">
        <v>54800</v>
      </c>
      <c r="B213" t="s">
        <v>147</v>
      </c>
      <c r="C213">
        <v>2019</v>
      </c>
      <c r="D213">
        <v>1</v>
      </c>
      <c r="E213" t="s">
        <v>415</v>
      </c>
      <c r="F213" t="s">
        <v>416</v>
      </c>
      <c r="G213" t="s">
        <v>417</v>
      </c>
      <c r="H213" t="s">
        <v>84</v>
      </c>
      <c r="I213" t="s">
        <v>418</v>
      </c>
      <c r="J213" t="s">
        <v>419</v>
      </c>
      <c r="K213">
        <v>-31361.086083940001</v>
      </c>
      <c r="L213" t="s">
        <v>85</v>
      </c>
      <c r="M213" t="s">
        <v>422</v>
      </c>
      <c r="N213">
        <v>7.7540047892240005E-2</v>
      </c>
      <c r="O213">
        <v>2431.7401169999998</v>
      </c>
      <c r="P213" t="s">
        <v>421</v>
      </c>
      <c r="Q213">
        <v>1</v>
      </c>
      <c r="V213">
        <v>1</v>
      </c>
      <c r="W213">
        <v>1</v>
      </c>
      <c r="X213">
        <v>1</v>
      </c>
      <c r="Y213">
        <v>1</v>
      </c>
      <c r="Z213">
        <v>2431.7401169999998</v>
      </c>
    </row>
    <row r="214" spans="1:26" x14ac:dyDescent="0.25">
      <c r="A214">
        <v>54801</v>
      </c>
      <c r="B214" t="s">
        <v>147</v>
      </c>
      <c r="C214">
        <v>2019</v>
      </c>
      <c r="D214">
        <v>1</v>
      </c>
      <c r="E214" t="s">
        <v>415</v>
      </c>
      <c r="F214" t="s">
        <v>416</v>
      </c>
      <c r="G214" t="s">
        <v>417</v>
      </c>
      <c r="H214" t="s">
        <v>84</v>
      </c>
      <c r="I214" t="s">
        <v>418</v>
      </c>
      <c r="J214" t="s">
        <v>419</v>
      </c>
      <c r="K214">
        <v>-31361.086083940001</v>
      </c>
      <c r="L214" t="s">
        <v>85</v>
      </c>
      <c r="M214" t="s">
        <v>423</v>
      </c>
      <c r="N214">
        <v>0.73979703899049998</v>
      </c>
      <c r="O214">
        <v>23200.838624</v>
      </c>
      <c r="P214" t="s">
        <v>421</v>
      </c>
      <c r="Q214">
        <v>1</v>
      </c>
      <c r="V214">
        <v>1</v>
      </c>
      <c r="W214">
        <v>1</v>
      </c>
      <c r="X214">
        <v>1</v>
      </c>
      <c r="Y214">
        <v>1</v>
      </c>
      <c r="Z214">
        <v>23200.838624</v>
      </c>
    </row>
    <row r="215" spans="1:26" x14ac:dyDescent="0.25">
      <c r="A215">
        <v>54802</v>
      </c>
      <c r="B215" t="s">
        <v>147</v>
      </c>
      <c r="C215">
        <v>2019</v>
      </c>
      <c r="D215">
        <v>1</v>
      </c>
      <c r="E215" t="s">
        <v>415</v>
      </c>
      <c r="F215" t="s">
        <v>416</v>
      </c>
      <c r="G215" t="s">
        <v>417</v>
      </c>
      <c r="H215" t="s">
        <v>84</v>
      </c>
      <c r="I215" t="s">
        <v>418</v>
      </c>
      <c r="J215" t="s">
        <v>419</v>
      </c>
      <c r="K215">
        <v>-31361.086083940001</v>
      </c>
      <c r="L215" t="s">
        <v>85</v>
      </c>
      <c r="M215" t="s">
        <v>424</v>
      </c>
      <c r="N215">
        <v>2.9085775596699999E-3</v>
      </c>
      <c r="O215">
        <v>91.216150999999996</v>
      </c>
      <c r="P215" t="s">
        <v>421</v>
      </c>
      <c r="Q215">
        <v>1</v>
      </c>
      <c r="V215">
        <v>1</v>
      </c>
      <c r="W215">
        <v>1</v>
      </c>
      <c r="X215">
        <v>1</v>
      </c>
      <c r="Y215">
        <v>1</v>
      </c>
      <c r="Z215">
        <v>91.216150999999996</v>
      </c>
    </row>
    <row r="216" spans="1:26" x14ac:dyDescent="0.25">
      <c r="A216">
        <v>54803</v>
      </c>
      <c r="B216" t="s">
        <v>147</v>
      </c>
      <c r="C216">
        <v>2019</v>
      </c>
      <c r="D216">
        <v>1</v>
      </c>
      <c r="E216" t="s">
        <v>415</v>
      </c>
      <c r="F216" t="s">
        <v>416</v>
      </c>
      <c r="G216" t="s">
        <v>417</v>
      </c>
      <c r="H216" t="s">
        <v>84</v>
      </c>
      <c r="I216" t="s">
        <v>418</v>
      </c>
      <c r="J216" t="s">
        <v>419</v>
      </c>
      <c r="K216">
        <v>-31361.086083940001</v>
      </c>
      <c r="L216" t="s">
        <v>85</v>
      </c>
      <c r="M216" t="s">
        <v>425</v>
      </c>
      <c r="N216">
        <v>2.6170694898000001E-3</v>
      </c>
      <c r="O216">
        <v>82.074141999999995</v>
      </c>
      <c r="P216" t="s">
        <v>421</v>
      </c>
      <c r="Q216">
        <v>1</v>
      </c>
      <c r="V216">
        <v>1</v>
      </c>
      <c r="W216">
        <v>1</v>
      </c>
      <c r="X216">
        <v>1</v>
      </c>
      <c r="Y216">
        <v>1</v>
      </c>
      <c r="Z216">
        <v>82.074141999999995</v>
      </c>
    </row>
    <row r="217" spans="1:26" x14ac:dyDescent="0.25">
      <c r="A217">
        <v>54804</v>
      </c>
      <c r="B217" t="s">
        <v>147</v>
      </c>
      <c r="C217">
        <v>2019</v>
      </c>
      <c r="D217">
        <v>1</v>
      </c>
      <c r="E217" t="s">
        <v>415</v>
      </c>
      <c r="F217" t="s">
        <v>416</v>
      </c>
      <c r="G217" t="s">
        <v>417</v>
      </c>
      <c r="H217" t="s">
        <v>84</v>
      </c>
      <c r="I217" t="s">
        <v>426</v>
      </c>
      <c r="J217" t="s">
        <v>87</v>
      </c>
      <c r="K217">
        <v>-7229.5335288400001</v>
      </c>
      <c r="L217" t="s">
        <v>427</v>
      </c>
      <c r="M217" t="s">
        <v>420</v>
      </c>
      <c r="N217">
        <v>0.45523813654234002</v>
      </c>
      <c r="O217">
        <v>3291.1593720000001</v>
      </c>
      <c r="P217" t="s">
        <v>421</v>
      </c>
      <c r="Q217">
        <v>1</v>
      </c>
      <c r="V217">
        <v>1</v>
      </c>
      <c r="W217">
        <v>1</v>
      </c>
      <c r="X217">
        <v>1</v>
      </c>
      <c r="Y217">
        <v>1</v>
      </c>
      <c r="Z217">
        <v>3291.1593720000001</v>
      </c>
    </row>
    <row r="218" spans="1:26" x14ac:dyDescent="0.25">
      <c r="A218">
        <v>54805</v>
      </c>
      <c r="B218" t="s">
        <v>147</v>
      </c>
      <c r="C218">
        <v>2019</v>
      </c>
      <c r="D218">
        <v>1</v>
      </c>
      <c r="E218" t="s">
        <v>415</v>
      </c>
      <c r="F218" t="s">
        <v>416</v>
      </c>
      <c r="G218" t="s">
        <v>417</v>
      </c>
      <c r="H218" t="s">
        <v>84</v>
      </c>
      <c r="I218" t="s">
        <v>426</v>
      </c>
      <c r="J218" t="s">
        <v>87</v>
      </c>
      <c r="K218">
        <v>-7229.5335288400001</v>
      </c>
      <c r="L218" t="s">
        <v>427</v>
      </c>
      <c r="M218" t="s">
        <v>422</v>
      </c>
      <c r="N218">
        <v>6.8896616392329996E-2</v>
      </c>
      <c r="O218">
        <v>498.09039799999999</v>
      </c>
      <c r="P218" t="s">
        <v>421</v>
      </c>
      <c r="Q218">
        <v>1</v>
      </c>
      <c r="V218">
        <v>1</v>
      </c>
      <c r="W218">
        <v>1</v>
      </c>
      <c r="X218">
        <v>1</v>
      </c>
      <c r="Y218">
        <v>1</v>
      </c>
      <c r="Z218">
        <v>498.09039799999999</v>
      </c>
    </row>
    <row r="219" spans="1:26" x14ac:dyDescent="0.25">
      <c r="A219">
        <v>54806</v>
      </c>
      <c r="B219" t="s">
        <v>147</v>
      </c>
      <c r="C219">
        <v>2019</v>
      </c>
      <c r="D219">
        <v>1</v>
      </c>
      <c r="E219" t="s">
        <v>415</v>
      </c>
      <c r="F219" t="s">
        <v>416</v>
      </c>
      <c r="G219" t="s">
        <v>417</v>
      </c>
      <c r="H219" t="s">
        <v>84</v>
      </c>
      <c r="I219" t="s">
        <v>426</v>
      </c>
      <c r="J219" t="s">
        <v>87</v>
      </c>
      <c r="K219">
        <v>-7229.5335288400001</v>
      </c>
      <c r="L219" t="s">
        <v>427</v>
      </c>
      <c r="M219" t="s">
        <v>423</v>
      </c>
      <c r="N219">
        <v>0.70986919705586005</v>
      </c>
      <c r="O219">
        <v>5132.0231610000001</v>
      </c>
      <c r="P219" t="s">
        <v>421</v>
      </c>
      <c r="Q219">
        <v>1</v>
      </c>
      <c r="V219">
        <v>1</v>
      </c>
      <c r="W219">
        <v>1</v>
      </c>
      <c r="X219">
        <v>1</v>
      </c>
      <c r="Y219">
        <v>1</v>
      </c>
      <c r="Z219">
        <v>5132.0231610000001</v>
      </c>
    </row>
    <row r="220" spans="1:26" x14ac:dyDescent="0.25">
      <c r="A220">
        <v>54807</v>
      </c>
      <c r="B220" t="s">
        <v>147</v>
      </c>
      <c r="C220">
        <v>2019</v>
      </c>
      <c r="D220">
        <v>1</v>
      </c>
      <c r="E220" t="s">
        <v>415</v>
      </c>
      <c r="F220" t="s">
        <v>416</v>
      </c>
      <c r="G220" t="s">
        <v>417</v>
      </c>
      <c r="H220" t="s">
        <v>84</v>
      </c>
      <c r="I220" t="s">
        <v>426</v>
      </c>
      <c r="J220" t="s">
        <v>87</v>
      </c>
      <c r="K220">
        <v>-7229.5335288400001</v>
      </c>
      <c r="L220" t="s">
        <v>427</v>
      </c>
      <c r="M220" t="s">
        <v>425</v>
      </c>
      <c r="N220">
        <v>1.4965642882E-3</v>
      </c>
      <c r="O220">
        <v>10.819462</v>
      </c>
      <c r="P220" t="s">
        <v>421</v>
      </c>
      <c r="Q220">
        <v>1</v>
      </c>
      <c r="V220">
        <v>1</v>
      </c>
      <c r="W220">
        <v>1</v>
      </c>
      <c r="X220">
        <v>1</v>
      </c>
      <c r="Y220">
        <v>1</v>
      </c>
      <c r="Z220">
        <v>10.819462</v>
      </c>
    </row>
    <row r="221" spans="1:26" x14ac:dyDescent="0.25">
      <c r="A221">
        <v>54808</v>
      </c>
      <c r="B221" t="s">
        <v>147</v>
      </c>
      <c r="C221">
        <v>2019</v>
      </c>
      <c r="D221">
        <v>1</v>
      </c>
      <c r="E221" t="s">
        <v>415</v>
      </c>
      <c r="F221" t="s">
        <v>416</v>
      </c>
      <c r="G221" t="s">
        <v>417</v>
      </c>
      <c r="H221" t="s">
        <v>84</v>
      </c>
      <c r="I221" t="s">
        <v>428</v>
      </c>
      <c r="J221" t="s">
        <v>59</v>
      </c>
      <c r="K221">
        <v>-17612.703520319999</v>
      </c>
      <c r="L221" t="s">
        <v>89</v>
      </c>
      <c r="M221" t="s">
        <v>420</v>
      </c>
      <c r="N221">
        <v>0.26343870574139999</v>
      </c>
      <c r="O221">
        <v>4639.8678200000004</v>
      </c>
      <c r="P221" t="s">
        <v>421</v>
      </c>
      <c r="Q221">
        <v>1</v>
      </c>
      <c r="V221">
        <v>1</v>
      </c>
      <c r="W221">
        <v>1</v>
      </c>
      <c r="X221">
        <v>1</v>
      </c>
      <c r="Y221">
        <v>1</v>
      </c>
      <c r="Z221">
        <v>4639.8678200000004</v>
      </c>
    </row>
    <row r="222" spans="1:26" x14ac:dyDescent="0.25">
      <c r="A222">
        <v>54809</v>
      </c>
      <c r="B222" t="s">
        <v>147</v>
      </c>
      <c r="C222">
        <v>2019</v>
      </c>
      <c r="D222">
        <v>1</v>
      </c>
      <c r="E222" t="s">
        <v>415</v>
      </c>
      <c r="F222" t="s">
        <v>416</v>
      </c>
      <c r="G222" t="s">
        <v>417</v>
      </c>
      <c r="H222" t="s">
        <v>84</v>
      </c>
      <c r="I222" t="s">
        <v>428</v>
      </c>
      <c r="J222" t="s">
        <v>59</v>
      </c>
      <c r="K222">
        <v>-17612.703520319999</v>
      </c>
      <c r="L222" t="s">
        <v>89</v>
      </c>
      <c r="M222" t="s">
        <v>422</v>
      </c>
      <c r="N222">
        <v>7.1262429683470005E-2</v>
      </c>
      <c r="O222">
        <v>1255.1240459999999</v>
      </c>
      <c r="P222" t="s">
        <v>421</v>
      </c>
      <c r="Q222">
        <v>1</v>
      </c>
      <c r="V222">
        <v>1</v>
      </c>
      <c r="W222">
        <v>1</v>
      </c>
      <c r="X222">
        <v>1</v>
      </c>
      <c r="Y222">
        <v>1</v>
      </c>
      <c r="Z222">
        <v>1255.1240459999999</v>
      </c>
    </row>
    <row r="223" spans="1:26" x14ac:dyDescent="0.25">
      <c r="A223">
        <v>54810</v>
      </c>
      <c r="B223" t="s">
        <v>147</v>
      </c>
      <c r="C223">
        <v>2019</v>
      </c>
      <c r="D223">
        <v>1</v>
      </c>
      <c r="E223" t="s">
        <v>415</v>
      </c>
      <c r="F223" t="s">
        <v>416</v>
      </c>
      <c r="G223" t="s">
        <v>417</v>
      </c>
      <c r="H223" t="s">
        <v>84</v>
      </c>
      <c r="I223" t="s">
        <v>428</v>
      </c>
      <c r="J223" t="s">
        <v>59</v>
      </c>
      <c r="K223">
        <v>-17612.703520319999</v>
      </c>
      <c r="L223" t="s">
        <v>89</v>
      </c>
      <c r="M223" t="s">
        <v>423</v>
      </c>
      <c r="N223">
        <v>0.74738783869542003</v>
      </c>
      <c r="O223">
        <v>13163.520418</v>
      </c>
      <c r="P223" t="s">
        <v>421</v>
      </c>
      <c r="Q223">
        <v>1</v>
      </c>
      <c r="V223">
        <v>1</v>
      </c>
      <c r="W223">
        <v>1</v>
      </c>
      <c r="X223">
        <v>1</v>
      </c>
      <c r="Y223">
        <v>1</v>
      </c>
      <c r="Z223">
        <v>13163.520418</v>
      </c>
    </row>
    <row r="224" spans="1:26" x14ac:dyDescent="0.25">
      <c r="A224">
        <v>54811</v>
      </c>
      <c r="B224" t="s">
        <v>147</v>
      </c>
      <c r="C224">
        <v>2019</v>
      </c>
      <c r="D224">
        <v>1</v>
      </c>
      <c r="E224" t="s">
        <v>415</v>
      </c>
      <c r="F224" t="s">
        <v>416</v>
      </c>
      <c r="G224" t="s">
        <v>417</v>
      </c>
      <c r="H224" t="s">
        <v>84</v>
      </c>
      <c r="I224" t="s">
        <v>428</v>
      </c>
      <c r="J224" t="s">
        <v>59</v>
      </c>
      <c r="K224">
        <v>-17612.703520319999</v>
      </c>
      <c r="L224" t="s">
        <v>89</v>
      </c>
      <c r="M224" t="s">
        <v>424</v>
      </c>
      <c r="N224">
        <v>3.08071516317E-3</v>
      </c>
      <c r="O224">
        <v>54.259723000000001</v>
      </c>
      <c r="P224" t="s">
        <v>421</v>
      </c>
      <c r="Q224">
        <v>1</v>
      </c>
      <c r="V224">
        <v>1</v>
      </c>
      <c r="W224">
        <v>1</v>
      </c>
      <c r="X224">
        <v>1</v>
      </c>
      <c r="Y224">
        <v>1</v>
      </c>
      <c r="Z224">
        <v>54.259723000000001</v>
      </c>
    </row>
    <row r="225" spans="1:26" x14ac:dyDescent="0.25">
      <c r="A225">
        <v>54812</v>
      </c>
      <c r="B225" t="s">
        <v>147</v>
      </c>
      <c r="C225">
        <v>2019</v>
      </c>
      <c r="D225">
        <v>1</v>
      </c>
      <c r="E225" t="s">
        <v>415</v>
      </c>
      <c r="F225" t="s">
        <v>416</v>
      </c>
      <c r="G225" t="s">
        <v>417</v>
      </c>
      <c r="H225" t="s">
        <v>84</v>
      </c>
      <c r="I225" t="s">
        <v>428</v>
      </c>
      <c r="J225" t="s">
        <v>59</v>
      </c>
      <c r="K225">
        <v>-17612.703520319999</v>
      </c>
      <c r="L225" t="s">
        <v>89</v>
      </c>
      <c r="M225" t="s">
        <v>425</v>
      </c>
      <c r="N225">
        <v>2.5360775708E-3</v>
      </c>
      <c r="O225">
        <v>44.667181999999997</v>
      </c>
      <c r="P225" t="s">
        <v>421</v>
      </c>
      <c r="Q225">
        <v>1</v>
      </c>
      <c r="V225">
        <v>1</v>
      </c>
      <c r="W225">
        <v>1</v>
      </c>
      <c r="X225">
        <v>1</v>
      </c>
      <c r="Y225">
        <v>1</v>
      </c>
      <c r="Z225">
        <v>44.667181999999997</v>
      </c>
    </row>
    <row r="226" spans="1:26" x14ac:dyDescent="0.25">
      <c r="A226">
        <v>54813</v>
      </c>
      <c r="B226" t="s">
        <v>147</v>
      </c>
      <c r="C226">
        <v>2019</v>
      </c>
      <c r="D226">
        <v>1</v>
      </c>
      <c r="E226" t="s">
        <v>415</v>
      </c>
      <c r="F226" t="s">
        <v>429</v>
      </c>
      <c r="G226" t="s">
        <v>430</v>
      </c>
      <c r="H226" t="s">
        <v>84</v>
      </c>
      <c r="I226" t="s">
        <v>431</v>
      </c>
      <c r="J226" t="s">
        <v>419</v>
      </c>
      <c r="K226">
        <v>-43930.949056370002</v>
      </c>
      <c r="L226" t="s">
        <v>85</v>
      </c>
      <c r="M226" t="s">
        <v>420</v>
      </c>
      <c r="N226">
        <v>0.24824931095561001</v>
      </c>
      <c r="O226">
        <v>10905.827832999999</v>
      </c>
      <c r="P226" t="s">
        <v>421</v>
      </c>
      <c r="Q226">
        <v>1</v>
      </c>
      <c r="V226">
        <v>1</v>
      </c>
      <c r="W226">
        <v>1</v>
      </c>
      <c r="X226">
        <v>1</v>
      </c>
      <c r="Y226">
        <v>1</v>
      </c>
      <c r="Z226">
        <v>10905.827832999999</v>
      </c>
    </row>
    <row r="227" spans="1:26" x14ac:dyDescent="0.25">
      <c r="A227">
        <v>54814</v>
      </c>
      <c r="B227" t="s">
        <v>147</v>
      </c>
      <c r="C227">
        <v>2019</v>
      </c>
      <c r="D227">
        <v>1</v>
      </c>
      <c r="E227" t="s">
        <v>415</v>
      </c>
      <c r="F227" t="s">
        <v>429</v>
      </c>
      <c r="G227" t="s">
        <v>430</v>
      </c>
      <c r="H227" t="s">
        <v>84</v>
      </c>
      <c r="I227" t="s">
        <v>431</v>
      </c>
      <c r="J227" t="s">
        <v>419</v>
      </c>
      <c r="K227">
        <v>-43930.949056370002</v>
      </c>
      <c r="L227" t="s">
        <v>85</v>
      </c>
      <c r="M227" t="s">
        <v>422</v>
      </c>
      <c r="N227">
        <v>7.7540047892240005E-2</v>
      </c>
      <c r="O227">
        <v>3406.4078939999999</v>
      </c>
      <c r="P227" t="s">
        <v>421</v>
      </c>
      <c r="Q227">
        <v>1</v>
      </c>
      <c r="V227">
        <v>1</v>
      </c>
      <c r="W227">
        <v>1</v>
      </c>
      <c r="X227">
        <v>1</v>
      </c>
      <c r="Y227">
        <v>1</v>
      </c>
      <c r="Z227">
        <v>3406.4078939999999</v>
      </c>
    </row>
    <row r="228" spans="1:26" x14ac:dyDescent="0.25">
      <c r="A228">
        <v>54815</v>
      </c>
      <c r="B228" t="s">
        <v>147</v>
      </c>
      <c r="C228">
        <v>2019</v>
      </c>
      <c r="D228">
        <v>1</v>
      </c>
      <c r="E228" t="s">
        <v>415</v>
      </c>
      <c r="F228" t="s">
        <v>429</v>
      </c>
      <c r="G228" t="s">
        <v>430</v>
      </c>
      <c r="H228" t="s">
        <v>84</v>
      </c>
      <c r="I228" t="s">
        <v>431</v>
      </c>
      <c r="J228" t="s">
        <v>419</v>
      </c>
      <c r="K228">
        <v>-43930.949056370002</v>
      </c>
      <c r="L228" t="s">
        <v>85</v>
      </c>
      <c r="M228" t="s">
        <v>423</v>
      </c>
      <c r="N228">
        <v>0.73979703899049998</v>
      </c>
      <c r="O228">
        <v>32499.986032000001</v>
      </c>
      <c r="P228" t="s">
        <v>421</v>
      </c>
      <c r="Q228">
        <v>1</v>
      </c>
      <c r="V228">
        <v>1</v>
      </c>
      <c r="W228">
        <v>1</v>
      </c>
      <c r="X228">
        <v>1</v>
      </c>
      <c r="Y228">
        <v>1</v>
      </c>
      <c r="Z228">
        <v>32499.986032000001</v>
      </c>
    </row>
    <row r="229" spans="1:26" x14ac:dyDescent="0.25">
      <c r="A229">
        <v>54816</v>
      </c>
      <c r="B229" t="s">
        <v>147</v>
      </c>
      <c r="C229">
        <v>2019</v>
      </c>
      <c r="D229">
        <v>1</v>
      </c>
      <c r="E229" t="s">
        <v>415</v>
      </c>
      <c r="F229" t="s">
        <v>429</v>
      </c>
      <c r="G229" t="s">
        <v>430</v>
      </c>
      <c r="H229" t="s">
        <v>84</v>
      </c>
      <c r="I229" t="s">
        <v>431</v>
      </c>
      <c r="J229" t="s">
        <v>419</v>
      </c>
      <c r="K229">
        <v>-43930.949056370002</v>
      </c>
      <c r="L229" t="s">
        <v>85</v>
      </c>
      <c r="M229" t="s">
        <v>424</v>
      </c>
      <c r="N229">
        <v>2.9085775596699999E-3</v>
      </c>
      <c r="O229">
        <v>127.776573</v>
      </c>
      <c r="P229" t="s">
        <v>421</v>
      </c>
      <c r="Q229">
        <v>1</v>
      </c>
      <c r="V229">
        <v>1</v>
      </c>
      <c r="W229">
        <v>1</v>
      </c>
      <c r="X229">
        <v>1</v>
      </c>
      <c r="Y229">
        <v>1</v>
      </c>
      <c r="Z229">
        <v>127.776573</v>
      </c>
    </row>
    <row r="230" spans="1:26" x14ac:dyDescent="0.25">
      <c r="A230">
        <v>54817</v>
      </c>
      <c r="B230" t="s">
        <v>147</v>
      </c>
      <c r="C230">
        <v>2019</v>
      </c>
      <c r="D230">
        <v>1</v>
      </c>
      <c r="E230" t="s">
        <v>415</v>
      </c>
      <c r="F230" t="s">
        <v>429</v>
      </c>
      <c r="G230" t="s">
        <v>430</v>
      </c>
      <c r="H230" t="s">
        <v>84</v>
      </c>
      <c r="I230" t="s">
        <v>431</v>
      </c>
      <c r="J230" t="s">
        <v>419</v>
      </c>
      <c r="K230">
        <v>-43930.949056370002</v>
      </c>
      <c r="L230" t="s">
        <v>85</v>
      </c>
      <c r="M230" t="s">
        <v>425</v>
      </c>
      <c r="N230">
        <v>2.6170694898000001E-3</v>
      </c>
      <c r="O230">
        <v>114.97034600000001</v>
      </c>
      <c r="P230" t="s">
        <v>421</v>
      </c>
      <c r="Q230">
        <v>1</v>
      </c>
      <c r="V230">
        <v>1</v>
      </c>
      <c r="W230">
        <v>1</v>
      </c>
      <c r="X230">
        <v>1</v>
      </c>
      <c r="Y230">
        <v>1</v>
      </c>
      <c r="Z230">
        <v>114.97034600000001</v>
      </c>
    </row>
    <row r="231" spans="1:26" x14ac:dyDescent="0.25">
      <c r="A231">
        <v>54818</v>
      </c>
      <c r="B231" t="s">
        <v>147</v>
      </c>
      <c r="C231">
        <v>2019</v>
      </c>
      <c r="D231">
        <v>1</v>
      </c>
      <c r="E231" t="s">
        <v>415</v>
      </c>
      <c r="F231" t="s">
        <v>429</v>
      </c>
      <c r="G231" t="s">
        <v>430</v>
      </c>
      <c r="H231" t="s">
        <v>84</v>
      </c>
      <c r="I231" t="s">
        <v>432</v>
      </c>
      <c r="J231" t="s">
        <v>87</v>
      </c>
      <c r="K231">
        <v>-10545.15005839</v>
      </c>
      <c r="L231" t="s">
        <v>427</v>
      </c>
      <c r="M231" t="s">
        <v>420</v>
      </c>
      <c r="N231">
        <v>0.45523813654234002</v>
      </c>
      <c r="O231">
        <v>4800.5544620000001</v>
      </c>
      <c r="P231" t="s">
        <v>421</v>
      </c>
      <c r="Q231">
        <v>1</v>
      </c>
      <c r="V231">
        <v>1</v>
      </c>
      <c r="W231">
        <v>1</v>
      </c>
      <c r="X231">
        <v>1</v>
      </c>
      <c r="Y231">
        <v>1</v>
      </c>
      <c r="Z231">
        <v>4800.5544620000001</v>
      </c>
    </row>
    <row r="232" spans="1:26" x14ac:dyDescent="0.25">
      <c r="A232">
        <v>54819</v>
      </c>
      <c r="B232" t="s">
        <v>147</v>
      </c>
      <c r="C232">
        <v>2019</v>
      </c>
      <c r="D232">
        <v>1</v>
      </c>
      <c r="E232" t="s">
        <v>415</v>
      </c>
      <c r="F232" t="s">
        <v>429</v>
      </c>
      <c r="G232" t="s">
        <v>430</v>
      </c>
      <c r="H232" t="s">
        <v>84</v>
      </c>
      <c r="I232" t="s">
        <v>432</v>
      </c>
      <c r="J232" t="s">
        <v>87</v>
      </c>
      <c r="K232">
        <v>-10545.15005839</v>
      </c>
      <c r="L232" t="s">
        <v>427</v>
      </c>
      <c r="M232" t="s">
        <v>422</v>
      </c>
      <c r="N232">
        <v>6.8896616392329996E-2</v>
      </c>
      <c r="O232">
        <v>726.52515800000003</v>
      </c>
      <c r="P232" t="s">
        <v>421</v>
      </c>
      <c r="Q232">
        <v>1</v>
      </c>
      <c r="V232">
        <v>1</v>
      </c>
      <c r="W232">
        <v>1</v>
      </c>
      <c r="X232">
        <v>1</v>
      </c>
      <c r="Y232">
        <v>1</v>
      </c>
      <c r="Z232">
        <v>726.52515800000003</v>
      </c>
    </row>
    <row r="233" spans="1:26" x14ac:dyDescent="0.25">
      <c r="A233">
        <v>54820</v>
      </c>
      <c r="B233" t="s">
        <v>147</v>
      </c>
      <c r="C233">
        <v>2019</v>
      </c>
      <c r="D233">
        <v>1</v>
      </c>
      <c r="E233" t="s">
        <v>415</v>
      </c>
      <c r="F233" t="s">
        <v>429</v>
      </c>
      <c r="G233" t="s">
        <v>430</v>
      </c>
      <c r="H233" t="s">
        <v>84</v>
      </c>
      <c r="I233" t="s">
        <v>432</v>
      </c>
      <c r="J233" t="s">
        <v>87</v>
      </c>
      <c r="K233">
        <v>-10545.15005839</v>
      </c>
      <c r="L233" t="s">
        <v>427</v>
      </c>
      <c r="M233" t="s">
        <v>423</v>
      </c>
      <c r="N233">
        <v>0.70986919705586005</v>
      </c>
      <c r="O233">
        <v>7485.677205</v>
      </c>
      <c r="P233" t="s">
        <v>421</v>
      </c>
      <c r="Q233">
        <v>1</v>
      </c>
      <c r="V233">
        <v>1</v>
      </c>
      <c r="W233">
        <v>1</v>
      </c>
      <c r="X233">
        <v>1</v>
      </c>
      <c r="Y233">
        <v>1</v>
      </c>
      <c r="Z233">
        <v>7485.677205</v>
      </c>
    </row>
    <row r="234" spans="1:26" x14ac:dyDescent="0.25">
      <c r="A234">
        <v>54821</v>
      </c>
      <c r="B234" t="s">
        <v>147</v>
      </c>
      <c r="C234">
        <v>2019</v>
      </c>
      <c r="D234">
        <v>1</v>
      </c>
      <c r="E234" t="s">
        <v>415</v>
      </c>
      <c r="F234" t="s">
        <v>429</v>
      </c>
      <c r="G234" t="s">
        <v>430</v>
      </c>
      <c r="H234" t="s">
        <v>84</v>
      </c>
      <c r="I234" t="s">
        <v>432</v>
      </c>
      <c r="J234" t="s">
        <v>87</v>
      </c>
      <c r="K234">
        <v>-10545.15005839</v>
      </c>
      <c r="L234" t="s">
        <v>427</v>
      </c>
      <c r="M234" t="s">
        <v>425</v>
      </c>
      <c r="N234">
        <v>1.4965642882E-3</v>
      </c>
      <c r="O234">
        <v>15.781495</v>
      </c>
      <c r="P234" t="s">
        <v>421</v>
      </c>
      <c r="Q234">
        <v>1</v>
      </c>
      <c r="V234">
        <v>1</v>
      </c>
      <c r="W234">
        <v>1</v>
      </c>
      <c r="X234">
        <v>1</v>
      </c>
      <c r="Y234">
        <v>1</v>
      </c>
      <c r="Z234">
        <v>15.781495</v>
      </c>
    </row>
    <row r="235" spans="1:26" x14ac:dyDescent="0.25">
      <c r="A235">
        <v>54822</v>
      </c>
      <c r="B235" t="s">
        <v>147</v>
      </c>
      <c r="C235">
        <v>2019</v>
      </c>
      <c r="D235">
        <v>1</v>
      </c>
      <c r="E235" t="s">
        <v>415</v>
      </c>
      <c r="F235" t="s">
        <v>429</v>
      </c>
      <c r="G235" t="s">
        <v>430</v>
      </c>
      <c r="H235" t="s">
        <v>84</v>
      </c>
      <c r="I235" t="s">
        <v>433</v>
      </c>
      <c r="J235" t="s">
        <v>59</v>
      </c>
      <c r="K235">
        <v>-23685.003219480001</v>
      </c>
      <c r="L235" t="s">
        <v>89</v>
      </c>
      <c r="M235" t="s">
        <v>420</v>
      </c>
      <c r="N235">
        <v>0.26343870574139999</v>
      </c>
      <c r="O235">
        <v>6239.5465940000004</v>
      </c>
      <c r="P235" t="s">
        <v>421</v>
      </c>
      <c r="Q235">
        <v>1</v>
      </c>
      <c r="V235">
        <v>1</v>
      </c>
      <c r="W235">
        <v>1</v>
      </c>
      <c r="X235">
        <v>1</v>
      </c>
      <c r="Y235">
        <v>1</v>
      </c>
      <c r="Z235">
        <v>6239.5465940000004</v>
      </c>
    </row>
    <row r="236" spans="1:26" x14ac:dyDescent="0.25">
      <c r="A236">
        <v>54823</v>
      </c>
      <c r="B236" t="s">
        <v>147</v>
      </c>
      <c r="C236">
        <v>2019</v>
      </c>
      <c r="D236">
        <v>1</v>
      </c>
      <c r="E236" t="s">
        <v>415</v>
      </c>
      <c r="F236" t="s">
        <v>429</v>
      </c>
      <c r="G236" t="s">
        <v>430</v>
      </c>
      <c r="H236" t="s">
        <v>84</v>
      </c>
      <c r="I236" t="s">
        <v>433</v>
      </c>
      <c r="J236" t="s">
        <v>59</v>
      </c>
      <c r="K236">
        <v>-23685.003219480001</v>
      </c>
      <c r="L236" t="s">
        <v>89</v>
      </c>
      <c r="M236" t="s">
        <v>422</v>
      </c>
      <c r="N236">
        <v>7.1262429683470005E-2</v>
      </c>
      <c r="O236">
        <v>1687.850876</v>
      </c>
      <c r="P236" t="s">
        <v>421</v>
      </c>
      <c r="Q236">
        <v>1</v>
      </c>
      <c r="V236">
        <v>1</v>
      </c>
      <c r="W236">
        <v>1</v>
      </c>
      <c r="X236">
        <v>1</v>
      </c>
      <c r="Y236">
        <v>1</v>
      </c>
      <c r="Z236">
        <v>1687.850876</v>
      </c>
    </row>
    <row r="237" spans="1:26" x14ac:dyDescent="0.25">
      <c r="A237">
        <v>54824</v>
      </c>
      <c r="B237" t="s">
        <v>147</v>
      </c>
      <c r="C237">
        <v>2019</v>
      </c>
      <c r="D237">
        <v>1</v>
      </c>
      <c r="E237" t="s">
        <v>415</v>
      </c>
      <c r="F237" t="s">
        <v>429</v>
      </c>
      <c r="G237" t="s">
        <v>430</v>
      </c>
      <c r="H237" t="s">
        <v>84</v>
      </c>
      <c r="I237" t="s">
        <v>433</v>
      </c>
      <c r="J237" t="s">
        <v>59</v>
      </c>
      <c r="K237">
        <v>-23685.003219480001</v>
      </c>
      <c r="L237" t="s">
        <v>89</v>
      </c>
      <c r="M237" t="s">
        <v>423</v>
      </c>
      <c r="N237">
        <v>0.74738783869542003</v>
      </c>
      <c r="O237">
        <v>17701.883365999998</v>
      </c>
      <c r="P237" t="s">
        <v>421</v>
      </c>
      <c r="Q237">
        <v>1</v>
      </c>
      <c r="V237">
        <v>1</v>
      </c>
      <c r="W237">
        <v>1</v>
      </c>
      <c r="X237">
        <v>1</v>
      </c>
      <c r="Y237">
        <v>1</v>
      </c>
      <c r="Z237">
        <v>17701.883365999998</v>
      </c>
    </row>
    <row r="238" spans="1:26" x14ac:dyDescent="0.25">
      <c r="A238">
        <v>54825</v>
      </c>
      <c r="B238" t="s">
        <v>147</v>
      </c>
      <c r="C238">
        <v>2019</v>
      </c>
      <c r="D238">
        <v>1</v>
      </c>
      <c r="E238" t="s">
        <v>415</v>
      </c>
      <c r="F238" t="s">
        <v>429</v>
      </c>
      <c r="G238" t="s">
        <v>430</v>
      </c>
      <c r="H238" t="s">
        <v>84</v>
      </c>
      <c r="I238" t="s">
        <v>433</v>
      </c>
      <c r="J238" t="s">
        <v>59</v>
      </c>
      <c r="K238">
        <v>-23685.003219480001</v>
      </c>
      <c r="L238" t="s">
        <v>89</v>
      </c>
      <c r="M238" t="s">
        <v>424</v>
      </c>
      <c r="N238">
        <v>3.08071516317E-3</v>
      </c>
      <c r="O238">
        <v>72.966748999999993</v>
      </c>
      <c r="P238" t="s">
        <v>421</v>
      </c>
      <c r="Q238">
        <v>1</v>
      </c>
      <c r="V238">
        <v>1</v>
      </c>
      <c r="W238">
        <v>1</v>
      </c>
      <c r="X238">
        <v>1</v>
      </c>
      <c r="Y238">
        <v>1</v>
      </c>
      <c r="Z238">
        <v>72.966748999999993</v>
      </c>
    </row>
    <row r="239" spans="1:26" x14ac:dyDescent="0.25">
      <c r="A239">
        <v>54826</v>
      </c>
      <c r="B239" t="s">
        <v>147</v>
      </c>
      <c r="C239">
        <v>2019</v>
      </c>
      <c r="D239">
        <v>1</v>
      </c>
      <c r="E239" t="s">
        <v>415</v>
      </c>
      <c r="F239" t="s">
        <v>429</v>
      </c>
      <c r="G239" t="s">
        <v>430</v>
      </c>
      <c r="H239" t="s">
        <v>84</v>
      </c>
      <c r="I239" t="s">
        <v>433</v>
      </c>
      <c r="J239" t="s">
        <v>59</v>
      </c>
      <c r="K239">
        <v>-23685.003219480001</v>
      </c>
      <c r="L239" t="s">
        <v>89</v>
      </c>
      <c r="M239" t="s">
        <v>425</v>
      </c>
      <c r="N239">
        <v>2.5360775708E-3</v>
      </c>
      <c r="O239">
        <v>60.067005000000002</v>
      </c>
      <c r="P239" t="s">
        <v>421</v>
      </c>
      <c r="Q239">
        <v>1</v>
      </c>
      <c r="V239">
        <v>1</v>
      </c>
      <c r="W239">
        <v>1</v>
      </c>
      <c r="X239">
        <v>1</v>
      </c>
      <c r="Y239">
        <v>1</v>
      </c>
      <c r="Z239">
        <v>60.067005000000002</v>
      </c>
    </row>
    <row r="240" spans="1:26" x14ac:dyDescent="0.25">
      <c r="A240">
        <v>54827</v>
      </c>
      <c r="B240" t="s">
        <v>147</v>
      </c>
      <c r="C240">
        <v>2019</v>
      </c>
      <c r="D240">
        <v>1</v>
      </c>
      <c r="E240" t="s">
        <v>415</v>
      </c>
      <c r="F240" t="s">
        <v>434</v>
      </c>
      <c r="G240" t="s">
        <v>435</v>
      </c>
      <c r="H240" t="s">
        <v>84</v>
      </c>
      <c r="I240" t="s">
        <v>436</v>
      </c>
      <c r="J240" t="s">
        <v>419</v>
      </c>
      <c r="K240">
        <v>-23394.641707840001</v>
      </c>
      <c r="L240" t="s">
        <v>85</v>
      </c>
      <c r="M240" t="s">
        <v>420</v>
      </c>
      <c r="N240">
        <v>0.24824931095561001</v>
      </c>
      <c r="O240">
        <v>5807.7036840000001</v>
      </c>
      <c r="P240" t="s">
        <v>421</v>
      </c>
      <c r="Q240">
        <v>1</v>
      </c>
      <c r="V240">
        <v>1</v>
      </c>
      <c r="W240">
        <v>1</v>
      </c>
      <c r="X240">
        <v>1</v>
      </c>
      <c r="Y240">
        <v>1</v>
      </c>
      <c r="Z240">
        <v>5807.7036840000001</v>
      </c>
    </row>
    <row r="241" spans="1:26" x14ac:dyDescent="0.25">
      <c r="A241">
        <v>54828</v>
      </c>
      <c r="B241" t="s">
        <v>147</v>
      </c>
      <c r="C241">
        <v>2019</v>
      </c>
      <c r="D241">
        <v>1</v>
      </c>
      <c r="E241" t="s">
        <v>415</v>
      </c>
      <c r="F241" t="s">
        <v>434</v>
      </c>
      <c r="G241" t="s">
        <v>435</v>
      </c>
      <c r="H241" t="s">
        <v>84</v>
      </c>
      <c r="I241" t="s">
        <v>436</v>
      </c>
      <c r="J241" t="s">
        <v>419</v>
      </c>
      <c r="K241">
        <v>-23394.641707840001</v>
      </c>
      <c r="L241" t="s">
        <v>85</v>
      </c>
      <c r="M241" t="s">
        <v>422</v>
      </c>
      <c r="N241">
        <v>7.7540047892240005E-2</v>
      </c>
      <c r="O241">
        <v>1814.0216379999999</v>
      </c>
      <c r="P241" t="s">
        <v>421</v>
      </c>
      <c r="Q241">
        <v>1</v>
      </c>
      <c r="V241">
        <v>1</v>
      </c>
      <c r="W241">
        <v>1</v>
      </c>
      <c r="X241">
        <v>1</v>
      </c>
      <c r="Y241">
        <v>1</v>
      </c>
      <c r="Z241">
        <v>1814.0216379999999</v>
      </c>
    </row>
    <row r="242" spans="1:26" x14ac:dyDescent="0.25">
      <c r="A242">
        <v>54829</v>
      </c>
      <c r="B242" t="s">
        <v>147</v>
      </c>
      <c r="C242">
        <v>2019</v>
      </c>
      <c r="D242">
        <v>1</v>
      </c>
      <c r="E242" t="s">
        <v>415</v>
      </c>
      <c r="F242" t="s">
        <v>434</v>
      </c>
      <c r="G242" t="s">
        <v>435</v>
      </c>
      <c r="H242" t="s">
        <v>84</v>
      </c>
      <c r="I242" t="s">
        <v>436</v>
      </c>
      <c r="J242" t="s">
        <v>419</v>
      </c>
      <c r="K242">
        <v>-23394.641707840001</v>
      </c>
      <c r="L242" t="s">
        <v>85</v>
      </c>
      <c r="M242" t="s">
        <v>423</v>
      </c>
      <c r="N242">
        <v>0.73979703899049998</v>
      </c>
      <c r="O242">
        <v>17307.286663999999</v>
      </c>
      <c r="P242" t="s">
        <v>421</v>
      </c>
      <c r="Q242">
        <v>1</v>
      </c>
      <c r="V242">
        <v>1</v>
      </c>
      <c r="W242">
        <v>1</v>
      </c>
      <c r="X242">
        <v>1</v>
      </c>
      <c r="Y242">
        <v>1</v>
      </c>
      <c r="Z242">
        <v>17307.286663999999</v>
      </c>
    </row>
    <row r="243" spans="1:26" x14ac:dyDescent="0.25">
      <c r="A243">
        <v>54830</v>
      </c>
      <c r="B243" t="s">
        <v>147</v>
      </c>
      <c r="C243">
        <v>2019</v>
      </c>
      <c r="D243">
        <v>1</v>
      </c>
      <c r="E243" t="s">
        <v>415</v>
      </c>
      <c r="F243" t="s">
        <v>434</v>
      </c>
      <c r="G243" t="s">
        <v>435</v>
      </c>
      <c r="H243" t="s">
        <v>84</v>
      </c>
      <c r="I243" t="s">
        <v>436</v>
      </c>
      <c r="J243" t="s">
        <v>419</v>
      </c>
      <c r="K243">
        <v>-23394.641707840001</v>
      </c>
      <c r="L243" t="s">
        <v>85</v>
      </c>
      <c r="M243" t="s">
        <v>424</v>
      </c>
      <c r="N243">
        <v>2.9085775596699999E-3</v>
      </c>
      <c r="O243">
        <v>68.04513</v>
      </c>
      <c r="P243" t="s">
        <v>421</v>
      </c>
      <c r="Q243">
        <v>1</v>
      </c>
      <c r="V243">
        <v>1</v>
      </c>
      <c r="W243">
        <v>1</v>
      </c>
      <c r="X243">
        <v>1</v>
      </c>
      <c r="Y243">
        <v>1</v>
      </c>
      <c r="Z243">
        <v>68.04513</v>
      </c>
    </row>
    <row r="244" spans="1:26" x14ac:dyDescent="0.25">
      <c r="A244">
        <v>54831</v>
      </c>
      <c r="B244" t="s">
        <v>147</v>
      </c>
      <c r="C244">
        <v>2019</v>
      </c>
      <c r="D244">
        <v>1</v>
      </c>
      <c r="E244" t="s">
        <v>415</v>
      </c>
      <c r="F244" t="s">
        <v>434</v>
      </c>
      <c r="G244" t="s">
        <v>435</v>
      </c>
      <c r="H244" t="s">
        <v>84</v>
      </c>
      <c r="I244" t="s">
        <v>436</v>
      </c>
      <c r="J244" t="s">
        <v>419</v>
      </c>
      <c r="K244">
        <v>-23394.641707840001</v>
      </c>
      <c r="L244" t="s">
        <v>85</v>
      </c>
      <c r="M244" t="s">
        <v>425</v>
      </c>
      <c r="N244">
        <v>2.6170694898000001E-3</v>
      </c>
      <c r="O244">
        <v>61.225403</v>
      </c>
      <c r="P244" t="s">
        <v>421</v>
      </c>
      <c r="Q244">
        <v>1</v>
      </c>
      <c r="V244">
        <v>1</v>
      </c>
      <c r="W244">
        <v>1</v>
      </c>
      <c r="X244">
        <v>1</v>
      </c>
      <c r="Y244">
        <v>1</v>
      </c>
      <c r="Z244">
        <v>61.225403</v>
      </c>
    </row>
    <row r="245" spans="1:26" x14ac:dyDescent="0.25">
      <c r="A245">
        <v>54832</v>
      </c>
      <c r="B245" t="s">
        <v>147</v>
      </c>
      <c r="C245">
        <v>2019</v>
      </c>
      <c r="D245">
        <v>1</v>
      </c>
      <c r="E245" t="s">
        <v>415</v>
      </c>
      <c r="F245" t="s">
        <v>434</v>
      </c>
      <c r="G245" t="s">
        <v>435</v>
      </c>
      <c r="H245" t="s">
        <v>84</v>
      </c>
      <c r="I245" t="s">
        <v>437</v>
      </c>
      <c r="J245" t="s">
        <v>87</v>
      </c>
      <c r="K245">
        <v>-4957.4567161499999</v>
      </c>
      <c r="L245" t="s">
        <v>427</v>
      </c>
      <c r="M245" t="s">
        <v>420</v>
      </c>
      <c r="N245">
        <v>0.45523813654234002</v>
      </c>
      <c r="O245">
        <v>2256.8233570000002</v>
      </c>
      <c r="P245" t="s">
        <v>421</v>
      </c>
      <c r="Q245">
        <v>1</v>
      </c>
      <c r="V245">
        <v>1</v>
      </c>
      <c r="W245">
        <v>1</v>
      </c>
      <c r="X245">
        <v>1</v>
      </c>
      <c r="Y245">
        <v>1</v>
      </c>
      <c r="Z245">
        <v>2256.8233570000002</v>
      </c>
    </row>
    <row r="246" spans="1:26" x14ac:dyDescent="0.25">
      <c r="A246">
        <v>54833</v>
      </c>
      <c r="B246" t="s">
        <v>147</v>
      </c>
      <c r="C246">
        <v>2019</v>
      </c>
      <c r="D246">
        <v>1</v>
      </c>
      <c r="E246" t="s">
        <v>415</v>
      </c>
      <c r="F246" t="s">
        <v>434</v>
      </c>
      <c r="G246" t="s">
        <v>435</v>
      </c>
      <c r="H246" t="s">
        <v>84</v>
      </c>
      <c r="I246" t="s">
        <v>437</v>
      </c>
      <c r="J246" t="s">
        <v>87</v>
      </c>
      <c r="K246">
        <v>-4957.4567161499999</v>
      </c>
      <c r="L246" t="s">
        <v>427</v>
      </c>
      <c r="M246" t="s">
        <v>422</v>
      </c>
      <c r="N246">
        <v>6.8896616392329996E-2</v>
      </c>
      <c r="O246">
        <v>341.55199399999998</v>
      </c>
      <c r="P246" t="s">
        <v>421</v>
      </c>
      <c r="Q246">
        <v>1</v>
      </c>
      <c r="V246">
        <v>1</v>
      </c>
      <c r="W246">
        <v>1</v>
      </c>
      <c r="X246">
        <v>1</v>
      </c>
      <c r="Y246">
        <v>1</v>
      </c>
      <c r="Z246">
        <v>341.55199399999998</v>
      </c>
    </row>
    <row r="247" spans="1:26" x14ac:dyDescent="0.25">
      <c r="A247">
        <v>54834</v>
      </c>
      <c r="B247" t="s">
        <v>147</v>
      </c>
      <c r="C247">
        <v>2019</v>
      </c>
      <c r="D247">
        <v>1</v>
      </c>
      <c r="E247" t="s">
        <v>415</v>
      </c>
      <c r="F247" t="s">
        <v>434</v>
      </c>
      <c r="G247" t="s">
        <v>435</v>
      </c>
      <c r="H247" t="s">
        <v>84</v>
      </c>
      <c r="I247" t="s">
        <v>437</v>
      </c>
      <c r="J247" t="s">
        <v>87</v>
      </c>
      <c r="K247">
        <v>-4957.4567161499999</v>
      </c>
      <c r="L247" t="s">
        <v>427</v>
      </c>
      <c r="M247" t="s">
        <v>423</v>
      </c>
      <c r="N247">
        <v>0.70986919705586005</v>
      </c>
      <c r="O247">
        <v>3519.1458189999998</v>
      </c>
      <c r="P247" t="s">
        <v>421</v>
      </c>
      <c r="Q247">
        <v>1</v>
      </c>
      <c r="V247">
        <v>1</v>
      </c>
      <c r="W247">
        <v>1</v>
      </c>
      <c r="X247">
        <v>1</v>
      </c>
      <c r="Y247">
        <v>1</v>
      </c>
      <c r="Z247">
        <v>3519.1458189999998</v>
      </c>
    </row>
    <row r="248" spans="1:26" x14ac:dyDescent="0.25">
      <c r="A248">
        <v>54835</v>
      </c>
      <c r="B248" t="s">
        <v>147</v>
      </c>
      <c r="C248">
        <v>2019</v>
      </c>
      <c r="D248">
        <v>1</v>
      </c>
      <c r="E248" t="s">
        <v>415</v>
      </c>
      <c r="F248" t="s">
        <v>434</v>
      </c>
      <c r="G248" t="s">
        <v>435</v>
      </c>
      <c r="H248" t="s">
        <v>84</v>
      </c>
      <c r="I248" t="s">
        <v>437</v>
      </c>
      <c r="J248" t="s">
        <v>87</v>
      </c>
      <c r="K248">
        <v>-4957.4567161499999</v>
      </c>
      <c r="L248" t="s">
        <v>427</v>
      </c>
      <c r="M248" t="s">
        <v>425</v>
      </c>
      <c r="N248">
        <v>1.4965642882E-3</v>
      </c>
      <c r="O248">
        <v>7.4191529999999997</v>
      </c>
      <c r="P248" t="s">
        <v>421</v>
      </c>
      <c r="Q248">
        <v>1</v>
      </c>
      <c r="V248">
        <v>1</v>
      </c>
      <c r="W248">
        <v>1</v>
      </c>
      <c r="X248">
        <v>1</v>
      </c>
      <c r="Y248">
        <v>1</v>
      </c>
      <c r="Z248">
        <v>7.4191529999999997</v>
      </c>
    </row>
    <row r="249" spans="1:26" x14ac:dyDescent="0.25">
      <c r="A249">
        <v>54836</v>
      </c>
      <c r="B249" t="s">
        <v>147</v>
      </c>
      <c r="C249">
        <v>2019</v>
      </c>
      <c r="D249">
        <v>1</v>
      </c>
      <c r="E249" t="s">
        <v>415</v>
      </c>
      <c r="F249" t="s">
        <v>434</v>
      </c>
      <c r="G249" t="s">
        <v>435</v>
      </c>
      <c r="H249" t="s">
        <v>84</v>
      </c>
      <c r="I249" t="s">
        <v>438</v>
      </c>
      <c r="J249" t="s">
        <v>59</v>
      </c>
      <c r="K249">
        <v>-12347.889403699999</v>
      </c>
      <c r="L249" t="s">
        <v>89</v>
      </c>
      <c r="M249" t="s">
        <v>420</v>
      </c>
      <c r="N249">
        <v>0.26343870574139999</v>
      </c>
      <c r="O249">
        <v>3252.9120029999999</v>
      </c>
      <c r="P249" t="s">
        <v>421</v>
      </c>
      <c r="Q249">
        <v>1</v>
      </c>
      <c r="V249">
        <v>1</v>
      </c>
      <c r="W249">
        <v>1</v>
      </c>
      <c r="X249">
        <v>1</v>
      </c>
      <c r="Y249">
        <v>1</v>
      </c>
      <c r="Z249">
        <v>3252.9120029999999</v>
      </c>
    </row>
    <row r="250" spans="1:26" x14ac:dyDescent="0.25">
      <c r="A250">
        <v>54837</v>
      </c>
      <c r="B250" t="s">
        <v>147</v>
      </c>
      <c r="C250">
        <v>2019</v>
      </c>
      <c r="D250">
        <v>1</v>
      </c>
      <c r="E250" t="s">
        <v>415</v>
      </c>
      <c r="F250" t="s">
        <v>434</v>
      </c>
      <c r="G250" t="s">
        <v>435</v>
      </c>
      <c r="H250" t="s">
        <v>84</v>
      </c>
      <c r="I250" t="s">
        <v>438</v>
      </c>
      <c r="J250" t="s">
        <v>59</v>
      </c>
      <c r="K250">
        <v>-12347.889403699999</v>
      </c>
      <c r="L250" t="s">
        <v>89</v>
      </c>
      <c r="M250" t="s">
        <v>422</v>
      </c>
      <c r="N250">
        <v>7.1262429683470005E-2</v>
      </c>
      <c r="O250">
        <v>879.94060000000002</v>
      </c>
      <c r="P250" t="s">
        <v>421</v>
      </c>
      <c r="Q250">
        <v>1</v>
      </c>
      <c r="V250">
        <v>1</v>
      </c>
      <c r="W250">
        <v>1</v>
      </c>
      <c r="X250">
        <v>1</v>
      </c>
      <c r="Y250">
        <v>1</v>
      </c>
      <c r="Z250">
        <v>879.94060000000002</v>
      </c>
    </row>
    <row r="251" spans="1:26" x14ac:dyDescent="0.25">
      <c r="A251">
        <v>54838</v>
      </c>
      <c r="B251" t="s">
        <v>147</v>
      </c>
      <c r="C251">
        <v>2019</v>
      </c>
      <c r="D251">
        <v>1</v>
      </c>
      <c r="E251" t="s">
        <v>415</v>
      </c>
      <c r="F251" t="s">
        <v>434</v>
      </c>
      <c r="G251" t="s">
        <v>435</v>
      </c>
      <c r="H251" t="s">
        <v>84</v>
      </c>
      <c r="I251" t="s">
        <v>438</v>
      </c>
      <c r="J251" t="s">
        <v>59</v>
      </c>
      <c r="K251">
        <v>-12347.889403699999</v>
      </c>
      <c r="L251" t="s">
        <v>89</v>
      </c>
      <c r="M251" t="s">
        <v>423</v>
      </c>
      <c r="N251">
        <v>0.74738783869542003</v>
      </c>
      <c r="O251">
        <v>9228.6623739999995</v>
      </c>
      <c r="P251" t="s">
        <v>421</v>
      </c>
      <c r="Q251">
        <v>1</v>
      </c>
      <c r="V251">
        <v>1</v>
      </c>
      <c r="W251">
        <v>1</v>
      </c>
      <c r="X251">
        <v>1</v>
      </c>
      <c r="Y251">
        <v>1</v>
      </c>
      <c r="Z251">
        <v>9228.6623739999995</v>
      </c>
    </row>
    <row r="252" spans="1:26" x14ac:dyDescent="0.25">
      <c r="A252">
        <v>54839</v>
      </c>
      <c r="B252" t="s">
        <v>147</v>
      </c>
      <c r="C252">
        <v>2019</v>
      </c>
      <c r="D252">
        <v>1</v>
      </c>
      <c r="E252" t="s">
        <v>415</v>
      </c>
      <c r="F252" t="s">
        <v>434</v>
      </c>
      <c r="G252" t="s">
        <v>435</v>
      </c>
      <c r="H252" t="s">
        <v>84</v>
      </c>
      <c r="I252" t="s">
        <v>438</v>
      </c>
      <c r="J252" t="s">
        <v>59</v>
      </c>
      <c r="K252">
        <v>-12347.889403699999</v>
      </c>
      <c r="L252" t="s">
        <v>89</v>
      </c>
      <c r="M252" t="s">
        <v>424</v>
      </c>
      <c r="N252">
        <v>3.08071516317E-3</v>
      </c>
      <c r="O252">
        <v>38.040329999999997</v>
      </c>
      <c r="P252" t="s">
        <v>421</v>
      </c>
      <c r="Q252">
        <v>1</v>
      </c>
      <c r="V252">
        <v>1</v>
      </c>
      <c r="W252">
        <v>1</v>
      </c>
      <c r="X252">
        <v>1</v>
      </c>
      <c r="Y252">
        <v>1</v>
      </c>
      <c r="Z252">
        <v>38.040329999999997</v>
      </c>
    </row>
    <row r="253" spans="1:26" x14ac:dyDescent="0.25">
      <c r="A253">
        <v>54840</v>
      </c>
      <c r="B253" t="s">
        <v>147</v>
      </c>
      <c r="C253">
        <v>2019</v>
      </c>
      <c r="D253">
        <v>1</v>
      </c>
      <c r="E253" t="s">
        <v>415</v>
      </c>
      <c r="F253" t="s">
        <v>434</v>
      </c>
      <c r="G253" t="s">
        <v>435</v>
      </c>
      <c r="H253" t="s">
        <v>84</v>
      </c>
      <c r="I253" t="s">
        <v>438</v>
      </c>
      <c r="J253" t="s">
        <v>59</v>
      </c>
      <c r="K253">
        <v>-12347.889403699999</v>
      </c>
      <c r="L253" t="s">
        <v>89</v>
      </c>
      <c r="M253" t="s">
        <v>425</v>
      </c>
      <c r="N253">
        <v>2.5360775708E-3</v>
      </c>
      <c r="O253">
        <v>31.315204999999999</v>
      </c>
      <c r="P253" t="s">
        <v>421</v>
      </c>
      <c r="Q253">
        <v>1</v>
      </c>
      <c r="V253">
        <v>1</v>
      </c>
      <c r="W253">
        <v>1</v>
      </c>
      <c r="X253">
        <v>1</v>
      </c>
      <c r="Y253">
        <v>1</v>
      </c>
      <c r="Z253">
        <v>31.315204999999999</v>
      </c>
    </row>
    <row r="254" spans="1:26" x14ac:dyDescent="0.25">
      <c r="A254">
        <v>109228</v>
      </c>
      <c r="B254" t="s">
        <v>201</v>
      </c>
      <c r="C254">
        <v>2020</v>
      </c>
      <c r="D254">
        <v>1</v>
      </c>
      <c r="E254" t="s">
        <v>415</v>
      </c>
      <c r="F254" t="s">
        <v>416</v>
      </c>
      <c r="G254" t="s">
        <v>417</v>
      </c>
      <c r="H254" t="s">
        <v>84</v>
      </c>
      <c r="I254" t="s">
        <v>418</v>
      </c>
      <c r="J254" t="s">
        <v>419</v>
      </c>
      <c r="K254">
        <v>-72266.403914549999</v>
      </c>
      <c r="L254" t="s">
        <v>85</v>
      </c>
      <c r="M254" t="s">
        <v>420</v>
      </c>
      <c r="N254">
        <v>0.24824931095561001</v>
      </c>
      <c r="O254">
        <v>17940.084976999999</v>
      </c>
      <c r="P254" t="s">
        <v>421</v>
      </c>
      <c r="Q254">
        <v>1</v>
      </c>
      <c r="V254">
        <v>1</v>
      </c>
      <c r="W254">
        <v>1</v>
      </c>
      <c r="X254">
        <v>1</v>
      </c>
      <c r="Y254">
        <v>1</v>
      </c>
      <c r="Z254">
        <v>17940.084976999999</v>
      </c>
    </row>
    <row r="255" spans="1:26" x14ac:dyDescent="0.25">
      <c r="A255">
        <v>109229</v>
      </c>
      <c r="B255" t="s">
        <v>201</v>
      </c>
      <c r="C255">
        <v>2020</v>
      </c>
      <c r="D255">
        <v>1</v>
      </c>
      <c r="E255" t="s">
        <v>415</v>
      </c>
      <c r="F255" t="s">
        <v>416</v>
      </c>
      <c r="G255" t="s">
        <v>417</v>
      </c>
      <c r="H255" t="s">
        <v>84</v>
      </c>
      <c r="I255" t="s">
        <v>418</v>
      </c>
      <c r="J255" t="s">
        <v>419</v>
      </c>
      <c r="K255">
        <v>-72266.403914549999</v>
      </c>
      <c r="L255" t="s">
        <v>85</v>
      </c>
      <c r="M255" t="s">
        <v>422</v>
      </c>
      <c r="N255">
        <v>7.7540047892240005E-2</v>
      </c>
      <c r="O255">
        <v>5603.5404209999997</v>
      </c>
      <c r="P255" t="s">
        <v>421</v>
      </c>
      <c r="Q255">
        <v>1</v>
      </c>
      <c r="V255">
        <v>1</v>
      </c>
      <c r="W255">
        <v>1</v>
      </c>
      <c r="X255">
        <v>1</v>
      </c>
      <c r="Y255">
        <v>1</v>
      </c>
      <c r="Z255">
        <v>5603.5404209999997</v>
      </c>
    </row>
    <row r="256" spans="1:26" x14ac:dyDescent="0.25">
      <c r="A256">
        <v>109230</v>
      </c>
      <c r="B256" t="s">
        <v>201</v>
      </c>
      <c r="C256">
        <v>2020</v>
      </c>
      <c r="D256">
        <v>1</v>
      </c>
      <c r="E256" t="s">
        <v>415</v>
      </c>
      <c r="F256" t="s">
        <v>416</v>
      </c>
      <c r="G256" t="s">
        <v>417</v>
      </c>
      <c r="H256" t="s">
        <v>84</v>
      </c>
      <c r="I256" t="s">
        <v>418</v>
      </c>
      <c r="J256" t="s">
        <v>419</v>
      </c>
      <c r="K256">
        <v>-72266.403914549999</v>
      </c>
      <c r="L256" t="s">
        <v>85</v>
      </c>
      <c r="M256" t="s">
        <v>423</v>
      </c>
      <c r="N256">
        <v>0.73979703899049998</v>
      </c>
      <c r="O256">
        <v>53462.471634000001</v>
      </c>
      <c r="P256" t="s">
        <v>421</v>
      </c>
      <c r="Q256">
        <v>1</v>
      </c>
      <c r="V256">
        <v>1</v>
      </c>
      <c r="W256">
        <v>1</v>
      </c>
      <c r="X256">
        <v>1</v>
      </c>
      <c r="Y256">
        <v>1</v>
      </c>
      <c r="Z256">
        <v>53462.471634000001</v>
      </c>
    </row>
    <row r="257" spans="1:26" x14ac:dyDescent="0.25">
      <c r="A257">
        <v>109231</v>
      </c>
      <c r="B257" t="s">
        <v>201</v>
      </c>
      <c r="C257">
        <v>2020</v>
      </c>
      <c r="D257">
        <v>1</v>
      </c>
      <c r="E257" t="s">
        <v>415</v>
      </c>
      <c r="F257" t="s">
        <v>416</v>
      </c>
      <c r="G257" t="s">
        <v>417</v>
      </c>
      <c r="H257" t="s">
        <v>84</v>
      </c>
      <c r="I257" t="s">
        <v>418</v>
      </c>
      <c r="J257" t="s">
        <v>419</v>
      </c>
      <c r="K257">
        <v>-72266.403914549999</v>
      </c>
      <c r="L257" t="s">
        <v>85</v>
      </c>
      <c r="M257" t="s">
        <v>424</v>
      </c>
      <c r="N257">
        <v>2.9085775596699999E-3</v>
      </c>
      <c r="O257">
        <v>210.192441</v>
      </c>
      <c r="P257" t="s">
        <v>421</v>
      </c>
      <c r="Q257">
        <v>1</v>
      </c>
      <c r="V257">
        <v>1</v>
      </c>
      <c r="W257">
        <v>1</v>
      </c>
      <c r="X257">
        <v>1</v>
      </c>
      <c r="Y257">
        <v>1</v>
      </c>
      <c r="Z257">
        <v>210.192441</v>
      </c>
    </row>
    <row r="258" spans="1:26" x14ac:dyDescent="0.25">
      <c r="A258">
        <v>109232</v>
      </c>
      <c r="B258" t="s">
        <v>201</v>
      </c>
      <c r="C258">
        <v>2020</v>
      </c>
      <c r="D258">
        <v>1</v>
      </c>
      <c r="E258" t="s">
        <v>415</v>
      </c>
      <c r="F258" t="s">
        <v>416</v>
      </c>
      <c r="G258" t="s">
        <v>417</v>
      </c>
      <c r="H258" t="s">
        <v>84</v>
      </c>
      <c r="I258" t="s">
        <v>418</v>
      </c>
      <c r="J258" t="s">
        <v>419</v>
      </c>
      <c r="K258">
        <v>-72266.403914549999</v>
      </c>
      <c r="L258" t="s">
        <v>85</v>
      </c>
      <c r="M258" t="s">
        <v>425</v>
      </c>
      <c r="N258">
        <v>2.6170694898000001E-3</v>
      </c>
      <c r="O258">
        <v>189.12620100000001</v>
      </c>
      <c r="P258" t="s">
        <v>421</v>
      </c>
      <c r="Q258">
        <v>1</v>
      </c>
      <c r="V258">
        <v>1</v>
      </c>
      <c r="W258">
        <v>1</v>
      </c>
      <c r="X258">
        <v>1</v>
      </c>
      <c r="Y258">
        <v>1</v>
      </c>
      <c r="Z258">
        <v>189.12620100000001</v>
      </c>
    </row>
    <row r="259" spans="1:26" x14ac:dyDescent="0.25">
      <c r="A259">
        <v>109233</v>
      </c>
      <c r="B259" t="s">
        <v>201</v>
      </c>
      <c r="C259">
        <v>2020</v>
      </c>
      <c r="D259">
        <v>1</v>
      </c>
      <c r="E259" t="s">
        <v>415</v>
      </c>
      <c r="F259" t="s">
        <v>416</v>
      </c>
      <c r="G259" t="s">
        <v>417</v>
      </c>
      <c r="H259" t="s">
        <v>84</v>
      </c>
      <c r="I259" t="s">
        <v>426</v>
      </c>
      <c r="J259" t="s">
        <v>87</v>
      </c>
      <c r="K259">
        <v>-29463.276542129999</v>
      </c>
      <c r="L259" t="s">
        <v>427</v>
      </c>
      <c r="M259" t="s">
        <v>420</v>
      </c>
      <c r="N259">
        <v>0.45523813654234002</v>
      </c>
      <c r="O259">
        <v>13412.807108999999</v>
      </c>
      <c r="P259" t="s">
        <v>421</v>
      </c>
      <c r="Q259">
        <v>1</v>
      </c>
      <c r="V259">
        <v>1</v>
      </c>
      <c r="W259">
        <v>1</v>
      </c>
      <c r="X259">
        <v>1</v>
      </c>
      <c r="Y259">
        <v>1</v>
      </c>
      <c r="Z259">
        <v>13412.807108999999</v>
      </c>
    </row>
    <row r="260" spans="1:26" x14ac:dyDescent="0.25">
      <c r="A260">
        <v>109234</v>
      </c>
      <c r="B260" t="s">
        <v>201</v>
      </c>
      <c r="C260">
        <v>2020</v>
      </c>
      <c r="D260">
        <v>1</v>
      </c>
      <c r="E260" t="s">
        <v>415</v>
      </c>
      <c r="F260" t="s">
        <v>416</v>
      </c>
      <c r="G260" t="s">
        <v>417</v>
      </c>
      <c r="H260" t="s">
        <v>84</v>
      </c>
      <c r="I260" t="s">
        <v>426</v>
      </c>
      <c r="J260" t="s">
        <v>87</v>
      </c>
      <c r="K260">
        <v>-29463.276542129999</v>
      </c>
      <c r="L260" t="s">
        <v>427</v>
      </c>
      <c r="M260" t="s">
        <v>422</v>
      </c>
      <c r="N260">
        <v>6.8896616392329996E-2</v>
      </c>
      <c r="O260">
        <v>2029.9200619999999</v>
      </c>
      <c r="P260" t="s">
        <v>421</v>
      </c>
      <c r="Q260">
        <v>1</v>
      </c>
      <c r="V260">
        <v>1</v>
      </c>
      <c r="W260">
        <v>1</v>
      </c>
      <c r="X260">
        <v>1</v>
      </c>
      <c r="Y260">
        <v>1</v>
      </c>
      <c r="Z260">
        <v>2029.9200619999999</v>
      </c>
    </row>
    <row r="261" spans="1:26" x14ac:dyDescent="0.25">
      <c r="A261">
        <v>109235</v>
      </c>
      <c r="B261" t="s">
        <v>201</v>
      </c>
      <c r="C261">
        <v>2020</v>
      </c>
      <c r="D261">
        <v>1</v>
      </c>
      <c r="E261" t="s">
        <v>415</v>
      </c>
      <c r="F261" t="s">
        <v>416</v>
      </c>
      <c r="G261" t="s">
        <v>417</v>
      </c>
      <c r="H261" t="s">
        <v>84</v>
      </c>
      <c r="I261" t="s">
        <v>426</v>
      </c>
      <c r="J261" t="s">
        <v>87</v>
      </c>
      <c r="K261">
        <v>-29463.276542129999</v>
      </c>
      <c r="L261" t="s">
        <v>427</v>
      </c>
      <c r="M261" t="s">
        <v>423</v>
      </c>
      <c r="N261">
        <v>0.70986919705586005</v>
      </c>
      <c r="O261">
        <v>20915.072462</v>
      </c>
      <c r="P261" t="s">
        <v>421</v>
      </c>
      <c r="Q261">
        <v>1</v>
      </c>
      <c r="V261">
        <v>1</v>
      </c>
      <c r="W261">
        <v>1</v>
      </c>
      <c r="X261">
        <v>1</v>
      </c>
      <c r="Y261">
        <v>1</v>
      </c>
      <c r="Z261">
        <v>20915.072462</v>
      </c>
    </row>
    <row r="262" spans="1:26" x14ac:dyDescent="0.25">
      <c r="A262">
        <v>109236</v>
      </c>
      <c r="B262" t="s">
        <v>201</v>
      </c>
      <c r="C262">
        <v>2020</v>
      </c>
      <c r="D262">
        <v>1</v>
      </c>
      <c r="E262" t="s">
        <v>415</v>
      </c>
      <c r="F262" t="s">
        <v>416</v>
      </c>
      <c r="G262" t="s">
        <v>417</v>
      </c>
      <c r="H262" t="s">
        <v>84</v>
      </c>
      <c r="I262" t="s">
        <v>426</v>
      </c>
      <c r="J262" t="s">
        <v>87</v>
      </c>
      <c r="K262">
        <v>-29463.276542129999</v>
      </c>
      <c r="L262" t="s">
        <v>427</v>
      </c>
      <c r="M262" t="s">
        <v>425</v>
      </c>
      <c r="N262">
        <v>1.4965642882E-3</v>
      </c>
      <c r="O262">
        <v>44.093687000000003</v>
      </c>
      <c r="P262" t="s">
        <v>421</v>
      </c>
      <c r="Q262">
        <v>1</v>
      </c>
      <c r="V262">
        <v>1</v>
      </c>
      <c r="W262">
        <v>1</v>
      </c>
      <c r="X262">
        <v>1</v>
      </c>
      <c r="Y262">
        <v>1</v>
      </c>
      <c r="Z262">
        <v>44.093687000000003</v>
      </c>
    </row>
    <row r="263" spans="1:26" x14ac:dyDescent="0.25">
      <c r="A263">
        <v>109237</v>
      </c>
      <c r="B263" t="s">
        <v>201</v>
      </c>
      <c r="C263">
        <v>2020</v>
      </c>
      <c r="D263">
        <v>1</v>
      </c>
      <c r="E263" t="s">
        <v>415</v>
      </c>
      <c r="F263" t="s">
        <v>416</v>
      </c>
      <c r="G263" t="s">
        <v>417</v>
      </c>
      <c r="H263" t="s">
        <v>84</v>
      </c>
      <c r="I263" t="s">
        <v>428</v>
      </c>
      <c r="J263" t="s">
        <v>59</v>
      </c>
      <c r="K263">
        <v>-22575.237119500001</v>
      </c>
      <c r="L263" t="s">
        <v>89</v>
      </c>
      <c r="M263" t="s">
        <v>420</v>
      </c>
      <c r="N263">
        <v>0.26343870574139999</v>
      </c>
      <c r="O263">
        <v>5947.1912490000004</v>
      </c>
      <c r="P263" t="s">
        <v>421</v>
      </c>
      <c r="Q263">
        <v>1</v>
      </c>
      <c r="V263">
        <v>1</v>
      </c>
      <c r="W263">
        <v>1</v>
      </c>
      <c r="X263">
        <v>1</v>
      </c>
      <c r="Y263">
        <v>1</v>
      </c>
      <c r="Z263">
        <v>5947.1912490000004</v>
      </c>
    </row>
    <row r="264" spans="1:26" x14ac:dyDescent="0.25">
      <c r="A264">
        <v>109238</v>
      </c>
      <c r="B264" t="s">
        <v>201</v>
      </c>
      <c r="C264">
        <v>2020</v>
      </c>
      <c r="D264">
        <v>1</v>
      </c>
      <c r="E264" t="s">
        <v>415</v>
      </c>
      <c r="F264" t="s">
        <v>416</v>
      </c>
      <c r="G264" t="s">
        <v>417</v>
      </c>
      <c r="H264" t="s">
        <v>84</v>
      </c>
      <c r="I264" t="s">
        <v>428</v>
      </c>
      <c r="J264" t="s">
        <v>59</v>
      </c>
      <c r="K264">
        <v>-22575.237119500001</v>
      </c>
      <c r="L264" t="s">
        <v>89</v>
      </c>
      <c r="M264" t="s">
        <v>422</v>
      </c>
      <c r="N264">
        <v>7.1262429683470005E-2</v>
      </c>
      <c r="O264">
        <v>1608.7662479999999</v>
      </c>
      <c r="P264" t="s">
        <v>421</v>
      </c>
      <c r="Q264">
        <v>1</v>
      </c>
      <c r="V264">
        <v>1</v>
      </c>
      <c r="W264">
        <v>1</v>
      </c>
      <c r="X264">
        <v>1</v>
      </c>
      <c r="Y264">
        <v>1</v>
      </c>
      <c r="Z264">
        <v>1608.7662479999999</v>
      </c>
    </row>
    <row r="265" spans="1:26" x14ac:dyDescent="0.25">
      <c r="A265">
        <v>109239</v>
      </c>
      <c r="B265" t="s">
        <v>201</v>
      </c>
      <c r="C265">
        <v>2020</v>
      </c>
      <c r="D265">
        <v>1</v>
      </c>
      <c r="E265" t="s">
        <v>415</v>
      </c>
      <c r="F265" t="s">
        <v>416</v>
      </c>
      <c r="G265" t="s">
        <v>417</v>
      </c>
      <c r="H265" t="s">
        <v>84</v>
      </c>
      <c r="I265" t="s">
        <v>428</v>
      </c>
      <c r="J265" t="s">
        <v>59</v>
      </c>
      <c r="K265">
        <v>-22575.237119500001</v>
      </c>
      <c r="L265" t="s">
        <v>89</v>
      </c>
      <c r="M265" t="s">
        <v>423</v>
      </c>
      <c r="N265">
        <v>0.74738783869542003</v>
      </c>
      <c r="O265">
        <v>16872.457678999999</v>
      </c>
      <c r="P265" t="s">
        <v>421</v>
      </c>
      <c r="Q265">
        <v>1</v>
      </c>
      <c r="V265">
        <v>1</v>
      </c>
      <c r="W265">
        <v>1</v>
      </c>
      <c r="X265">
        <v>1</v>
      </c>
      <c r="Y265">
        <v>1</v>
      </c>
      <c r="Z265">
        <v>16872.457678999999</v>
      </c>
    </row>
    <row r="266" spans="1:26" x14ac:dyDescent="0.25">
      <c r="A266">
        <v>109240</v>
      </c>
      <c r="B266" t="s">
        <v>201</v>
      </c>
      <c r="C266">
        <v>2020</v>
      </c>
      <c r="D266">
        <v>1</v>
      </c>
      <c r="E266" t="s">
        <v>415</v>
      </c>
      <c r="F266" t="s">
        <v>416</v>
      </c>
      <c r="G266" t="s">
        <v>417</v>
      </c>
      <c r="H266" t="s">
        <v>84</v>
      </c>
      <c r="I266" t="s">
        <v>428</v>
      </c>
      <c r="J266" t="s">
        <v>59</v>
      </c>
      <c r="K266">
        <v>-22575.237119500001</v>
      </c>
      <c r="L266" t="s">
        <v>89</v>
      </c>
      <c r="M266" t="s">
        <v>424</v>
      </c>
      <c r="N266">
        <v>3.08071516317E-3</v>
      </c>
      <c r="O266">
        <v>69.547875000000005</v>
      </c>
      <c r="P266" t="s">
        <v>421</v>
      </c>
      <c r="Q266">
        <v>1</v>
      </c>
      <c r="V266">
        <v>1</v>
      </c>
      <c r="W266">
        <v>1</v>
      </c>
      <c r="X266">
        <v>1</v>
      </c>
      <c r="Y266">
        <v>1</v>
      </c>
      <c r="Z266">
        <v>69.547875000000005</v>
      </c>
    </row>
    <row r="267" spans="1:26" x14ac:dyDescent="0.25">
      <c r="A267">
        <v>109241</v>
      </c>
      <c r="B267" t="s">
        <v>201</v>
      </c>
      <c r="C267">
        <v>2020</v>
      </c>
      <c r="D267">
        <v>1</v>
      </c>
      <c r="E267" t="s">
        <v>415</v>
      </c>
      <c r="F267" t="s">
        <v>416</v>
      </c>
      <c r="G267" t="s">
        <v>417</v>
      </c>
      <c r="H267" t="s">
        <v>84</v>
      </c>
      <c r="I267" t="s">
        <v>428</v>
      </c>
      <c r="J267" t="s">
        <v>59</v>
      </c>
      <c r="K267">
        <v>-22575.237119500001</v>
      </c>
      <c r="L267" t="s">
        <v>89</v>
      </c>
      <c r="M267" t="s">
        <v>425</v>
      </c>
      <c r="N267">
        <v>2.5360775708E-3</v>
      </c>
      <c r="O267">
        <v>57.252552999999999</v>
      </c>
      <c r="P267" t="s">
        <v>421</v>
      </c>
      <c r="Q267">
        <v>1</v>
      </c>
      <c r="V267">
        <v>1</v>
      </c>
      <c r="W267">
        <v>1</v>
      </c>
      <c r="X267">
        <v>1</v>
      </c>
      <c r="Y267">
        <v>1</v>
      </c>
      <c r="Z267">
        <v>57.252552999999999</v>
      </c>
    </row>
    <row r="268" spans="1:26" x14ac:dyDescent="0.25">
      <c r="A268">
        <v>109242</v>
      </c>
      <c r="B268" t="s">
        <v>201</v>
      </c>
      <c r="C268">
        <v>2020</v>
      </c>
      <c r="D268">
        <v>1</v>
      </c>
      <c r="E268" t="s">
        <v>415</v>
      </c>
      <c r="F268" t="s">
        <v>429</v>
      </c>
      <c r="G268" t="s">
        <v>430</v>
      </c>
      <c r="H268" t="s">
        <v>84</v>
      </c>
      <c r="I268" t="s">
        <v>431</v>
      </c>
      <c r="J268" t="s">
        <v>419</v>
      </c>
      <c r="K268">
        <v>-96986.224394429999</v>
      </c>
      <c r="L268" t="s">
        <v>85</v>
      </c>
      <c r="M268" t="s">
        <v>420</v>
      </c>
      <c r="N268">
        <v>0.24824931095561001</v>
      </c>
      <c r="O268">
        <v>24076.763378</v>
      </c>
      <c r="P268" t="s">
        <v>421</v>
      </c>
      <c r="Q268">
        <v>1</v>
      </c>
      <c r="V268">
        <v>1</v>
      </c>
      <c r="W268">
        <v>1</v>
      </c>
      <c r="X268">
        <v>1</v>
      </c>
      <c r="Y268">
        <v>1</v>
      </c>
      <c r="Z268">
        <v>24076.763378</v>
      </c>
    </row>
    <row r="269" spans="1:26" x14ac:dyDescent="0.25">
      <c r="A269">
        <v>109243</v>
      </c>
      <c r="B269" t="s">
        <v>201</v>
      </c>
      <c r="C269">
        <v>2020</v>
      </c>
      <c r="D269">
        <v>1</v>
      </c>
      <c r="E269" t="s">
        <v>415</v>
      </c>
      <c r="F269" t="s">
        <v>429</v>
      </c>
      <c r="G269" t="s">
        <v>430</v>
      </c>
      <c r="H269" t="s">
        <v>84</v>
      </c>
      <c r="I269" t="s">
        <v>431</v>
      </c>
      <c r="J269" t="s">
        <v>419</v>
      </c>
      <c r="K269">
        <v>-96986.224394429999</v>
      </c>
      <c r="L269" t="s">
        <v>85</v>
      </c>
      <c r="M269" t="s">
        <v>422</v>
      </c>
      <c r="N269">
        <v>7.7540047892240005E-2</v>
      </c>
      <c r="O269">
        <v>7520.3164839999999</v>
      </c>
      <c r="P269" t="s">
        <v>421</v>
      </c>
      <c r="Q269">
        <v>1</v>
      </c>
      <c r="V269">
        <v>1</v>
      </c>
      <c r="W269">
        <v>1</v>
      </c>
      <c r="X269">
        <v>1</v>
      </c>
      <c r="Y269">
        <v>1</v>
      </c>
      <c r="Z269">
        <v>7520.3164839999999</v>
      </c>
    </row>
    <row r="270" spans="1:26" x14ac:dyDescent="0.25">
      <c r="A270">
        <v>109244</v>
      </c>
      <c r="B270" t="s">
        <v>201</v>
      </c>
      <c r="C270">
        <v>2020</v>
      </c>
      <c r="D270">
        <v>1</v>
      </c>
      <c r="E270" t="s">
        <v>415</v>
      </c>
      <c r="F270" t="s">
        <v>429</v>
      </c>
      <c r="G270" t="s">
        <v>430</v>
      </c>
      <c r="H270" t="s">
        <v>84</v>
      </c>
      <c r="I270" t="s">
        <v>431</v>
      </c>
      <c r="J270" t="s">
        <v>419</v>
      </c>
      <c r="K270">
        <v>-96986.224394429999</v>
      </c>
      <c r="L270" t="s">
        <v>85</v>
      </c>
      <c r="M270" t="s">
        <v>423</v>
      </c>
      <c r="N270">
        <v>0.73979703899049998</v>
      </c>
      <c r="O270">
        <v>71750.121629999994</v>
      </c>
      <c r="P270" t="s">
        <v>421</v>
      </c>
      <c r="Q270">
        <v>1</v>
      </c>
      <c r="V270">
        <v>1</v>
      </c>
      <c r="W270">
        <v>1</v>
      </c>
      <c r="X270">
        <v>1</v>
      </c>
      <c r="Y270">
        <v>1</v>
      </c>
      <c r="Z270">
        <v>71750.121629999994</v>
      </c>
    </row>
    <row r="271" spans="1:26" x14ac:dyDescent="0.25">
      <c r="A271">
        <v>109245</v>
      </c>
      <c r="B271" t="s">
        <v>201</v>
      </c>
      <c r="C271">
        <v>2020</v>
      </c>
      <c r="D271">
        <v>1</v>
      </c>
      <c r="E271" t="s">
        <v>415</v>
      </c>
      <c r="F271" t="s">
        <v>429</v>
      </c>
      <c r="G271" t="s">
        <v>430</v>
      </c>
      <c r="H271" t="s">
        <v>84</v>
      </c>
      <c r="I271" t="s">
        <v>431</v>
      </c>
      <c r="J271" t="s">
        <v>419</v>
      </c>
      <c r="K271">
        <v>-96986.224394429999</v>
      </c>
      <c r="L271" t="s">
        <v>85</v>
      </c>
      <c r="M271" t="s">
        <v>424</v>
      </c>
      <c r="N271">
        <v>2.9085775596699999E-3</v>
      </c>
      <c r="O271">
        <v>282.09195599999998</v>
      </c>
      <c r="P271" t="s">
        <v>421</v>
      </c>
      <c r="Q271">
        <v>1</v>
      </c>
      <c r="V271">
        <v>1</v>
      </c>
      <c r="W271">
        <v>1</v>
      </c>
      <c r="X271">
        <v>1</v>
      </c>
      <c r="Y271">
        <v>1</v>
      </c>
      <c r="Z271">
        <v>282.09195599999998</v>
      </c>
    </row>
    <row r="272" spans="1:26" x14ac:dyDescent="0.25">
      <c r="A272">
        <v>109246</v>
      </c>
      <c r="B272" t="s">
        <v>201</v>
      </c>
      <c r="C272">
        <v>2020</v>
      </c>
      <c r="D272">
        <v>1</v>
      </c>
      <c r="E272" t="s">
        <v>415</v>
      </c>
      <c r="F272" t="s">
        <v>429</v>
      </c>
      <c r="G272" t="s">
        <v>430</v>
      </c>
      <c r="H272" t="s">
        <v>84</v>
      </c>
      <c r="I272" t="s">
        <v>431</v>
      </c>
      <c r="J272" t="s">
        <v>419</v>
      </c>
      <c r="K272">
        <v>-96986.224394429999</v>
      </c>
      <c r="L272" t="s">
        <v>85</v>
      </c>
      <c r="M272" t="s">
        <v>425</v>
      </c>
      <c r="N272">
        <v>2.6170694898000001E-3</v>
      </c>
      <c r="O272">
        <v>253.81968900000001</v>
      </c>
      <c r="P272" t="s">
        <v>421</v>
      </c>
      <c r="Q272">
        <v>1</v>
      </c>
      <c r="V272">
        <v>1</v>
      </c>
      <c r="W272">
        <v>1</v>
      </c>
      <c r="X272">
        <v>1</v>
      </c>
      <c r="Y272">
        <v>1</v>
      </c>
      <c r="Z272">
        <v>253.81968900000001</v>
      </c>
    </row>
    <row r="273" spans="1:26" x14ac:dyDescent="0.25">
      <c r="A273">
        <v>109247</v>
      </c>
      <c r="B273" t="s">
        <v>201</v>
      </c>
      <c r="C273">
        <v>2020</v>
      </c>
      <c r="D273">
        <v>1</v>
      </c>
      <c r="E273" t="s">
        <v>415</v>
      </c>
      <c r="F273" t="s">
        <v>429</v>
      </c>
      <c r="G273" t="s">
        <v>430</v>
      </c>
      <c r="H273" t="s">
        <v>84</v>
      </c>
      <c r="I273" t="s">
        <v>432</v>
      </c>
      <c r="J273" t="s">
        <v>87</v>
      </c>
      <c r="K273">
        <v>-40267.243030550002</v>
      </c>
      <c r="L273" t="s">
        <v>427</v>
      </c>
      <c r="M273" t="s">
        <v>420</v>
      </c>
      <c r="N273">
        <v>0.45523813654234002</v>
      </c>
      <c r="O273">
        <v>18331.184680999999</v>
      </c>
      <c r="P273" t="s">
        <v>421</v>
      </c>
      <c r="Q273">
        <v>1</v>
      </c>
      <c r="V273">
        <v>1</v>
      </c>
      <c r="W273">
        <v>1</v>
      </c>
      <c r="X273">
        <v>1</v>
      </c>
      <c r="Y273">
        <v>1</v>
      </c>
      <c r="Z273">
        <v>18331.184680999999</v>
      </c>
    </row>
    <row r="274" spans="1:26" x14ac:dyDescent="0.25">
      <c r="A274">
        <v>109248</v>
      </c>
      <c r="B274" t="s">
        <v>201</v>
      </c>
      <c r="C274">
        <v>2020</v>
      </c>
      <c r="D274">
        <v>1</v>
      </c>
      <c r="E274" t="s">
        <v>415</v>
      </c>
      <c r="F274" t="s">
        <v>429</v>
      </c>
      <c r="G274" t="s">
        <v>430</v>
      </c>
      <c r="H274" t="s">
        <v>84</v>
      </c>
      <c r="I274" t="s">
        <v>432</v>
      </c>
      <c r="J274" t="s">
        <v>87</v>
      </c>
      <c r="K274">
        <v>-40267.243030550002</v>
      </c>
      <c r="L274" t="s">
        <v>427</v>
      </c>
      <c r="M274" t="s">
        <v>422</v>
      </c>
      <c r="N274">
        <v>6.8896616392329996E-2</v>
      </c>
      <c r="O274">
        <v>2774.2767960000001</v>
      </c>
      <c r="P274" t="s">
        <v>421</v>
      </c>
      <c r="Q274">
        <v>1</v>
      </c>
      <c r="V274">
        <v>1</v>
      </c>
      <c r="W274">
        <v>1</v>
      </c>
      <c r="X274">
        <v>1</v>
      </c>
      <c r="Y274">
        <v>1</v>
      </c>
      <c r="Z274">
        <v>2774.2767960000001</v>
      </c>
    </row>
    <row r="275" spans="1:26" x14ac:dyDescent="0.25">
      <c r="A275">
        <v>109249</v>
      </c>
      <c r="B275" t="s">
        <v>201</v>
      </c>
      <c r="C275">
        <v>2020</v>
      </c>
      <c r="D275">
        <v>1</v>
      </c>
      <c r="E275" t="s">
        <v>415</v>
      </c>
      <c r="F275" t="s">
        <v>429</v>
      </c>
      <c r="G275" t="s">
        <v>430</v>
      </c>
      <c r="H275" t="s">
        <v>84</v>
      </c>
      <c r="I275" t="s">
        <v>432</v>
      </c>
      <c r="J275" t="s">
        <v>87</v>
      </c>
      <c r="K275">
        <v>-40267.243030550002</v>
      </c>
      <c r="L275" t="s">
        <v>427</v>
      </c>
      <c r="M275" t="s">
        <v>423</v>
      </c>
      <c r="N275">
        <v>0.70986919705586005</v>
      </c>
      <c r="O275">
        <v>28584.475478</v>
      </c>
      <c r="P275" t="s">
        <v>421</v>
      </c>
      <c r="Q275">
        <v>1</v>
      </c>
      <c r="V275">
        <v>1</v>
      </c>
      <c r="W275">
        <v>1</v>
      </c>
      <c r="X275">
        <v>1</v>
      </c>
      <c r="Y275">
        <v>1</v>
      </c>
      <c r="Z275">
        <v>28584.475478</v>
      </c>
    </row>
    <row r="276" spans="1:26" x14ac:dyDescent="0.25">
      <c r="A276">
        <v>109250</v>
      </c>
      <c r="B276" t="s">
        <v>201</v>
      </c>
      <c r="C276">
        <v>2020</v>
      </c>
      <c r="D276">
        <v>1</v>
      </c>
      <c r="E276" t="s">
        <v>415</v>
      </c>
      <c r="F276" t="s">
        <v>429</v>
      </c>
      <c r="G276" t="s">
        <v>430</v>
      </c>
      <c r="H276" t="s">
        <v>84</v>
      </c>
      <c r="I276" t="s">
        <v>432</v>
      </c>
      <c r="J276" t="s">
        <v>87</v>
      </c>
      <c r="K276">
        <v>-40267.243030550002</v>
      </c>
      <c r="L276" t="s">
        <v>427</v>
      </c>
      <c r="M276" t="s">
        <v>425</v>
      </c>
      <c r="N276">
        <v>1.4965642882E-3</v>
      </c>
      <c r="O276">
        <v>60.262518</v>
      </c>
      <c r="P276" t="s">
        <v>421</v>
      </c>
      <c r="Q276">
        <v>1</v>
      </c>
      <c r="V276">
        <v>1</v>
      </c>
      <c r="W276">
        <v>1</v>
      </c>
      <c r="X276">
        <v>1</v>
      </c>
      <c r="Y276">
        <v>1</v>
      </c>
      <c r="Z276">
        <v>60.262518</v>
      </c>
    </row>
    <row r="277" spans="1:26" x14ac:dyDescent="0.25">
      <c r="A277">
        <v>109251</v>
      </c>
      <c r="B277" t="s">
        <v>201</v>
      </c>
      <c r="C277">
        <v>2020</v>
      </c>
      <c r="D277">
        <v>1</v>
      </c>
      <c r="E277" t="s">
        <v>415</v>
      </c>
      <c r="F277" t="s">
        <v>429</v>
      </c>
      <c r="G277" t="s">
        <v>430</v>
      </c>
      <c r="H277" t="s">
        <v>84</v>
      </c>
      <c r="I277" t="s">
        <v>433</v>
      </c>
      <c r="J277" t="s">
        <v>59</v>
      </c>
      <c r="K277">
        <v>-31106.94776074</v>
      </c>
      <c r="L277" t="s">
        <v>89</v>
      </c>
      <c r="M277" t="s">
        <v>420</v>
      </c>
      <c r="N277">
        <v>0.26343870574139999</v>
      </c>
      <c r="O277">
        <v>8194.7740580000009</v>
      </c>
      <c r="P277" t="s">
        <v>421</v>
      </c>
      <c r="Q277">
        <v>1</v>
      </c>
      <c r="V277">
        <v>1</v>
      </c>
      <c r="W277">
        <v>1</v>
      </c>
      <c r="X277">
        <v>1</v>
      </c>
      <c r="Y277">
        <v>1</v>
      </c>
      <c r="Z277">
        <v>8194.7740580000009</v>
      </c>
    </row>
    <row r="278" spans="1:26" x14ac:dyDescent="0.25">
      <c r="A278">
        <v>109252</v>
      </c>
      <c r="B278" t="s">
        <v>201</v>
      </c>
      <c r="C278">
        <v>2020</v>
      </c>
      <c r="D278">
        <v>1</v>
      </c>
      <c r="E278" t="s">
        <v>415</v>
      </c>
      <c r="F278" t="s">
        <v>429</v>
      </c>
      <c r="G278" t="s">
        <v>430</v>
      </c>
      <c r="H278" t="s">
        <v>84</v>
      </c>
      <c r="I278" t="s">
        <v>433</v>
      </c>
      <c r="J278" t="s">
        <v>59</v>
      </c>
      <c r="K278">
        <v>-31106.94776074</v>
      </c>
      <c r="L278" t="s">
        <v>89</v>
      </c>
      <c r="M278" t="s">
        <v>422</v>
      </c>
      <c r="N278">
        <v>7.1262429683470005E-2</v>
      </c>
      <c r="O278">
        <v>2216.7566769999999</v>
      </c>
      <c r="P278" t="s">
        <v>421</v>
      </c>
      <c r="Q278">
        <v>1</v>
      </c>
      <c r="V278">
        <v>1</v>
      </c>
      <c r="W278">
        <v>1</v>
      </c>
      <c r="X278">
        <v>1</v>
      </c>
      <c r="Y278">
        <v>1</v>
      </c>
      <c r="Z278">
        <v>2216.7566769999999</v>
      </c>
    </row>
    <row r="279" spans="1:26" x14ac:dyDescent="0.25">
      <c r="A279">
        <v>109253</v>
      </c>
      <c r="B279" t="s">
        <v>201</v>
      </c>
      <c r="C279">
        <v>2020</v>
      </c>
      <c r="D279">
        <v>1</v>
      </c>
      <c r="E279" t="s">
        <v>415</v>
      </c>
      <c r="F279" t="s">
        <v>429</v>
      </c>
      <c r="G279" t="s">
        <v>430</v>
      </c>
      <c r="H279" t="s">
        <v>84</v>
      </c>
      <c r="I279" t="s">
        <v>433</v>
      </c>
      <c r="J279" t="s">
        <v>59</v>
      </c>
      <c r="K279">
        <v>-31106.94776074</v>
      </c>
      <c r="L279" t="s">
        <v>89</v>
      </c>
      <c r="M279" t="s">
        <v>423</v>
      </c>
      <c r="N279">
        <v>0.74738783869542003</v>
      </c>
      <c r="O279">
        <v>23248.954454999999</v>
      </c>
      <c r="P279" t="s">
        <v>421</v>
      </c>
      <c r="Q279">
        <v>1</v>
      </c>
      <c r="V279">
        <v>1</v>
      </c>
      <c r="W279">
        <v>1</v>
      </c>
      <c r="X279">
        <v>1</v>
      </c>
      <c r="Y279">
        <v>1</v>
      </c>
      <c r="Z279">
        <v>23248.954454999999</v>
      </c>
    </row>
    <row r="280" spans="1:26" x14ac:dyDescent="0.25">
      <c r="A280">
        <v>109254</v>
      </c>
      <c r="B280" t="s">
        <v>201</v>
      </c>
      <c r="C280">
        <v>2020</v>
      </c>
      <c r="D280">
        <v>1</v>
      </c>
      <c r="E280" t="s">
        <v>415</v>
      </c>
      <c r="F280" t="s">
        <v>429</v>
      </c>
      <c r="G280" t="s">
        <v>430</v>
      </c>
      <c r="H280" t="s">
        <v>84</v>
      </c>
      <c r="I280" t="s">
        <v>433</v>
      </c>
      <c r="J280" t="s">
        <v>59</v>
      </c>
      <c r="K280">
        <v>-31106.94776074</v>
      </c>
      <c r="L280" t="s">
        <v>89</v>
      </c>
      <c r="M280" t="s">
        <v>424</v>
      </c>
      <c r="N280">
        <v>3.08071516317E-3</v>
      </c>
      <c r="O280">
        <v>95.831646000000006</v>
      </c>
      <c r="P280" t="s">
        <v>421</v>
      </c>
      <c r="Q280">
        <v>1</v>
      </c>
      <c r="V280">
        <v>1</v>
      </c>
      <c r="W280">
        <v>1</v>
      </c>
      <c r="X280">
        <v>1</v>
      </c>
      <c r="Y280">
        <v>1</v>
      </c>
      <c r="Z280">
        <v>95.831646000000006</v>
      </c>
    </row>
    <row r="281" spans="1:26" x14ac:dyDescent="0.25">
      <c r="A281">
        <v>109255</v>
      </c>
      <c r="B281" t="s">
        <v>201</v>
      </c>
      <c r="C281">
        <v>2020</v>
      </c>
      <c r="D281">
        <v>1</v>
      </c>
      <c r="E281" t="s">
        <v>415</v>
      </c>
      <c r="F281" t="s">
        <v>429</v>
      </c>
      <c r="G281" t="s">
        <v>430</v>
      </c>
      <c r="H281" t="s">
        <v>84</v>
      </c>
      <c r="I281" t="s">
        <v>433</v>
      </c>
      <c r="J281" t="s">
        <v>59</v>
      </c>
      <c r="K281">
        <v>-31106.94776074</v>
      </c>
      <c r="L281" t="s">
        <v>89</v>
      </c>
      <c r="M281" t="s">
        <v>425</v>
      </c>
      <c r="N281">
        <v>2.5360775708E-3</v>
      </c>
      <c r="O281">
        <v>78.889633000000003</v>
      </c>
      <c r="P281" t="s">
        <v>421</v>
      </c>
      <c r="Q281">
        <v>1</v>
      </c>
      <c r="V281">
        <v>1</v>
      </c>
      <c r="W281">
        <v>1</v>
      </c>
      <c r="X281">
        <v>1</v>
      </c>
      <c r="Y281">
        <v>1</v>
      </c>
      <c r="Z281">
        <v>78.889633000000003</v>
      </c>
    </row>
    <row r="282" spans="1:26" x14ac:dyDescent="0.25">
      <c r="A282">
        <v>109256</v>
      </c>
      <c r="B282" t="s">
        <v>201</v>
      </c>
      <c r="C282">
        <v>2020</v>
      </c>
      <c r="D282">
        <v>1</v>
      </c>
      <c r="E282" t="s">
        <v>415</v>
      </c>
      <c r="F282" t="s">
        <v>434</v>
      </c>
      <c r="G282" t="s">
        <v>435</v>
      </c>
      <c r="H282" t="s">
        <v>84</v>
      </c>
      <c r="I282" t="s">
        <v>436</v>
      </c>
      <c r="J282" t="s">
        <v>419</v>
      </c>
      <c r="K282">
        <v>-53133.576788159997</v>
      </c>
      <c r="L282" t="s">
        <v>85</v>
      </c>
      <c r="M282" t="s">
        <v>420</v>
      </c>
      <c r="N282">
        <v>0.24824931095561001</v>
      </c>
      <c r="O282">
        <v>13190.373825999999</v>
      </c>
      <c r="P282" t="s">
        <v>421</v>
      </c>
      <c r="Q282">
        <v>1</v>
      </c>
      <c r="V282">
        <v>1</v>
      </c>
      <c r="W282">
        <v>1</v>
      </c>
      <c r="X282">
        <v>1</v>
      </c>
      <c r="Y282">
        <v>1</v>
      </c>
      <c r="Z282">
        <v>13190.373825999999</v>
      </c>
    </row>
    <row r="283" spans="1:26" x14ac:dyDescent="0.25">
      <c r="A283">
        <v>109257</v>
      </c>
      <c r="B283" t="s">
        <v>201</v>
      </c>
      <c r="C283">
        <v>2020</v>
      </c>
      <c r="D283">
        <v>1</v>
      </c>
      <c r="E283" t="s">
        <v>415</v>
      </c>
      <c r="F283" t="s">
        <v>434</v>
      </c>
      <c r="G283" t="s">
        <v>435</v>
      </c>
      <c r="H283" t="s">
        <v>84</v>
      </c>
      <c r="I283" t="s">
        <v>436</v>
      </c>
      <c r="J283" t="s">
        <v>419</v>
      </c>
      <c r="K283">
        <v>-53133.576788159997</v>
      </c>
      <c r="L283" t="s">
        <v>85</v>
      </c>
      <c r="M283" t="s">
        <v>422</v>
      </c>
      <c r="N283">
        <v>7.7540047892240005E-2</v>
      </c>
      <c r="O283">
        <v>4119.9800889999997</v>
      </c>
      <c r="P283" t="s">
        <v>421</v>
      </c>
      <c r="Q283">
        <v>1</v>
      </c>
      <c r="V283">
        <v>1</v>
      </c>
      <c r="W283">
        <v>1</v>
      </c>
      <c r="X283">
        <v>1</v>
      </c>
      <c r="Y283">
        <v>1</v>
      </c>
      <c r="Z283">
        <v>4119.9800889999997</v>
      </c>
    </row>
    <row r="284" spans="1:26" x14ac:dyDescent="0.25">
      <c r="A284">
        <v>109258</v>
      </c>
      <c r="B284" t="s">
        <v>201</v>
      </c>
      <c r="C284">
        <v>2020</v>
      </c>
      <c r="D284">
        <v>1</v>
      </c>
      <c r="E284" t="s">
        <v>415</v>
      </c>
      <c r="F284" t="s">
        <v>434</v>
      </c>
      <c r="G284" t="s">
        <v>435</v>
      </c>
      <c r="H284" t="s">
        <v>84</v>
      </c>
      <c r="I284" t="s">
        <v>436</v>
      </c>
      <c r="J284" t="s">
        <v>419</v>
      </c>
      <c r="K284">
        <v>-53133.576788159997</v>
      </c>
      <c r="L284" t="s">
        <v>85</v>
      </c>
      <c r="M284" t="s">
        <v>423</v>
      </c>
      <c r="N284">
        <v>0.73979703899049998</v>
      </c>
      <c r="O284">
        <v>39308.062779</v>
      </c>
      <c r="P284" t="s">
        <v>421</v>
      </c>
      <c r="Q284">
        <v>1</v>
      </c>
      <c r="V284">
        <v>1</v>
      </c>
      <c r="W284">
        <v>1</v>
      </c>
      <c r="X284">
        <v>1</v>
      </c>
      <c r="Y284">
        <v>1</v>
      </c>
      <c r="Z284">
        <v>39308.062779</v>
      </c>
    </row>
    <row r="285" spans="1:26" x14ac:dyDescent="0.25">
      <c r="A285">
        <v>109259</v>
      </c>
      <c r="B285" t="s">
        <v>201</v>
      </c>
      <c r="C285">
        <v>2020</v>
      </c>
      <c r="D285">
        <v>1</v>
      </c>
      <c r="E285" t="s">
        <v>415</v>
      </c>
      <c r="F285" t="s">
        <v>434</v>
      </c>
      <c r="G285" t="s">
        <v>435</v>
      </c>
      <c r="H285" t="s">
        <v>84</v>
      </c>
      <c r="I285" t="s">
        <v>436</v>
      </c>
      <c r="J285" t="s">
        <v>419</v>
      </c>
      <c r="K285">
        <v>-53133.576788159997</v>
      </c>
      <c r="L285" t="s">
        <v>85</v>
      </c>
      <c r="M285" t="s">
        <v>424</v>
      </c>
      <c r="N285">
        <v>2.9085775596699999E-3</v>
      </c>
      <c r="O285">
        <v>154.54312899999999</v>
      </c>
      <c r="P285" t="s">
        <v>421</v>
      </c>
      <c r="Q285">
        <v>1</v>
      </c>
      <c r="V285">
        <v>1</v>
      </c>
      <c r="W285">
        <v>1</v>
      </c>
      <c r="X285">
        <v>1</v>
      </c>
      <c r="Y285">
        <v>1</v>
      </c>
      <c r="Z285">
        <v>154.54312899999999</v>
      </c>
    </row>
    <row r="286" spans="1:26" x14ac:dyDescent="0.25">
      <c r="A286">
        <v>109260</v>
      </c>
      <c r="B286" t="s">
        <v>201</v>
      </c>
      <c r="C286">
        <v>2020</v>
      </c>
      <c r="D286">
        <v>1</v>
      </c>
      <c r="E286" t="s">
        <v>415</v>
      </c>
      <c r="F286" t="s">
        <v>434</v>
      </c>
      <c r="G286" t="s">
        <v>435</v>
      </c>
      <c r="H286" t="s">
        <v>84</v>
      </c>
      <c r="I286" t="s">
        <v>436</v>
      </c>
      <c r="J286" t="s">
        <v>419</v>
      </c>
      <c r="K286">
        <v>-53133.576788159997</v>
      </c>
      <c r="L286" t="s">
        <v>85</v>
      </c>
      <c r="M286" t="s">
        <v>425</v>
      </c>
      <c r="N286">
        <v>2.6170694898000001E-3</v>
      </c>
      <c r="O286">
        <v>139.05426299999999</v>
      </c>
      <c r="P286" t="s">
        <v>421</v>
      </c>
      <c r="Q286">
        <v>1</v>
      </c>
      <c r="V286">
        <v>1</v>
      </c>
      <c r="W286">
        <v>1</v>
      </c>
      <c r="X286">
        <v>1</v>
      </c>
      <c r="Y286">
        <v>1</v>
      </c>
      <c r="Z286">
        <v>139.05426299999999</v>
      </c>
    </row>
    <row r="287" spans="1:26" x14ac:dyDescent="0.25">
      <c r="A287">
        <v>109261</v>
      </c>
      <c r="B287" t="s">
        <v>201</v>
      </c>
      <c r="C287">
        <v>2020</v>
      </c>
      <c r="D287">
        <v>1</v>
      </c>
      <c r="E287" t="s">
        <v>415</v>
      </c>
      <c r="F287" t="s">
        <v>434</v>
      </c>
      <c r="G287" t="s">
        <v>435</v>
      </c>
      <c r="H287" t="s">
        <v>84</v>
      </c>
      <c r="I287" t="s">
        <v>437</v>
      </c>
      <c r="J287" t="s">
        <v>87</v>
      </c>
      <c r="K287">
        <v>-19912.894064470001</v>
      </c>
      <c r="L287" t="s">
        <v>427</v>
      </c>
      <c r="M287" t="s">
        <v>420</v>
      </c>
      <c r="N287">
        <v>0.45523813654234002</v>
      </c>
      <c r="O287">
        <v>9065.1087869999992</v>
      </c>
      <c r="P287" t="s">
        <v>421</v>
      </c>
      <c r="Q287">
        <v>1</v>
      </c>
      <c r="V287">
        <v>1</v>
      </c>
      <c r="W287">
        <v>1</v>
      </c>
      <c r="X287">
        <v>1</v>
      </c>
      <c r="Y287">
        <v>1</v>
      </c>
      <c r="Z287">
        <v>9065.1087869999992</v>
      </c>
    </row>
    <row r="288" spans="1:26" x14ac:dyDescent="0.25">
      <c r="A288">
        <v>109262</v>
      </c>
      <c r="B288" t="s">
        <v>201</v>
      </c>
      <c r="C288">
        <v>2020</v>
      </c>
      <c r="D288">
        <v>1</v>
      </c>
      <c r="E288" t="s">
        <v>415</v>
      </c>
      <c r="F288" t="s">
        <v>434</v>
      </c>
      <c r="G288" t="s">
        <v>435</v>
      </c>
      <c r="H288" t="s">
        <v>84</v>
      </c>
      <c r="I288" t="s">
        <v>437</v>
      </c>
      <c r="J288" t="s">
        <v>87</v>
      </c>
      <c r="K288">
        <v>-19912.894064470001</v>
      </c>
      <c r="L288" t="s">
        <v>427</v>
      </c>
      <c r="M288" t="s">
        <v>422</v>
      </c>
      <c r="N288">
        <v>6.8896616392329996E-2</v>
      </c>
      <c r="O288">
        <v>1371.931024</v>
      </c>
      <c r="P288" t="s">
        <v>421</v>
      </c>
      <c r="Q288">
        <v>1</v>
      </c>
      <c r="V288">
        <v>1</v>
      </c>
      <c r="W288">
        <v>1</v>
      </c>
      <c r="X288">
        <v>1</v>
      </c>
      <c r="Y288">
        <v>1</v>
      </c>
      <c r="Z288">
        <v>1371.931024</v>
      </c>
    </row>
    <row r="289" spans="1:26" x14ac:dyDescent="0.25">
      <c r="A289">
        <v>109263</v>
      </c>
      <c r="B289" t="s">
        <v>201</v>
      </c>
      <c r="C289">
        <v>2020</v>
      </c>
      <c r="D289">
        <v>1</v>
      </c>
      <c r="E289" t="s">
        <v>415</v>
      </c>
      <c r="F289" t="s">
        <v>434</v>
      </c>
      <c r="G289" t="s">
        <v>435</v>
      </c>
      <c r="H289" t="s">
        <v>84</v>
      </c>
      <c r="I289" t="s">
        <v>437</v>
      </c>
      <c r="J289" t="s">
        <v>87</v>
      </c>
      <c r="K289">
        <v>-19912.894064470001</v>
      </c>
      <c r="L289" t="s">
        <v>427</v>
      </c>
      <c r="M289" t="s">
        <v>423</v>
      </c>
      <c r="N289">
        <v>0.70986919705586005</v>
      </c>
      <c r="O289">
        <v>14135.550121</v>
      </c>
      <c r="P289" t="s">
        <v>421</v>
      </c>
      <c r="Q289">
        <v>1</v>
      </c>
      <c r="V289">
        <v>1</v>
      </c>
      <c r="W289">
        <v>1</v>
      </c>
      <c r="X289">
        <v>1</v>
      </c>
      <c r="Y289">
        <v>1</v>
      </c>
      <c r="Z289">
        <v>14135.550121</v>
      </c>
    </row>
    <row r="290" spans="1:26" x14ac:dyDescent="0.25">
      <c r="A290">
        <v>109264</v>
      </c>
      <c r="B290" t="s">
        <v>201</v>
      </c>
      <c r="C290">
        <v>2020</v>
      </c>
      <c r="D290">
        <v>1</v>
      </c>
      <c r="E290" t="s">
        <v>415</v>
      </c>
      <c r="F290" t="s">
        <v>434</v>
      </c>
      <c r="G290" t="s">
        <v>435</v>
      </c>
      <c r="H290" t="s">
        <v>84</v>
      </c>
      <c r="I290" t="s">
        <v>437</v>
      </c>
      <c r="J290" t="s">
        <v>87</v>
      </c>
      <c r="K290">
        <v>-19912.894064470001</v>
      </c>
      <c r="L290" t="s">
        <v>427</v>
      </c>
      <c r="M290" t="s">
        <v>425</v>
      </c>
      <c r="N290">
        <v>1.4965642882E-3</v>
      </c>
      <c r="O290">
        <v>29.800926</v>
      </c>
      <c r="P290" t="s">
        <v>421</v>
      </c>
      <c r="Q290">
        <v>1</v>
      </c>
      <c r="V290">
        <v>1</v>
      </c>
      <c r="W290">
        <v>1</v>
      </c>
      <c r="X290">
        <v>1</v>
      </c>
      <c r="Y290">
        <v>1</v>
      </c>
      <c r="Z290">
        <v>29.800926</v>
      </c>
    </row>
    <row r="291" spans="1:26" x14ac:dyDescent="0.25">
      <c r="A291">
        <v>109265</v>
      </c>
      <c r="B291" t="s">
        <v>201</v>
      </c>
      <c r="C291">
        <v>2020</v>
      </c>
      <c r="D291">
        <v>1</v>
      </c>
      <c r="E291" t="s">
        <v>415</v>
      </c>
      <c r="F291" t="s">
        <v>434</v>
      </c>
      <c r="G291" t="s">
        <v>435</v>
      </c>
      <c r="H291" t="s">
        <v>84</v>
      </c>
      <c r="I291" t="s">
        <v>438</v>
      </c>
      <c r="J291" t="s">
        <v>59</v>
      </c>
      <c r="K291">
        <v>-16260.03888233</v>
      </c>
      <c r="L291" t="s">
        <v>89</v>
      </c>
      <c r="M291" t="s">
        <v>420</v>
      </c>
      <c r="N291">
        <v>0.26343870574139999</v>
      </c>
      <c r="O291">
        <v>4283.5235979999998</v>
      </c>
      <c r="P291" t="s">
        <v>421</v>
      </c>
      <c r="Q291">
        <v>1</v>
      </c>
      <c r="V291">
        <v>1</v>
      </c>
      <c r="W291">
        <v>1</v>
      </c>
      <c r="X291">
        <v>1</v>
      </c>
      <c r="Y291">
        <v>1</v>
      </c>
      <c r="Z291">
        <v>4283.5235979999998</v>
      </c>
    </row>
    <row r="292" spans="1:26" x14ac:dyDescent="0.25">
      <c r="A292">
        <v>109266</v>
      </c>
      <c r="B292" t="s">
        <v>201</v>
      </c>
      <c r="C292">
        <v>2020</v>
      </c>
      <c r="D292">
        <v>1</v>
      </c>
      <c r="E292" t="s">
        <v>415</v>
      </c>
      <c r="F292" t="s">
        <v>434</v>
      </c>
      <c r="G292" t="s">
        <v>435</v>
      </c>
      <c r="H292" t="s">
        <v>84</v>
      </c>
      <c r="I292" t="s">
        <v>438</v>
      </c>
      <c r="J292" t="s">
        <v>59</v>
      </c>
      <c r="K292">
        <v>-16260.03888233</v>
      </c>
      <c r="L292" t="s">
        <v>89</v>
      </c>
      <c r="M292" t="s">
        <v>422</v>
      </c>
      <c r="N292">
        <v>7.1262429683470005E-2</v>
      </c>
      <c r="O292">
        <v>1158.7298780000001</v>
      </c>
      <c r="P292" t="s">
        <v>421</v>
      </c>
      <c r="Q292">
        <v>1</v>
      </c>
      <c r="V292">
        <v>1</v>
      </c>
      <c r="W292">
        <v>1</v>
      </c>
      <c r="X292">
        <v>1</v>
      </c>
      <c r="Y292">
        <v>1</v>
      </c>
      <c r="Z292">
        <v>1158.7298780000001</v>
      </c>
    </row>
    <row r="293" spans="1:26" x14ac:dyDescent="0.25">
      <c r="A293">
        <v>109267</v>
      </c>
      <c r="B293" t="s">
        <v>201</v>
      </c>
      <c r="C293">
        <v>2020</v>
      </c>
      <c r="D293">
        <v>1</v>
      </c>
      <c r="E293" t="s">
        <v>415</v>
      </c>
      <c r="F293" t="s">
        <v>434</v>
      </c>
      <c r="G293" t="s">
        <v>435</v>
      </c>
      <c r="H293" t="s">
        <v>84</v>
      </c>
      <c r="I293" t="s">
        <v>438</v>
      </c>
      <c r="J293" t="s">
        <v>59</v>
      </c>
      <c r="K293">
        <v>-16260.03888233</v>
      </c>
      <c r="L293" t="s">
        <v>89</v>
      </c>
      <c r="M293" t="s">
        <v>423</v>
      </c>
      <c r="N293">
        <v>0.74738783869542003</v>
      </c>
      <c r="O293">
        <v>12152.555317</v>
      </c>
      <c r="P293" t="s">
        <v>421</v>
      </c>
      <c r="Q293">
        <v>1</v>
      </c>
      <c r="V293">
        <v>1</v>
      </c>
      <c r="W293">
        <v>1</v>
      </c>
      <c r="X293">
        <v>1</v>
      </c>
      <c r="Y293">
        <v>1</v>
      </c>
      <c r="Z293">
        <v>12152.555317</v>
      </c>
    </row>
    <row r="294" spans="1:26" x14ac:dyDescent="0.25">
      <c r="A294">
        <v>109268</v>
      </c>
      <c r="B294" t="s">
        <v>201</v>
      </c>
      <c r="C294">
        <v>2020</v>
      </c>
      <c r="D294">
        <v>1</v>
      </c>
      <c r="E294" t="s">
        <v>415</v>
      </c>
      <c r="F294" t="s">
        <v>434</v>
      </c>
      <c r="G294" t="s">
        <v>435</v>
      </c>
      <c r="H294" t="s">
        <v>84</v>
      </c>
      <c r="I294" t="s">
        <v>438</v>
      </c>
      <c r="J294" t="s">
        <v>59</v>
      </c>
      <c r="K294">
        <v>-16260.03888233</v>
      </c>
      <c r="L294" t="s">
        <v>89</v>
      </c>
      <c r="M294" t="s">
        <v>424</v>
      </c>
      <c r="N294">
        <v>3.08071516317E-3</v>
      </c>
      <c r="O294">
        <v>50.092548000000001</v>
      </c>
      <c r="P294" t="s">
        <v>421</v>
      </c>
      <c r="Q294">
        <v>1</v>
      </c>
      <c r="V294">
        <v>1</v>
      </c>
      <c r="W294">
        <v>1</v>
      </c>
      <c r="X294">
        <v>1</v>
      </c>
      <c r="Y294">
        <v>1</v>
      </c>
      <c r="Z294">
        <v>50.092548000000001</v>
      </c>
    </row>
    <row r="295" spans="1:26" x14ac:dyDescent="0.25">
      <c r="A295">
        <v>109269</v>
      </c>
      <c r="B295" t="s">
        <v>201</v>
      </c>
      <c r="C295">
        <v>2020</v>
      </c>
      <c r="D295">
        <v>1</v>
      </c>
      <c r="E295" t="s">
        <v>415</v>
      </c>
      <c r="F295" t="s">
        <v>434</v>
      </c>
      <c r="G295" t="s">
        <v>435</v>
      </c>
      <c r="H295" t="s">
        <v>84</v>
      </c>
      <c r="I295" t="s">
        <v>438</v>
      </c>
      <c r="J295" t="s">
        <v>59</v>
      </c>
      <c r="K295">
        <v>-16260.03888233</v>
      </c>
      <c r="L295" t="s">
        <v>89</v>
      </c>
      <c r="M295" t="s">
        <v>425</v>
      </c>
      <c r="N295">
        <v>2.5360775708E-3</v>
      </c>
      <c r="O295">
        <v>41.236719999999998</v>
      </c>
      <c r="P295" t="s">
        <v>421</v>
      </c>
      <c r="Q295">
        <v>1</v>
      </c>
      <c r="V295">
        <v>1</v>
      </c>
      <c r="W295">
        <v>1</v>
      </c>
      <c r="X295">
        <v>1</v>
      </c>
      <c r="Y295">
        <v>1</v>
      </c>
      <c r="Z295">
        <v>41.236719999999998</v>
      </c>
    </row>
    <row r="296" spans="1:26" x14ac:dyDescent="0.25">
      <c r="A296">
        <v>164171</v>
      </c>
      <c r="B296" t="s">
        <v>440</v>
      </c>
      <c r="C296">
        <v>2021</v>
      </c>
      <c r="D296">
        <v>1</v>
      </c>
      <c r="E296" t="s">
        <v>415</v>
      </c>
      <c r="F296" t="s">
        <v>416</v>
      </c>
      <c r="G296" t="s">
        <v>417</v>
      </c>
      <c r="H296" t="s">
        <v>84</v>
      </c>
      <c r="I296" t="s">
        <v>418</v>
      </c>
      <c r="J296" t="s">
        <v>419</v>
      </c>
      <c r="K296">
        <v>-45746.666203360001</v>
      </c>
      <c r="L296" t="s">
        <v>85</v>
      </c>
      <c r="M296" t="s">
        <v>420</v>
      </c>
      <c r="N296">
        <v>0.24824931095561001</v>
      </c>
      <c r="O296">
        <v>11356.578364000001</v>
      </c>
      <c r="P296" t="s">
        <v>421</v>
      </c>
      <c r="Q296">
        <v>1</v>
      </c>
      <c r="V296">
        <v>1</v>
      </c>
      <c r="W296">
        <v>1</v>
      </c>
      <c r="X296">
        <v>1</v>
      </c>
      <c r="Y296">
        <v>1</v>
      </c>
      <c r="Z296">
        <v>11356.578364000001</v>
      </c>
    </row>
    <row r="297" spans="1:26" x14ac:dyDescent="0.25">
      <c r="A297">
        <v>164172</v>
      </c>
      <c r="B297" t="s">
        <v>440</v>
      </c>
      <c r="C297">
        <v>2021</v>
      </c>
      <c r="D297">
        <v>1</v>
      </c>
      <c r="E297" t="s">
        <v>415</v>
      </c>
      <c r="F297" t="s">
        <v>416</v>
      </c>
      <c r="G297" t="s">
        <v>417</v>
      </c>
      <c r="H297" t="s">
        <v>84</v>
      </c>
      <c r="I297" t="s">
        <v>418</v>
      </c>
      <c r="J297" t="s">
        <v>419</v>
      </c>
      <c r="K297">
        <v>-45746.666203360001</v>
      </c>
      <c r="L297" t="s">
        <v>85</v>
      </c>
      <c r="M297" t="s">
        <v>422</v>
      </c>
      <c r="N297">
        <v>7.7540047892240005E-2</v>
      </c>
      <c r="O297">
        <v>3547.1986879999999</v>
      </c>
      <c r="P297" t="s">
        <v>421</v>
      </c>
      <c r="Q297">
        <v>1</v>
      </c>
      <c r="V297">
        <v>1</v>
      </c>
      <c r="W297">
        <v>1</v>
      </c>
      <c r="X297">
        <v>1</v>
      </c>
      <c r="Y297">
        <v>1</v>
      </c>
      <c r="Z297">
        <v>3547.1986879999999</v>
      </c>
    </row>
    <row r="298" spans="1:26" x14ac:dyDescent="0.25">
      <c r="A298">
        <v>164173</v>
      </c>
      <c r="B298" t="s">
        <v>440</v>
      </c>
      <c r="C298">
        <v>2021</v>
      </c>
      <c r="D298">
        <v>1</v>
      </c>
      <c r="E298" t="s">
        <v>415</v>
      </c>
      <c r="F298" t="s">
        <v>416</v>
      </c>
      <c r="G298" t="s">
        <v>417</v>
      </c>
      <c r="H298" t="s">
        <v>84</v>
      </c>
      <c r="I298" t="s">
        <v>418</v>
      </c>
      <c r="J298" t="s">
        <v>419</v>
      </c>
      <c r="K298">
        <v>-45746.666203360001</v>
      </c>
      <c r="L298" t="s">
        <v>85</v>
      </c>
      <c r="M298" t="s">
        <v>423</v>
      </c>
      <c r="N298">
        <v>0.73979703899049998</v>
      </c>
      <c r="O298">
        <v>33843.248201000002</v>
      </c>
      <c r="P298" t="s">
        <v>421</v>
      </c>
      <c r="Q298">
        <v>1</v>
      </c>
      <c r="V298">
        <v>1</v>
      </c>
      <c r="W298">
        <v>1</v>
      </c>
      <c r="X298">
        <v>1</v>
      </c>
      <c r="Y298">
        <v>1</v>
      </c>
      <c r="Z298">
        <v>33843.248201000002</v>
      </c>
    </row>
    <row r="299" spans="1:26" x14ac:dyDescent="0.25">
      <c r="A299">
        <v>164174</v>
      </c>
      <c r="B299" t="s">
        <v>440</v>
      </c>
      <c r="C299">
        <v>2021</v>
      </c>
      <c r="D299">
        <v>1</v>
      </c>
      <c r="E299" t="s">
        <v>415</v>
      </c>
      <c r="F299" t="s">
        <v>416</v>
      </c>
      <c r="G299" t="s">
        <v>417</v>
      </c>
      <c r="H299" t="s">
        <v>84</v>
      </c>
      <c r="I299" t="s">
        <v>418</v>
      </c>
      <c r="J299" t="s">
        <v>419</v>
      </c>
      <c r="K299">
        <v>-45746.666203360001</v>
      </c>
      <c r="L299" t="s">
        <v>85</v>
      </c>
      <c r="M299" t="s">
        <v>424</v>
      </c>
      <c r="N299">
        <v>2.9085775596699999E-3</v>
      </c>
      <c r="O299">
        <v>133.057727</v>
      </c>
      <c r="P299" t="s">
        <v>421</v>
      </c>
      <c r="Q299">
        <v>1</v>
      </c>
      <c r="V299">
        <v>1</v>
      </c>
      <c r="W299">
        <v>1</v>
      </c>
      <c r="X299">
        <v>1</v>
      </c>
      <c r="Y299">
        <v>1</v>
      </c>
      <c r="Z299">
        <v>133.057727</v>
      </c>
    </row>
    <row r="300" spans="1:26" x14ac:dyDescent="0.25">
      <c r="A300">
        <v>164175</v>
      </c>
      <c r="B300" t="s">
        <v>440</v>
      </c>
      <c r="C300">
        <v>2021</v>
      </c>
      <c r="D300">
        <v>1</v>
      </c>
      <c r="E300" t="s">
        <v>415</v>
      </c>
      <c r="F300" t="s">
        <v>416</v>
      </c>
      <c r="G300" t="s">
        <v>417</v>
      </c>
      <c r="H300" t="s">
        <v>84</v>
      </c>
      <c r="I300" t="s">
        <v>418</v>
      </c>
      <c r="J300" t="s">
        <v>419</v>
      </c>
      <c r="K300">
        <v>-45746.666203360001</v>
      </c>
      <c r="L300" t="s">
        <v>85</v>
      </c>
      <c r="M300" t="s">
        <v>425</v>
      </c>
      <c r="N300">
        <v>2.6170694898000001E-3</v>
      </c>
      <c r="O300">
        <v>119.722204</v>
      </c>
      <c r="P300" t="s">
        <v>421</v>
      </c>
      <c r="Q300">
        <v>1</v>
      </c>
      <c r="V300">
        <v>1</v>
      </c>
      <c r="W300">
        <v>1</v>
      </c>
      <c r="X300">
        <v>1</v>
      </c>
      <c r="Y300">
        <v>1</v>
      </c>
      <c r="Z300">
        <v>119.722204</v>
      </c>
    </row>
    <row r="301" spans="1:26" x14ac:dyDescent="0.25">
      <c r="A301">
        <v>164176</v>
      </c>
      <c r="B301" t="s">
        <v>440</v>
      </c>
      <c r="C301">
        <v>2021</v>
      </c>
      <c r="D301">
        <v>1</v>
      </c>
      <c r="E301" t="s">
        <v>415</v>
      </c>
      <c r="F301" t="s">
        <v>416</v>
      </c>
      <c r="G301" t="s">
        <v>417</v>
      </c>
      <c r="H301" t="s">
        <v>84</v>
      </c>
      <c r="I301" t="s">
        <v>426</v>
      </c>
      <c r="J301" t="s">
        <v>87</v>
      </c>
      <c r="K301">
        <v>-11492.289250669999</v>
      </c>
      <c r="L301" t="s">
        <v>427</v>
      </c>
      <c r="M301" t="s">
        <v>420</v>
      </c>
      <c r="N301">
        <v>0.45523813654234002</v>
      </c>
      <c r="O301">
        <v>5231.7283429999998</v>
      </c>
      <c r="P301" t="s">
        <v>421</v>
      </c>
      <c r="Q301">
        <v>1</v>
      </c>
      <c r="V301">
        <v>1</v>
      </c>
      <c r="W301">
        <v>1</v>
      </c>
      <c r="X301">
        <v>1</v>
      </c>
      <c r="Y301">
        <v>1</v>
      </c>
      <c r="Z301">
        <v>5231.7283429999998</v>
      </c>
    </row>
    <row r="302" spans="1:26" x14ac:dyDescent="0.25">
      <c r="A302">
        <v>164177</v>
      </c>
      <c r="B302" t="s">
        <v>440</v>
      </c>
      <c r="C302">
        <v>2021</v>
      </c>
      <c r="D302">
        <v>1</v>
      </c>
      <c r="E302" t="s">
        <v>415</v>
      </c>
      <c r="F302" t="s">
        <v>416</v>
      </c>
      <c r="G302" t="s">
        <v>417</v>
      </c>
      <c r="H302" t="s">
        <v>84</v>
      </c>
      <c r="I302" t="s">
        <v>426</v>
      </c>
      <c r="J302" t="s">
        <v>87</v>
      </c>
      <c r="K302">
        <v>-11492.289250669999</v>
      </c>
      <c r="L302" t="s">
        <v>427</v>
      </c>
      <c r="M302" t="s">
        <v>422</v>
      </c>
      <c r="N302">
        <v>6.8896616392329996E-2</v>
      </c>
      <c r="O302">
        <v>791.77984400000003</v>
      </c>
      <c r="P302" t="s">
        <v>421</v>
      </c>
      <c r="Q302">
        <v>1</v>
      </c>
      <c r="V302">
        <v>1</v>
      </c>
      <c r="W302">
        <v>1</v>
      </c>
      <c r="X302">
        <v>1</v>
      </c>
      <c r="Y302">
        <v>1</v>
      </c>
      <c r="Z302">
        <v>791.77984400000003</v>
      </c>
    </row>
    <row r="303" spans="1:26" x14ac:dyDescent="0.25">
      <c r="A303">
        <v>164178</v>
      </c>
      <c r="B303" t="s">
        <v>440</v>
      </c>
      <c r="C303">
        <v>2021</v>
      </c>
      <c r="D303">
        <v>1</v>
      </c>
      <c r="E303" t="s">
        <v>415</v>
      </c>
      <c r="F303" t="s">
        <v>416</v>
      </c>
      <c r="G303" t="s">
        <v>417</v>
      </c>
      <c r="H303" t="s">
        <v>84</v>
      </c>
      <c r="I303" t="s">
        <v>426</v>
      </c>
      <c r="J303" t="s">
        <v>87</v>
      </c>
      <c r="K303">
        <v>-11492.289250669999</v>
      </c>
      <c r="L303" t="s">
        <v>427</v>
      </c>
      <c r="M303" t="s">
        <v>423</v>
      </c>
      <c r="N303">
        <v>0.70986919705586005</v>
      </c>
      <c r="O303">
        <v>8158.0221430000001</v>
      </c>
      <c r="P303" t="s">
        <v>421</v>
      </c>
      <c r="Q303">
        <v>1</v>
      </c>
      <c r="V303">
        <v>1</v>
      </c>
      <c r="W303">
        <v>1</v>
      </c>
      <c r="X303">
        <v>1</v>
      </c>
      <c r="Y303">
        <v>1</v>
      </c>
      <c r="Z303">
        <v>8158.0221430000001</v>
      </c>
    </row>
    <row r="304" spans="1:26" x14ac:dyDescent="0.25">
      <c r="A304">
        <v>164179</v>
      </c>
      <c r="B304" t="s">
        <v>440</v>
      </c>
      <c r="C304">
        <v>2021</v>
      </c>
      <c r="D304">
        <v>1</v>
      </c>
      <c r="E304" t="s">
        <v>415</v>
      </c>
      <c r="F304" t="s">
        <v>416</v>
      </c>
      <c r="G304" t="s">
        <v>417</v>
      </c>
      <c r="H304" t="s">
        <v>84</v>
      </c>
      <c r="I304" t="s">
        <v>426</v>
      </c>
      <c r="J304" t="s">
        <v>87</v>
      </c>
      <c r="K304">
        <v>-11492.289250669999</v>
      </c>
      <c r="L304" t="s">
        <v>427</v>
      </c>
      <c r="M304" t="s">
        <v>425</v>
      </c>
      <c r="N304">
        <v>1.4965642882E-3</v>
      </c>
      <c r="O304">
        <v>17.19895</v>
      </c>
      <c r="P304" t="s">
        <v>421</v>
      </c>
      <c r="Q304">
        <v>1</v>
      </c>
      <c r="V304">
        <v>1</v>
      </c>
      <c r="W304">
        <v>1</v>
      </c>
      <c r="X304">
        <v>1</v>
      </c>
      <c r="Y304">
        <v>1</v>
      </c>
      <c r="Z304">
        <v>17.19895</v>
      </c>
    </row>
    <row r="305" spans="1:26" x14ac:dyDescent="0.25">
      <c r="A305">
        <v>164180</v>
      </c>
      <c r="B305" t="s">
        <v>440</v>
      </c>
      <c r="C305">
        <v>2021</v>
      </c>
      <c r="D305">
        <v>1</v>
      </c>
      <c r="E305" t="s">
        <v>415</v>
      </c>
      <c r="F305" t="s">
        <v>416</v>
      </c>
      <c r="G305" t="s">
        <v>417</v>
      </c>
      <c r="H305" t="s">
        <v>84</v>
      </c>
      <c r="I305" t="s">
        <v>428</v>
      </c>
      <c r="J305" t="s">
        <v>59</v>
      </c>
      <c r="K305">
        <v>-10472.896385239999</v>
      </c>
      <c r="L305" t="s">
        <v>89</v>
      </c>
      <c r="M305" t="s">
        <v>420</v>
      </c>
      <c r="N305">
        <v>0.26343870574139999</v>
      </c>
      <c r="O305">
        <v>2758.966269</v>
      </c>
      <c r="P305" t="s">
        <v>421</v>
      </c>
      <c r="Q305">
        <v>1</v>
      </c>
      <c r="V305">
        <v>1</v>
      </c>
      <c r="W305">
        <v>1</v>
      </c>
      <c r="X305">
        <v>1</v>
      </c>
      <c r="Y305">
        <v>1</v>
      </c>
      <c r="Z305">
        <v>2758.966269</v>
      </c>
    </row>
    <row r="306" spans="1:26" x14ac:dyDescent="0.25">
      <c r="A306">
        <v>164181</v>
      </c>
      <c r="B306" t="s">
        <v>440</v>
      </c>
      <c r="C306">
        <v>2021</v>
      </c>
      <c r="D306">
        <v>1</v>
      </c>
      <c r="E306" t="s">
        <v>415</v>
      </c>
      <c r="F306" t="s">
        <v>416</v>
      </c>
      <c r="G306" t="s">
        <v>417</v>
      </c>
      <c r="H306" t="s">
        <v>84</v>
      </c>
      <c r="I306" t="s">
        <v>428</v>
      </c>
      <c r="J306" t="s">
        <v>59</v>
      </c>
      <c r="K306">
        <v>-10472.896385239999</v>
      </c>
      <c r="L306" t="s">
        <v>89</v>
      </c>
      <c r="M306" t="s">
        <v>422</v>
      </c>
      <c r="N306">
        <v>7.1262429683470005E-2</v>
      </c>
      <c r="O306">
        <v>746.32404199999996</v>
      </c>
      <c r="P306" t="s">
        <v>421</v>
      </c>
      <c r="Q306">
        <v>1</v>
      </c>
      <c r="V306">
        <v>1</v>
      </c>
      <c r="W306">
        <v>1</v>
      </c>
      <c r="X306">
        <v>1</v>
      </c>
      <c r="Y306">
        <v>1</v>
      </c>
      <c r="Z306">
        <v>746.32404199999996</v>
      </c>
    </row>
    <row r="307" spans="1:26" x14ac:dyDescent="0.25">
      <c r="A307">
        <v>164182</v>
      </c>
      <c r="B307" t="s">
        <v>440</v>
      </c>
      <c r="C307">
        <v>2021</v>
      </c>
      <c r="D307">
        <v>1</v>
      </c>
      <c r="E307" t="s">
        <v>415</v>
      </c>
      <c r="F307" t="s">
        <v>416</v>
      </c>
      <c r="G307" t="s">
        <v>417</v>
      </c>
      <c r="H307" t="s">
        <v>84</v>
      </c>
      <c r="I307" t="s">
        <v>428</v>
      </c>
      <c r="J307" t="s">
        <v>59</v>
      </c>
      <c r="K307">
        <v>-10472.896385239999</v>
      </c>
      <c r="L307" t="s">
        <v>89</v>
      </c>
      <c r="M307" t="s">
        <v>423</v>
      </c>
      <c r="N307">
        <v>0.74738783869542003</v>
      </c>
      <c r="O307">
        <v>7827.3153940000002</v>
      </c>
      <c r="P307" t="s">
        <v>421</v>
      </c>
      <c r="Q307">
        <v>1</v>
      </c>
      <c r="V307">
        <v>1</v>
      </c>
      <c r="W307">
        <v>1</v>
      </c>
      <c r="X307">
        <v>1</v>
      </c>
      <c r="Y307">
        <v>1</v>
      </c>
      <c r="Z307">
        <v>7827.3153940000002</v>
      </c>
    </row>
    <row r="308" spans="1:26" x14ac:dyDescent="0.25">
      <c r="A308">
        <v>164183</v>
      </c>
      <c r="B308" t="s">
        <v>440</v>
      </c>
      <c r="C308">
        <v>2021</v>
      </c>
      <c r="D308">
        <v>1</v>
      </c>
      <c r="E308" t="s">
        <v>415</v>
      </c>
      <c r="F308" t="s">
        <v>416</v>
      </c>
      <c r="G308" t="s">
        <v>417</v>
      </c>
      <c r="H308" t="s">
        <v>84</v>
      </c>
      <c r="I308" t="s">
        <v>428</v>
      </c>
      <c r="J308" t="s">
        <v>59</v>
      </c>
      <c r="K308">
        <v>-10472.896385239999</v>
      </c>
      <c r="L308" t="s">
        <v>89</v>
      </c>
      <c r="M308" t="s">
        <v>424</v>
      </c>
      <c r="N308">
        <v>3.08071516317E-3</v>
      </c>
      <c r="O308">
        <v>32.264011000000004</v>
      </c>
      <c r="P308" t="s">
        <v>421</v>
      </c>
      <c r="Q308">
        <v>1</v>
      </c>
      <c r="V308">
        <v>1</v>
      </c>
      <c r="W308">
        <v>1</v>
      </c>
      <c r="X308">
        <v>1</v>
      </c>
      <c r="Y308">
        <v>1</v>
      </c>
      <c r="Z308">
        <v>32.264011000000004</v>
      </c>
    </row>
    <row r="309" spans="1:26" x14ac:dyDescent="0.25">
      <c r="A309">
        <v>164184</v>
      </c>
      <c r="B309" t="s">
        <v>440</v>
      </c>
      <c r="C309">
        <v>2021</v>
      </c>
      <c r="D309">
        <v>1</v>
      </c>
      <c r="E309" t="s">
        <v>415</v>
      </c>
      <c r="F309" t="s">
        <v>416</v>
      </c>
      <c r="G309" t="s">
        <v>417</v>
      </c>
      <c r="H309" t="s">
        <v>84</v>
      </c>
      <c r="I309" t="s">
        <v>428</v>
      </c>
      <c r="J309" t="s">
        <v>59</v>
      </c>
      <c r="K309">
        <v>-10472.896385239999</v>
      </c>
      <c r="L309" t="s">
        <v>89</v>
      </c>
      <c r="M309" t="s">
        <v>425</v>
      </c>
      <c r="N309">
        <v>2.5360775708E-3</v>
      </c>
      <c r="O309">
        <v>26.560078000000001</v>
      </c>
      <c r="P309" t="s">
        <v>421</v>
      </c>
      <c r="Q309">
        <v>1</v>
      </c>
      <c r="V309">
        <v>1</v>
      </c>
      <c r="W309">
        <v>1</v>
      </c>
      <c r="X309">
        <v>1</v>
      </c>
      <c r="Y309">
        <v>1</v>
      </c>
      <c r="Z309">
        <v>26.560078000000001</v>
      </c>
    </row>
    <row r="310" spans="1:26" x14ac:dyDescent="0.25">
      <c r="A310">
        <v>164185</v>
      </c>
      <c r="B310" t="s">
        <v>440</v>
      </c>
      <c r="C310">
        <v>2021</v>
      </c>
      <c r="D310">
        <v>1</v>
      </c>
      <c r="E310" t="s">
        <v>415</v>
      </c>
      <c r="F310" t="s">
        <v>429</v>
      </c>
      <c r="G310" t="s">
        <v>430</v>
      </c>
      <c r="H310" t="s">
        <v>84</v>
      </c>
      <c r="I310" t="s">
        <v>431</v>
      </c>
      <c r="J310" t="s">
        <v>419</v>
      </c>
      <c r="K310">
        <v>-69197.748335509998</v>
      </c>
      <c r="L310" t="s">
        <v>85</v>
      </c>
      <c r="M310" t="s">
        <v>420</v>
      </c>
      <c r="N310">
        <v>0.24824931095561001</v>
      </c>
      <c r="O310">
        <v>17178.293344000002</v>
      </c>
      <c r="P310" t="s">
        <v>421</v>
      </c>
      <c r="Q310">
        <v>1</v>
      </c>
      <c r="V310">
        <v>1</v>
      </c>
      <c r="W310">
        <v>1</v>
      </c>
      <c r="X310">
        <v>1</v>
      </c>
      <c r="Y310">
        <v>1</v>
      </c>
      <c r="Z310">
        <v>17178.293344000002</v>
      </c>
    </row>
    <row r="311" spans="1:26" x14ac:dyDescent="0.25">
      <c r="A311">
        <v>164186</v>
      </c>
      <c r="B311" t="s">
        <v>440</v>
      </c>
      <c r="C311">
        <v>2021</v>
      </c>
      <c r="D311">
        <v>1</v>
      </c>
      <c r="E311" t="s">
        <v>415</v>
      </c>
      <c r="F311" t="s">
        <v>429</v>
      </c>
      <c r="G311" t="s">
        <v>430</v>
      </c>
      <c r="H311" t="s">
        <v>84</v>
      </c>
      <c r="I311" t="s">
        <v>431</v>
      </c>
      <c r="J311" t="s">
        <v>419</v>
      </c>
      <c r="K311">
        <v>-69197.748335509998</v>
      </c>
      <c r="L311" t="s">
        <v>85</v>
      </c>
      <c r="M311" t="s">
        <v>422</v>
      </c>
      <c r="N311">
        <v>7.7540047892240005E-2</v>
      </c>
      <c r="O311">
        <v>5365.5967199999996</v>
      </c>
      <c r="P311" t="s">
        <v>421</v>
      </c>
      <c r="Q311">
        <v>1</v>
      </c>
      <c r="V311">
        <v>1</v>
      </c>
      <c r="W311">
        <v>1</v>
      </c>
      <c r="X311">
        <v>1</v>
      </c>
      <c r="Y311">
        <v>1</v>
      </c>
      <c r="Z311">
        <v>5365.5967199999996</v>
      </c>
    </row>
    <row r="312" spans="1:26" x14ac:dyDescent="0.25">
      <c r="A312">
        <v>164187</v>
      </c>
      <c r="B312" t="s">
        <v>440</v>
      </c>
      <c r="C312">
        <v>2021</v>
      </c>
      <c r="D312">
        <v>1</v>
      </c>
      <c r="E312" t="s">
        <v>415</v>
      </c>
      <c r="F312" t="s">
        <v>429</v>
      </c>
      <c r="G312" t="s">
        <v>430</v>
      </c>
      <c r="H312" t="s">
        <v>84</v>
      </c>
      <c r="I312" t="s">
        <v>431</v>
      </c>
      <c r="J312" t="s">
        <v>419</v>
      </c>
      <c r="K312">
        <v>-69197.748335509998</v>
      </c>
      <c r="L312" t="s">
        <v>85</v>
      </c>
      <c r="M312" t="s">
        <v>423</v>
      </c>
      <c r="N312">
        <v>0.73979703899049998</v>
      </c>
      <c r="O312">
        <v>51192.289322999997</v>
      </c>
      <c r="P312" t="s">
        <v>421</v>
      </c>
      <c r="Q312">
        <v>1</v>
      </c>
      <c r="V312">
        <v>1</v>
      </c>
      <c r="W312">
        <v>1</v>
      </c>
      <c r="X312">
        <v>1</v>
      </c>
      <c r="Y312">
        <v>1</v>
      </c>
      <c r="Z312">
        <v>51192.289322999997</v>
      </c>
    </row>
    <row r="313" spans="1:26" x14ac:dyDescent="0.25">
      <c r="A313">
        <v>164188</v>
      </c>
      <c r="B313" t="s">
        <v>440</v>
      </c>
      <c r="C313">
        <v>2021</v>
      </c>
      <c r="D313">
        <v>1</v>
      </c>
      <c r="E313" t="s">
        <v>415</v>
      </c>
      <c r="F313" t="s">
        <v>429</v>
      </c>
      <c r="G313" t="s">
        <v>430</v>
      </c>
      <c r="H313" t="s">
        <v>84</v>
      </c>
      <c r="I313" t="s">
        <v>431</v>
      </c>
      <c r="J313" t="s">
        <v>419</v>
      </c>
      <c r="K313">
        <v>-69197.748335509998</v>
      </c>
      <c r="L313" t="s">
        <v>85</v>
      </c>
      <c r="M313" t="s">
        <v>424</v>
      </c>
      <c r="N313">
        <v>2.9085775596699999E-3</v>
      </c>
      <c r="O313">
        <v>201.26701800000001</v>
      </c>
      <c r="P313" t="s">
        <v>421</v>
      </c>
      <c r="Q313">
        <v>1</v>
      </c>
      <c r="V313">
        <v>1</v>
      </c>
      <c r="W313">
        <v>1</v>
      </c>
      <c r="X313">
        <v>1</v>
      </c>
      <c r="Y313">
        <v>1</v>
      </c>
      <c r="Z313">
        <v>201.26701800000001</v>
      </c>
    </row>
    <row r="314" spans="1:26" x14ac:dyDescent="0.25">
      <c r="A314">
        <v>164189</v>
      </c>
      <c r="B314" t="s">
        <v>440</v>
      </c>
      <c r="C314">
        <v>2021</v>
      </c>
      <c r="D314">
        <v>1</v>
      </c>
      <c r="E314" t="s">
        <v>415</v>
      </c>
      <c r="F314" t="s">
        <v>429</v>
      </c>
      <c r="G314" t="s">
        <v>430</v>
      </c>
      <c r="H314" t="s">
        <v>84</v>
      </c>
      <c r="I314" t="s">
        <v>431</v>
      </c>
      <c r="J314" t="s">
        <v>419</v>
      </c>
      <c r="K314">
        <v>-69197.748335509998</v>
      </c>
      <c r="L314" t="s">
        <v>85</v>
      </c>
      <c r="M314" t="s">
        <v>425</v>
      </c>
      <c r="N314">
        <v>2.6170694898000001E-3</v>
      </c>
      <c r="O314">
        <v>181.095316</v>
      </c>
      <c r="P314" t="s">
        <v>421</v>
      </c>
      <c r="Q314">
        <v>1</v>
      </c>
      <c r="V314">
        <v>1</v>
      </c>
      <c r="W314">
        <v>1</v>
      </c>
      <c r="X314">
        <v>1</v>
      </c>
      <c r="Y314">
        <v>1</v>
      </c>
      <c r="Z314">
        <v>181.095316</v>
      </c>
    </row>
    <row r="315" spans="1:26" x14ac:dyDescent="0.25">
      <c r="A315">
        <v>164190</v>
      </c>
      <c r="B315" t="s">
        <v>440</v>
      </c>
      <c r="C315">
        <v>2021</v>
      </c>
      <c r="D315">
        <v>1</v>
      </c>
      <c r="E315" t="s">
        <v>415</v>
      </c>
      <c r="F315" t="s">
        <v>429</v>
      </c>
      <c r="G315" t="s">
        <v>430</v>
      </c>
      <c r="H315" t="s">
        <v>84</v>
      </c>
      <c r="I315" t="s">
        <v>432</v>
      </c>
      <c r="J315" t="s">
        <v>87</v>
      </c>
      <c r="K315">
        <v>-18113.58035294</v>
      </c>
      <c r="L315" t="s">
        <v>427</v>
      </c>
      <c r="M315" t="s">
        <v>420</v>
      </c>
      <c r="N315">
        <v>0.45523813654234002</v>
      </c>
      <c r="O315">
        <v>8245.9925660000008</v>
      </c>
      <c r="P315" t="s">
        <v>421</v>
      </c>
      <c r="Q315">
        <v>1</v>
      </c>
      <c r="V315">
        <v>1</v>
      </c>
      <c r="W315">
        <v>1</v>
      </c>
      <c r="X315">
        <v>1</v>
      </c>
      <c r="Y315">
        <v>1</v>
      </c>
      <c r="Z315">
        <v>8245.9925660000008</v>
      </c>
    </row>
    <row r="316" spans="1:26" x14ac:dyDescent="0.25">
      <c r="A316">
        <v>164191</v>
      </c>
      <c r="B316" t="s">
        <v>440</v>
      </c>
      <c r="C316">
        <v>2021</v>
      </c>
      <c r="D316">
        <v>1</v>
      </c>
      <c r="E316" t="s">
        <v>415</v>
      </c>
      <c r="F316" t="s">
        <v>429</v>
      </c>
      <c r="G316" t="s">
        <v>430</v>
      </c>
      <c r="H316" t="s">
        <v>84</v>
      </c>
      <c r="I316" t="s">
        <v>432</v>
      </c>
      <c r="J316" t="s">
        <v>87</v>
      </c>
      <c r="K316">
        <v>-18113.58035294</v>
      </c>
      <c r="L316" t="s">
        <v>427</v>
      </c>
      <c r="M316" t="s">
        <v>422</v>
      </c>
      <c r="N316">
        <v>6.8896616392329996E-2</v>
      </c>
      <c r="O316">
        <v>1247.964397</v>
      </c>
      <c r="P316" t="s">
        <v>421</v>
      </c>
      <c r="Q316">
        <v>1</v>
      </c>
      <c r="V316">
        <v>1</v>
      </c>
      <c r="W316">
        <v>1</v>
      </c>
      <c r="X316">
        <v>1</v>
      </c>
      <c r="Y316">
        <v>1</v>
      </c>
      <c r="Z316">
        <v>1247.964397</v>
      </c>
    </row>
    <row r="317" spans="1:26" x14ac:dyDescent="0.25">
      <c r="A317">
        <v>164192</v>
      </c>
      <c r="B317" t="s">
        <v>440</v>
      </c>
      <c r="C317">
        <v>2021</v>
      </c>
      <c r="D317">
        <v>1</v>
      </c>
      <c r="E317" t="s">
        <v>415</v>
      </c>
      <c r="F317" t="s">
        <v>429</v>
      </c>
      <c r="G317" t="s">
        <v>430</v>
      </c>
      <c r="H317" t="s">
        <v>84</v>
      </c>
      <c r="I317" t="s">
        <v>432</v>
      </c>
      <c r="J317" t="s">
        <v>87</v>
      </c>
      <c r="K317">
        <v>-18113.58035294</v>
      </c>
      <c r="L317" t="s">
        <v>427</v>
      </c>
      <c r="M317" t="s">
        <v>423</v>
      </c>
      <c r="N317">
        <v>0.70986919705586005</v>
      </c>
      <c r="O317">
        <v>12858.272741000001</v>
      </c>
      <c r="P317" t="s">
        <v>421</v>
      </c>
      <c r="Q317">
        <v>1</v>
      </c>
      <c r="V317">
        <v>1</v>
      </c>
      <c r="W317">
        <v>1</v>
      </c>
      <c r="X317">
        <v>1</v>
      </c>
      <c r="Y317">
        <v>1</v>
      </c>
      <c r="Z317">
        <v>12858.272741000001</v>
      </c>
    </row>
    <row r="318" spans="1:26" x14ac:dyDescent="0.25">
      <c r="A318">
        <v>164193</v>
      </c>
      <c r="B318" t="s">
        <v>440</v>
      </c>
      <c r="C318">
        <v>2021</v>
      </c>
      <c r="D318">
        <v>1</v>
      </c>
      <c r="E318" t="s">
        <v>415</v>
      </c>
      <c r="F318" t="s">
        <v>429</v>
      </c>
      <c r="G318" t="s">
        <v>430</v>
      </c>
      <c r="H318" t="s">
        <v>84</v>
      </c>
      <c r="I318" t="s">
        <v>432</v>
      </c>
      <c r="J318" t="s">
        <v>87</v>
      </c>
      <c r="K318">
        <v>-18113.58035294</v>
      </c>
      <c r="L318" t="s">
        <v>427</v>
      </c>
      <c r="M318" t="s">
        <v>425</v>
      </c>
      <c r="N318">
        <v>1.4965642882E-3</v>
      </c>
      <c r="O318">
        <v>27.108136999999999</v>
      </c>
      <c r="P318" t="s">
        <v>421</v>
      </c>
      <c r="Q318">
        <v>1</v>
      </c>
      <c r="V318">
        <v>1</v>
      </c>
      <c r="W318">
        <v>1</v>
      </c>
      <c r="X318">
        <v>1</v>
      </c>
      <c r="Y318">
        <v>1</v>
      </c>
      <c r="Z318">
        <v>27.108136999999999</v>
      </c>
    </row>
    <row r="319" spans="1:26" x14ac:dyDescent="0.25">
      <c r="A319">
        <v>164194</v>
      </c>
      <c r="B319" t="s">
        <v>440</v>
      </c>
      <c r="C319">
        <v>2021</v>
      </c>
      <c r="D319">
        <v>1</v>
      </c>
      <c r="E319" t="s">
        <v>415</v>
      </c>
      <c r="F319" t="s">
        <v>429</v>
      </c>
      <c r="G319" t="s">
        <v>430</v>
      </c>
      <c r="H319" t="s">
        <v>84</v>
      </c>
      <c r="I319" t="s">
        <v>433</v>
      </c>
      <c r="J319" t="s">
        <v>59</v>
      </c>
      <c r="K319">
        <v>-18224.467222629999</v>
      </c>
      <c r="L319" t="s">
        <v>89</v>
      </c>
      <c r="M319" t="s">
        <v>420</v>
      </c>
      <c r="N319">
        <v>0.26343870574139999</v>
      </c>
      <c r="O319">
        <v>4801.0300580000003</v>
      </c>
      <c r="P319" t="s">
        <v>421</v>
      </c>
      <c r="Q319">
        <v>1</v>
      </c>
      <c r="V319">
        <v>1</v>
      </c>
      <c r="W319">
        <v>1</v>
      </c>
      <c r="X319">
        <v>1</v>
      </c>
      <c r="Y319">
        <v>1</v>
      </c>
      <c r="Z319">
        <v>4801.0300580000003</v>
      </c>
    </row>
    <row r="320" spans="1:26" x14ac:dyDescent="0.25">
      <c r="A320">
        <v>164195</v>
      </c>
      <c r="B320" t="s">
        <v>440</v>
      </c>
      <c r="C320">
        <v>2021</v>
      </c>
      <c r="D320">
        <v>1</v>
      </c>
      <c r="E320" t="s">
        <v>415</v>
      </c>
      <c r="F320" t="s">
        <v>429</v>
      </c>
      <c r="G320" t="s">
        <v>430</v>
      </c>
      <c r="H320" t="s">
        <v>84</v>
      </c>
      <c r="I320" t="s">
        <v>433</v>
      </c>
      <c r="J320" t="s">
        <v>59</v>
      </c>
      <c r="K320">
        <v>-18224.467222629999</v>
      </c>
      <c r="L320" t="s">
        <v>89</v>
      </c>
      <c r="M320" t="s">
        <v>422</v>
      </c>
      <c r="N320">
        <v>7.1262429683470005E-2</v>
      </c>
      <c r="O320">
        <v>1298.719814</v>
      </c>
      <c r="P320" t="s">
        <v>421</v>
      </c>
      <c r="Q320">
        <v>1</v>
      </c>
      <c r="V320">
        <v>1</v>
      </c>
      <c r="W320">
        <v>1</v>
      </c>
      <c r="X320">
        <v>1</v>
      </c>
      <c r="Y320">
        <v>1</v>
      </c>
      <c r="Z320">
        <v>1298.719814</v>
      </c>
    </row>
    <row r="321" spans="1:26" x14ac:dyDescent="0.25">
      <c r="A321">
        <v>164196</v>
      </c>
      <c r="B321" t="s">
        <v>440</v>
      </c>
      <c r="C321">
        <v>2021</v>
      </c>
      <c r="D321">
        <v>1</v>
      </c>
      <c r="E321" t="s">
        <v>415</v>
      </c>
      <c r="F321" t="s">
        <v>429</v>
      </c>
      <c r="G321" t="s">
        <v>430</v>
      </c>
      <c r="H321" t="s">
        <v>84</v>
      </c>
      <c r="I321" t="s">
        <v>433</v>
      </c>
      <c r="J321" t="s">
        <v>59</v>
      </c>
      <c r="K321">
        <v>-18224.467222629999</v>
      </c>
      <c r="L321" t="s">
        <v>89</v>
      </c>
      <c r="M321" t="s">
        <v>423</v>
      </c>
      <c r="N321">
        <v>0.74738783869542003</v>
      </c>
      <c r="O321">
        <v>13620.745169</v>
      </c>
      <c r="P321" t="s">
        <v>421</v>
      </c>
      <c r="Q321">
        <v>1</v>
      </c>
      <c r="V321">
        <v>1</v>
      </c>
      <c r="W321">
        <v>1</v>
      </c>
      <c r="X321">
        <v>1</v>
      </c>
      <c r="Y321">
        <v>1</v>
      </c>
      <c r="Z321">
        <v>13620.745169</v>
      </c>
    </row>
    <row r="322" spans="1:26" x14ac:dyDescent="0.25">
      <c r="A322">
        <v>164197</v>
      </c>
      <c r="B322" t="s">
        <v>440</v>
      </c>
      <c r="C322">
        <v>2021</v>
      </c>
      <c r="D322">
        <v>1</v>
      </c>
      <c r="E322" t="s">
        <v>415</v>
      </c>
      <c r="F322" t="s">
        <v>429</v>
      </c>
      <c r="G322" t="s">
        <v>430</v>
      </c>
      <c r="H322" t="s">
        <v>84</v>
      </c>
      <c r="I322" t="s">
        <v>433</v>
      </c>
      <c r="J322" t="s">
        <v>59</v>
      </c>
      <c r="K322">
        <v>-18224.467222629999</v>
      </c>
      <c r="L322" t="s">
        <v>89</v>
      </c>
      <c r="M322" t="s">
        <v>424</v>
      </c>
      <c r="N322">
        <v>3.08071516317E-3</v>
      </c>
      <c r="O322">
        <v>56.144393000000001</v>
      </c>
      <c r="P322" t="s">
        <v>421</v>
      </c>
      <c r="Q322">
        <v>1</v>
      </c>
      <c r="V322">
        <v>1</v>
      </c>
      <c r="W322">
        <v>1</v>
      </c>
      <c r="X322">
        <v>1</v>
      </c>
      <c r="Y322">
        <v>1</v>
      </c>
      <c r="Z322">
        <v>56.144393000000001</v>
      </c>
    </row>
    <row r="323" spans="1:26" x14ac:dyDescent="0.25">
      <c r="A323">
        <v>164198</v>
      </c>
      <c r="B323" t="s">
        <v>440</v>
      </c>
      <c r="C323">
        <v>2021</v>
      </c>
      <c r="D323">
        <v>1</v>
      </c>
      <c r="E323" t="s">
        <v>415</v>
      </c>
      <c r="F323" t="s">
        <v>429</v>
      </c>
      <c r="G323" t="s">
        <v>430</v>
      </c>
      <c r="H323" t="s">
        <v>84</v>
      </c>
      <c r="I323" t="s">
        <v>433</v>
      </c>
      <c r="J323" t="s">
        <v>59</v>
      </c>
      <c r="K323">
        <v>-18224.467222629999</v>
      </c>
      <c r="L323" t="s">
        <v>89</v>
      </c>
      <c r="M323" t="s">
        <v>425</v>
      </c>
      <c r="N323">
        <v>2.5360775708E-3</v>
      </c>
      <c r="O323">
        <v>46.218662999999999</v>
      </c>
      <c r="P323" t="s">
        <v>421</v>
      </c>
      <c r="Q323">
        <v>1</v>
      </c>
      <c r="V323">
        <v>1</v>
      </c>
      <c r="W323">
        <v>1</v>
      </c>
      <c r="X323">
        <v>1</v>
      </c>
      <c r="Y323">
        <v>1</v>
      </c>
      <c r="Z323">
        <v>46.218662999999999</v>
      </c>
    </row>
    <row r="324" spans="1:26" x14ac:dyDescent="0.25">
      <c r="A324">
        <v>164199</v>
      </c>
      <c r="B324" t="s">
        <v>440</v>
      </c>
      <c r="C324">
        <v>2021</v>
      </c>
      <c r="D324">
        <v>1</v>
      </c>
      <c r="E324" t="s">
        <v>415</v>
      </c>
      <c r="F324" t="s">
        <v>434</v>
      </c>
      <c r="G324" t="s">
        <v>435</v>
      </c>
      <c r="H324" t="s">
        <v>84</v>
      </c>
      <c r="I324" t="s">
        <v>436</v>
      </c>
      <c r="J324" t="s">
        <v>419</v>
      </c>
      <c r="K324">
        <v>-36585.214465210003</v>
      </c>
      <c r="L324" t="s">
        <v>85</v>
      </c>
      <c r="M324" t="s">
        <v>420</v>
      </c>
      <c r="N324">
        <v>0.24824931095561001</v>
      </c>
      <c r="O324">
        <v>9082.2542819999999</v>
      </c>
      <c r="P324" t="s">
        <v>421</v>
      </c>
      <c r="Q324">
        <v>1</v>
      </c>
      <c r="V324">
        <v>1</v>
      </c>
      <c r="W324">
        <v>1</v>
      </c>
      <c r="X324">
        <v>1</v>
      </c>
      <c r="Y324">
        <v>1</v>
      </c>
      <c r="Z324">
        <v>9082.2542819999999</v>
      </c>
    </row>
    <row r="325" spans="1:26" x14ac:dyDescent="0.25">
      <c r="A325">
        <v>164200</v>
      </c>
      <c r="B325" t="s">
        <v>440</v>
      </c>
      <c r="C325">
        <v>2021</v>
      </c>
      <c r="D325">
        <v>1</v>
      </c>
      <c r="E325" t="s">
        <v>415</v>
      </c>
      <c r="F325" t="s">
        <v>434</v>
      </c>
      <c r="G325" t="s">
        <v>435</v>
      </c>
      <c r="H325" t="s">
        <v>84</v>
      </c>
      <c r="I325" t="s">
        <v>436</v>
      </c>
      <c r="J325" t="s">
        <v>419</v>
      </c>
      <c r="K325">
        <v>-36585.214465210003</v>
      </c>
      <c r="L325" t="s">
        <v>85</v>
      </c>
      <c r="M325" t="s">
        <v>422</v>
      </c>
      <c r="N325">
        <v>7.7540047892240005E-2</v>
      </c>
      <c r="O325">
        <v>2836.8192819999999</v>
      </c>
      <c r="P325" t="s">
        <v>421</v>
      </c>
      <c r="Q325">
        <v>1</v>
      </c>
      <c r="V325">
        <v>1</v>
      </c>
      <c r="W325">
        <v>1</v>
      </c>
      <c r="X325">
        <v>1</v>
      </c>
      <c r="Y325">
        <v>1</v>
      </c>
      <c r="Z325">
        <v>2836.8192819999999</v>
      </c>
    </row>
    <row r="326" spans="1:26" x14ac:dyDescent="0.25">
      <c r="A326">
        <v>164201</v>
      </c>
      <c r="B326" t="s">
        <v>440</v>
      </c>
      <c r="C326">
        <v>2021</v>
      </c>
      <c r="D326">
        <v>1</v>
      </c>
      <c r="E326" t="s">
        <v>415</v>
      </c>
      <c r="F326" t="s">
        <v>434</v>
      </c>
      <c r="G326" t="s">
        <v>435</v>
      </c>
      <c r="H326" t="s">
        <v>84</v>
      </c>
      <c r="I326" t="s">
        <v>436</v>
      </c>
      <c r="J326" t="s">
        <v>419</v>
      </c>
      <c r="K326">
        <v>-36585.214465210003</v>
      </c>
      <c r="L326" t="s">
        <v>85</v>
      </c>
      <c r="M326" t="s">
        <v>423</v>
      </c>
      <c r="N326">
        <v>0.73979703899049998</v>
      </c>
      <c r="O326">
        <v>27065.633332000001</v>
      </c>
      <c r="P326" t="s">
        <v>421</v>
      </c>
      <c r="Q326">
        <v>1</v>
      </c>
      <c r="V326">
        <v>1</v>
      </c>
      <c r="W326">
        <v>1</v>
      </c>
      <c r="X326">
        <v>1</v>
      </c>
      <c r="Y326">
        <v>1</v>
      </c>
      <c r="Z326">
        <v>27065.633332000001</v>
      </c>
    </row>
    <row r="327" spans="1:26" x14ac:dyDescent="0.25">
      <c r="A327">
        <v>164202</v>
      </c>
      <c r="B327" t="s">
        <v>440</v>
      </c>
      <c r="C327">
        <v>2021</v>
      </c>
      <c r="D327">
        <v>1</v>
      </c>
      <c r="E327" t="s">
        <v>415</v>
      </c>
      <c r="F327" t="s">
        <v>434</v>
      </c>
      <c r="G327" t="s">
        <v>435</v>
      </c>
      <c r="H327" t="s">
        <v>84</v>
      </c>
      <c r="I327" t="s">
        <v>436</v>
      </c>
      <c r="J327" t="s">
        <v>419</v>
      </c>
      <c r="K327">
        <v>-36585.214465210003</v>
      </c>
      <c r="L327" t="s">
        <v>85</v>
      </c>
      <c r="M327" t="s">
        <v>424</v>
      </c>
      <c r="N327">
        <v>2.9085775596699999E-3</v>
      </c>
      <c r="O327">
        <v>106.410934</v>
      </c>
      <c r="P327" t="s">
        <v>421</v>
      </c>
      <c r="Q327">
        <v>1</v>
      </c>
      <c r="V327">
        <v>1</v>
      </c>
      <c r="W327">
        <v>1</v>
      </c>
      <c r="X327">
        <v>1</v>
      </c>
      <c r="Y327">
        <v>1</v>
      </c>
      <c r="Z327">
        <v>106.410934</v>
      </c>
    </row>
    <row r="328" spans="1:26" x14ac:dyDescent="0.25">
      <c r="A328">
        <v>164203</v>
      </c>
      <c r="B328" t="s">
        <v>440</v>
      </c>
      <c r="C328">
        <v>2021</v>
      </c>
      <c r="D328">
        <v>1</v>
      </c>
      <c r="E328" t="s">
        <v>415</v>
      </c>
      <c r="F328" t="s">
        <v>434</v>
      </c>
      <c r="G328" t="s">
        <v>435</v>
      </c>
      <c r="H328" t="s">
        <v>84</v>
      </c>
      <c r="I328" t="s">
        <v>436</v>
      </c>
      <c r="J328" t="s">
        <v>419</v>
      </c>
      <c r="K328">
        <v>-36585.214465210003</v>
      </c>
      <c r="L328" t="s">
        <v>85</v>
      </c>
      <c r="M328" t="s">
        <v>425</v>
      </c>
      <c r="N328">
        <v>2.6170694898000001E-3</v>
      </c>
      <c r="O328">
        <v>95.746048999999999</v>
      </c>
      <c r="P328" t="s">
        <v>421</v>
      </c>
      <c r="Q328">
        <v>1</v>
      </c>
      <c r="V328">
        <v>1</v>
      </c>
      <c r="W328">
        <v>1</v>
      </c>
      <c r="X328">
        <v>1</v>
      </c>
      <c r="Y328">
        <v>1</v>
      </c>
      <c r="Z328">
        <v>95.746048999999999</v>
      </c>
    </row>
    <row r="329" spans="1:26" x14ac:dyDescent="0.25">
      <c r="A329">
        <v>164204</v>
      </c>
      <c r="B329" t="s">
        <v>440</v>
      </c>
      <c r="C329">
        <v>2021</v>
      </c>
      <c r="D329">
        <v>1</v>
      </c>
      <c r="E329" t="s">
        <v>415</v>
      </c>
      <c r="F329" t="s">
        <v>434</v>
      </c>
      <c r="G329" t="s">
        <v>435</v>
      </c>
      <c r="H329" t="s">
        <v>84</v>
      </c>
      <c r="I329" t="s">
        <v>437</v>
      </c>
      <c r="J329" t="s">
        <v>87</v>
      </c>
      <c r="K329">
        <v>-8702.8728330600006</v>
      </c>
      <c r="L329" t="s">
        <v>427</v>
      </c>
      <c r="M329" t="s">
        <v>420</v>
      </c>
      <c r="N329">
        <v>0.45523813654234002</v>
      </c>
      <c r="O329">
        <v>3961.8796109999998</v>
      </c>
      <c r="P329" t="s">
        <v>421</v>
      </c>
      <c r="Q329">
        <v>1</v>
      </c>
      <c r="V329">
        <v>1</v>
      </c>
      <c r="W329">
        <v>1</v>
      </c>
      <c r="X329">
        <v>1</v>
      </c>
      <c r="Y329">
        <v>1</v>
      </c>
      <c r="Z329">
        <v>3961.8796109999998</v>
      </c>
    </row>
    <row r="330" spans="1:26" x14ac:dyDescent="0.25">
      <c r="A330">
        <v>164205</v>
      </c>
      <c r="B330" t="s">
        <v>440</v>
      </c>
      <c r="C330">
        <v>2021</v>
      </c>
      <c r="D330">
        <v>1</v>
      </c>
      <c r="E330" t="s">
        <v>415</v>
      </c>
      <c r="F330" t="s">
        <v>434</v>
      </c>
      <c r="G330" t="s">
        <v>435</v>
      </c>
      <c r="H330" t="s">
        <v>84</v>
      </c>
      <c r="I330" t="s">
        <v>437</v>
      </c>
      <c r="J330" t="s">
        <v>87</v>
      </c>
      <c r="K330">
        <v>-8702.8728330600006</v>
      </c>
      <c r="L330" t="s">
        <v>427</v>
      </c>
      <c r="M330" t="s">
        <v>422</v>
      </c>
      <c r="N330">
        <v>6.8896616392329996E-2</v>
      </c>
      <c r="O330">
        <v>599.59849099999997</v>
      </c>
      <c r="P330" t="s">
        <v>421</v>
      </c>
      <c r="Q330">
        <v>1</v>
      </c>
      <c r="V330">
        <v>1</v>
      </c>
      <c r="W330">
        <v>1</v>
      </c>
      <c r="X330">
        <v>1</v>
      </c>
      <c r="Y330">
        <v>1</v>
      </c>
      <c r="Z330">
        <v>599.59849099999997</v>
      </c>
    </row>
    <row r="331" spans="1:26" x14ac:dyDescent="0.25">
      <c r="A331">
        <v>164206</v>
      </c>
      <c r="B331" t="s">
        <v>440</v>
      </c>
      <c r="C331">
        <v>2021</v>
      </c>
      <c r="D331">
        <v>1</v>
      </c>
      <c r="E331" t="s">
        <v>415</v>
      </c>
      <c r="F331" t="s">
        <v>434</v>
      </c>
      <c r="G331" t="s">
        <v>435</v>
      </c>
      <c r="H331" t="s">
        <v>84</v>
      </c>
      <c r="I331" t="s">
        <v>437</v>
      </c>
      <c r="J331" t="s">
        <v>87</v>
      </c>
      <c r="K331">
        <v>-8702.8728330600006</v>
      </c>
      <c r="L331" t="s">
        <v>427</v>
      </c>
      <c r="M331" t="s">
        <v>423</v>
      </c>
      <c r="N331">
        <v>0.70986919705586005</v>
      </c>
      <c r="O331">
        <v>6177.9013500000001</v>
      </c>
      <c r="P331" t="s">
        <v>421</v>
      </c>
      <c r="Q331">
        <v>1</v>
      </c>
      <c r="V331">
        <v>1</v>
      </c>
      <c r="W331">
        <v>1</v>
      </c>
      <c r="X331">
        <v>1</v>
      </c>
      <c r="Y331">
        <v>1</v>
      </c>
      <c r="Z331">
        <v>6177.9013500000001</v>
      </c>
    </row>
    <row r="332" spans="1:26" x14ac:dyDescent="0.25">
      <c r="A332">
        <v>164207</v>
      </c>
      <c r="B332" t="s">
        <v>440</v>
      </c>
      <c r="C332">
        <v>2021</v>
      </c>
      <c r="D332">
        <v>1</v>
      </c>
      <c r="E332" t="s">
        <v>415</v>
      </c>
      <c r="F332" t="s">
        <v>434</v>
      </c>
      <c r="G332" t="s">
        <v>435</v>
      </c>
      <c r="H332" t="s">
        <v>84</v>
      </c>
      <c r="I332" t="s">
        <v>437</v>
      </c>
      <c r="J332" t="s">
        <v>87</v>
      </c>
      <c r="K332">
        <v>-8702.8728330600006</v>
      </c>
      <c r="L332" t="s">
        <v>427</v>
      </c>
      <c r="M332" t="s">
        <v>425</v>
      </c>
      <c r="N332">
        <v>1.4965642882E-3</v>
      </c>
      <c r="O332">
        <v>13.024409</v>
      </c>
      <c r="P332" t="s">
        <v>421</v>
      </c>
      <c r="Q332">
        <v>1</v>
      </c>
      <c r="V332">
        <v>1</v>
      </c>
      <c r="W332">
        <v>1</v>
      </c>
      <c r="X332">
        <v>1</v>
      </c>
      <c r="Y332">
        <v>1</v>
      </c>
      <c r="Z332">
        <v>13.024409</v>
      </c>
    </row>
    <row r="333" spans="1:26" x14ac:dyDescent="0.25">
      <c r="A333">
        <v>164208</v>
      </c>
      <c r="B333" t="s">
        <v>440</v>
      </c>
      <c r="C333">
        <v>2021</v>
      </c>
      <c r="D333">
        <v>1</v>
      </c>
      <c r="E333" t="s">
        <v>415</v>
      </c>
      <c r="F333" t="s">
        <v>434</v>
      </c>
      <c r="G333" t="s">
        <v>435</v>
      </c>
      <c r="H333" t="s">
        <v>84</v>
      </c>
      <c r="I333" t="s">
        <v>438</v>
      </c>
      <c r="J333" t="s">
        <v>59</v>
      </c>
      <c r="K333">
        <v>-8794.8913230800008</v>
      </c>
      <c r="L333" t="s">
        <v>89</v>
      </c>
      <c r="M333" t="s">
        <v>420</v>
      </c>
      <c r="N333">
        <v>0.26343870574139999</v>
      </c>
      <c r="O333">
        <v>2316.9147870000002</v>
      </c>
      <c r="P333" t="s">
        <v>421</v>
      </c>
      <c r="Q333">
        <v>1</v>
      </c>
      <c r="V333">
        <v>1</v>
      </c>
      <c r="W333">
        <v>1</v>
      </c>
      <c r="X333">
        <v>1</v>
      </c>
      <c r="Y333">
        <v>1</v>
      </c>
      <c r="Z333">
        <v>2316.9147870000002</v>
      </c>
    </row>
    <row r="334" spans="1:26" x14ac:dyDescent="0.25">
      <c r="A334">
        <v>164209</v>
      </c>
      <c r="B334" t="s">
        <v>440</v>
      </c>
      <c r="C334">
        <v>2021</v>
      </c>
      <c r="D334">
        <v>1</v>
      </c>
      <c r="E334" t="s">
        <v>415</v>
      </c>
      <c r="F334" t="s">
        <v>434</v>
      </c>
      <c r="G334" t="s">
        <v>435</v>
      </c>
      <c r="H334" t="s">
        <v>84</v>
      </c>
      <c r="I334" t="s">
        <v>438</v>
      </c>
      <c r="J334" t="s">
        <v>59</v>
      </c>
      <c r="K334">
        <v>-8794.8913230800008</v>
      </c>
      <c r="L334" t="s">
        <v>89</v>
      </c>
      <c r="M334" t="s">
        <v>422</v>
      </c>
      <c r="N334">
        <v>7.1262429683470005E-2</v>
      </c>
      <c r="O334">
        <v>626.74532399999998</v>
      </c>
      <c r="P334" t="s">
        <v>421</v>
      </c>
      <c r="Q334">
        <v>1</v>
      </c>
      <c r="V334">
        <v>1</v>
      </c>
      <c r="W334">
        <v>1</v>
      </c>
      <c r="X334">
        <v>1</v>
      </c>
      <c r="Y334">
        <v>1</v>
      </c>
      <c r="Z334">
        <v>626.74532399999998</v>
      </c>
    </row>
    <row r="335" spans="1:26" x14ac:dyDescent="0.25">
      <c r="A335">
        <v>164210</v>
      </c>
      <c r="B335" t="s">
        <v>440</v>
      </c>
      <c r="C335">
        <v>2021</v>
      </c>
      <c r="D335">
        <v>1</v>
      </c>
      <c r="E335" t="s">
        <v>415</v>
      </c>
      <c r="F335" t="s">
        <v>434</v>
      </c>
      <c r="G335" t="s">
        <v>435</v>
      </c>
      <c r="H335" t="s">
        <v>84</v>
      </c>
      <c r="I335" t="s">
        <v>438</v>
      </c>
      <c r="J335" t="s">
        <v>59</v>
      </c>
      <c r="K335">
        <v>-8794.8913230800008</v>
      </c>
      <c r="L335" t="s">
        <v>89</v>
      </c>
      <c r="M335" t="s">
        <v>423</v>
      </c>
      <c r="N335">
        <v>0.74738783869542003</v>
      </c>
      <c r="O335">
        <v>6573.1948179999999</v>
      </c>
      <c r="P335" t="s">
        <v>421</v>
      </c>
      <c r="Q335">
        <v>1</v>
      </c>
      <c r="V335">
        <v>1</v>
      </c>
      <c r="W335">
        <v>1</v>
      </c>
      <c r="X335">
        <v>1</v>
      </c>
      <c r="Y335">
        <v>1</v>
      </c>
      <c r="Z335">
        <v>6573.1948179999999</v>
      </c>
    </row>
    <row r="336" spans="1:26" x14ac:dyDescent="0.25">
      <c r="A336">
        <v>164211</v>
      </c>
      <c r="B336" t="s">
        <v>440</v>
      </c>
      <c r="C336">
        <v>2021</v>
      </c>
      <c r="D336">
        <v>1</v>
      </c>
      <c r="E336" t="s">
        <v>415</v>
      </c>
      <c r="F336" t="s">
        <v>434</v>
      </c>
      <c r="G336" t="s">
        <v>435</v>
      </c>
      <c r="H336" t="s">
        <v>84</v>
      </c>
      <c r="I336" t="s">
        <v>438</v>
      </c>
      <c r="J336" t="s">
        <v>59</v>
      </c>
      <c r="K336">
        <v>-8794.8913230800008</v>
      </c>
      <c r="L336" t="s">
        <v>89</v>
      </c>
      <c r="M336" t="s">
        <v>424</v>
      </c>
      <c r="N336">
        <v>3.08071516317E-3</v>
      </c>
      <c r="O336">
        <v>27.094555</v>
      </c>
      <c r="P336" t="s">
        <v>421</v>
      </c>
      <c r="Q336">
        <v>1</v>
      </c>
      <c r="V336">
        <v>1</v>
      </c>
      <c r="W336">
        <v>1</v>
      </c>
      <c r="X336">
        <v>1</v>
      </c>
      <c r="Y336">
        <v>1</v>
      </c>
      <c r="Z336">
        <v>27.094555</v>
      </c>
    </row>
    <row r="337" spans="1:26" x14ac:dyDescent="0.25">
      <c r="A337">
        <v>164212</v>
      </c>
      <c r="B337" t="s">
        <v>440</v>
      </c>
      <c r="C337">
        <v>2021</v>
      </c>
      <c r="D337">
        <v>1</v>
      </c>
      <c r="E337" t="s">
        <v>415</v>
      </c>
      <c r="F337" t="s">
        <v>434</v>
      </c>
      <c r="G337" t="s">
        <v>435</v>
      </c>
      <c r="H337" t="s">
        <v>84</v>
      </c>
      <c r="I337" t="s">
        <v>438</v>
      </c>
      <c r="J337" t="s">
        <v>59</v>
      </c>
      <c r="K337">
        <v>-8794.8913230800008</v>
      </c>
      <c r="L337" t="s">
        <v>89</v>
      </c>
      <c r="M337" t="s">
        <v>425</v>
      </c>
      <c r="N337">
        <v>2.5360775708E-3</v>
      </c>
      <c r="O337">
        <v>22.304527</v>
      </c>
      <c r="P337" t="s">
        <v>421</v>
      </c>
      <c r="Q337">
        <v>1</v>
      </c>
      <c r="V337">
        <v>1</v>
      </c>
      <c r="W337">
        <v>1</v>
      </c>
      <c r="X337">
        <v>1</v>
      </c>
      <c r="Y337">
        <v>1</v>
      </c>
      <c r="Z337">
        <v>22.304527</v>
      </c>
    </row>
    <row r="338" spans="1:26" x14ac:dyDescent="0.25">
      <c r="A338">
        <v>6715</v>
      </c>
      <c r="B338" t="s">
        <v>118</v>
      </c>
      <c r="C338">
        <v>2018</v>
      </c>
      <c r="D338">
        <v>1</v>
      </c>
      <c r="E338" t="s">
        <v>415</v>
      </c>
      <c r="F338" t="s">
        <v>416</v>
      </c>
      <c r="G338" t="s">
        <v>417</v>
      </c>
      <c r="H338" t="s">
        <v>84</v>
      </c>
      <c r="I338" t="s">
        <v>418</v>
      </c>
      <c r="J338" t="s">
        <v>419</v>
      </c>
      <c r="K338">
        <v>-17512.25523463</v>
      </c>
      <c r="L338" t="s">
        <v>85</v>
      </c>
      <c r="M338" t="s">
        <v>420</v>
      </c>
      <c r="N338">
        <v>0.24824931095561001</v>
      </c>
      <c r="O338">
        <v>4347.4052949999996</v>
      </c>
      <c r="P338" t="s">
        <v>421</v>
      </c>
      <c r="Q338">
        <v>1</v>
      </c>
      <c r="V338">
        <v>1</v>
      </c>
      <c r="W338">
        <v>1</v>
      </c>
      <c r="X338">
        <v>1</v>
      </c>
      <c r="Y338">
        <v>1</v>
      </c>
      <c r="Z338">
        <v>4347.4052949999996</v>
      </c>
    </row>
    <row r="339" spans="1:26" x14ac:dyDescent="0.25">
      <c r="A339">
        <v>6716</v>
      </c>
      <c r="B339" t="s">
        <v>118</v>
      </c>
      <c r="C339">
        <v>2018</v>
      </c>
      <c r="D339">
        <v>1</v>
      </c>
      <c r="E339" t="s">
        <v>415</v>
      </c>
      <c r="F339" t="s">
        <v>416</v>
      </c>
      <c r="G339" t="s">
        <v>417</v>
      </c>
      <c r="H339" t="s">
        <v>84</v>
      </c>
      <c r="I339" t="s">
        <v>418</v>
      </c>
      <c r="J339" t="s">
        <v>419</v>
      </c>
      <c r="K339">
        <v>-17512.25523463</v>
      </c>
      <c r="L339" t="s">
        <v>85</v>
      </c>
      <c r="M339" t="s">
        <v>422</v>
      </c>
      <c r="N339">
        <v>7.7540047892240005E-2</v>
      </c>
      <c r="O339">
        <v>1357.90111</v>
      </c>
      <c r="P339" t="s">
        <v>421</v>
      </c>
      <c r="Q339">
        <v>1</v>
      </c>
      <c r="V339">
        <v>1</v>
      </c>
      <c r="W339">
        <v>1</v>
      </c>
      <c r="X339">
        <v>1</v>
      </c>
      <c r="Y339">
        <v>1</v>
      </c>
      <c r="Z339">
        <v>1357.90111</v>
      </c>
    </row>
    <row r="340" spans="1:26" x14ac:dyDescent="0.25">
      <c r="A340">
        <v>6717</v>
      </c>
      <c r="B340" t="s">
        <v>118</v>
      </c>
      <c r="C340">
        <v>2018</v>
      </c>
      <c r="D340">
        <v>1</v>
      </c>
      <c r="E340" t="s">
        <v>415</v>
      </c>
      <c r="F340" t="s">
        <v>416</v>
      </c>
      <c r="G340" t="s">
        <v>417</v>
      </c>
      <c r="H340" t="s">
        <v>84</v>
      </c>
      <c r="I340" t="s">
        <v>418</v>
      </c>
      <c r="J340" t="s">
        <v>419</v>
      </c>
      <c r="K340">
        <v>-17512.25523463</v>
      </c>
      <c r="L340" t="s">
        <v>85</v>
      </c>
      <c r="M340" t="s">
        <v>423</v>
      </c>
      <c r="N340">
        <v>0.73979703899049998</v>
      </c>
      <c r="O340">
        <v>12955.514569000001</v>
      </c>
      <c r="P340" t="s">
        <v>421</v>
      </c>
      <c r="Q340">
        <v>1</v>
      </c>
      <c r="V340">
        <v>1</v>
      </c>
      <c r="W340">
        <v>1</v>
      </c>
      <c r="X340">
        <v>1</v>
      </c>
      <c r="Y340">
        <v>1</v>
      </c>
      <c r="Z340">
        <v>12955.514569000001</v>
      </c>
    </row>
    <row r="341" spans="1:26" x14ac:dyDescent="0.25">
      <c r="A341">
        <v>6718</v>
      </c>
      <c r="B341" t="s">
        <v>118</v>
      </c>
      <c r="C341">
        <v>2018</v>
      </c>
      <c r="D341">
        <v>1</v>
      </c>
      <c r="E341" t="s">
        <v>415</v>
      </c>
      <c r="F341" t="s">
        <v>416</v>
      </c>
      <c r="G341" t="s">
        <v>417</v>
      </c>
      <c r="H341" t="s">
        <v>84</v>
      </c>
      <c r="I341" t="s">
        <v>418</v>
      </c>
      <c r="J341" t="s">
        <v>419</v>
      </c>
      <c r="K341">
        <v>-17512.25523463</v>
      </c>
      <c r="L341" t="s">
        <v>85</v>
      </c>
      <c r="M341" t="s">
        <v>424</v>
      </c>
      <c r="N341">
        <v>2.9085775596699999E-3</v>
      </c>
      <c r="O341">
        <v>50.935752999999998</v>
      </c>
      <c r="P341" t="s">
        <v>421</v>
      </c>
      <c r="Q341">
        <v>1</v>
      </c>
      <c r="V341">
        <v>1</v>
      </c>
      <c r="W341">
        <v>1</v>
      </c>
      <c r="X341">
        <v>1</v>
      </c>
      <c r="Y341">
        <v>1</v>
      </c>
      <c r="Z341">
        <v>50.935752999999998</v>
      </c>
    </row>
    <row r="342" spans="1:26" x14ac:dyDescent="0.25">
      <c r="A342">
        <v>6719</v>
      </c>
      <c r="B342" t="s">
        <v>118</v>
      </c>
      <c r="C342">
        <v>2018</v>
      </c>
      <c r="D342">
        <v>1</v>
      </c>
      <c r="E342" t="s">
        <v>415</v>
      </c>
      <c r="F342" t="s">
        <v>416</v>
      </c>
      <c r="G342" t="s">
        <v>417</v>
      </c>
      <c r="H342" t="s">
        <v>84</v>
      </c>
      <c r="I342" t="s">
        <v>418</v>
      </c>
      <c r="J342" t="s">
        <v>419</v>
      </c>
      <c r="K342">
        <v>-17512.25523463</v>
      </c>
      <c r="L342" t="s">
        <v>85</v>
      </c>
      <c r="M342" t="s">
        <v>425</v>
      </c>
      <c r="N342">
        <v>2.6170694898000001E-3</v>
      </c>
      <c r="O342">
        <v>45.830789000000003</v>
      </c>
      <c r="P342" t="s">
        <v>421</v>
      </c>
      <c r="Q342">
        <v>1</v>
      </c>
      <c r="V342">
        <v>1</v>
      </c>
      <c r="W342">
        <v>1</v>
      </c>
      <c r="X342">
        <v>1</v>
      </c>
      <c r="Y342">
        <v>1</v>
      </c>
      <c r="Z342">
        <v>45.830789000000003</v>
      </c>
    </row>
    <row r="343" spans="1:26" x14ac:dyDescent="0.25">
      <c r="A343">
        <v>6720</v>
      </c>
      <c r="B343" t="s">
        <v>118</v>
      </c>
      <c r="C343">
        <v>2018</v>
      </c>
      <c r="D343">
        <v>1</v>
      </c>
      <c r="E343" t="s">
        <v>415</v>
      </c>
      <c r="F343" t="s">
        <v>416</v>
      </c>
      <c r="G343" t="s">
        <v>417</v>
      </c>
      <c r="H343" t="s">
        <v>84</v>
      </c>
      <c r="I343" t="s">
        <v>426</v>
      </c>
      <c r="J343" t="s">
        <v>87</v>
      </c>
      <c r="K343">
        <v>-4088.38116472</v>
      </c>
      <c r="L343" t="s">
        <v>427</v>
      </c>
      <c r="M343" t="s">
        <v>420</v>
      </c>
      <c r="N343">
        <v>0.45523813654234002</v>
      </c>
      <c r="O343">
        <v>1861.187023</v>
      </c>
      <c r="P343" t="s">
        <v>421</v>
      </c>
      <c r="Q343">
        <v>1</v>
      </c>
      <c r="V343">
        <v>1</v>
      </c>
      <c r="W343">
        <v>1</v>
      </c>
      <c r="X343">
        <v>1</v>
      </c>
      <c r="Y343">
        <v>1</v>
      </c>
      <c r="Z343">
        <v>1861.187023</v>
      </c>
    </row>
    <row r="344" spans="1:26" x14ac:dyDescent="0.25">
      <c r="A344">
        <v>6721</v>
      </c>
      <c r="B344" t="s">
        <v>118</v>
      </c>
      <c r="C344">
        <v>2018</v>
      </c>
      <c r="D344">
        <v>1</v>
      </c>
      <c r="E344" t="s">
        <v>415</v>
      </c>
      <c r="F344" t="s">
        <v>416</v>
      </c>
      <c r="G344" t="s">
        <v>417</v>
      </c>
      <c r="H344" t="s">
        <v>84</v>
      </c>
      <c r="I344" t="s">
        <v>426</v>
      </c>
      <c r="J344" t="s">
        <v>87</v>
      </c>
      <c r="K344">
        <v>-4088.38116472</v>
      </c>
      <c r="L344" t="s">
        <v>427</v>
      </c>
      <c r="M344" t="s">
        <v>422</v>
      </c>
      <c r="N344">
        <v>6.8896616392329996E-2</v>
      </c>
      <c r="O344">
        <v>281.67562900000001</v>
      </c>
      <c r="P344" t="s">
        <v>421</v>
      </c>
      <c r="Q344">
        <v>1</v>
      </c>
      <c r="V344">
        <v>1</v>
      </c>
      <c r="W344">
        <v>1</v>
      </c>
      <c r="X344">
        <v>1</v>
      </c>
      <c r="Y344">
        <v>1</v>
      </c>
      <c r="Z344">
        <v>281.67562900000001</v>
      </c>
    </row>
    <row r="345" spans="1:26" x14ac:dyDescent="0.25">
      <c r="A345">
        <v>6722</v>
      </c>
      <c r="B345" t="s">
        <v>118</v>
      </c>
      <c r="C345">
        <v>2018</v>
      </c>
      <c r="D345">
        <v>1</v>
      </c>
      <c r="E345" t="s">
        <v>415</v>
      </c>
      <c r="F345" t="s">
        <v>416</v>
      </c>
      <c r="G345" t="s">
        <v>417</v>
      </c>
      <c r="H345" t="s">
        <v>84</v>
      </c>
      <c r="I345" t="s">
        <v>426</v>
      </c>
      <c r="J345" t="s">
        <v>87</v>
      </c>
      <c r="K345">
        <v>-4088.38116472</v>
      </c>
      <c r="L345" t="s">
        <v>427</v>
      </c>
      <c r="M345" t="s">
        <v>423</v>
      </c>
      <c r="N345">
        <v>0.70986919705586005</v>
      </c>
      <c r="O345">
        <v>2902.2158549999999</v>
      </c>
      <c r="P345" t="s">
        <v>421</v>
      </c>
      <c r="Q345">
        <v>1</v>
      </c>
      <c r="V345">
        <v>1</v>
      </c>
      <c r="W345">
        <v>1</v>
      </c>
      <c r="X345">
        <v>1</v>
      </c>
      <c r="Y345">
        <v>1</v>
      </c>
      <c r="Z345">
        <v>2902.2158549999999</v>
      </c>
    </row>
    <row r="346" spans="1:26" x14ac:dyDescent="0.25">
      <c r="A346">
        <v>6723</v>
      </c>
      <c r="B346" t="s">
        <v>118</v>
      </c>
      <c r="C346">
        <v>2018</v>
      </c>
      <c r="D346">
        <v>1</v>
      </c>
      <c r="E346" t="s">
        <v>415</v>
      </c>
      <c r="F346" t="s">
        <v>416</v>
      </c>
      <c r="G346" t="s">
        <v>417</v>
      </c>
      <c r="H346" t="s">
        <v>84</v>
      </c>
      <c r="I346" t="s">
        <v>426</v>
      </c>
      <c r="J346" t="s">
        <v>87</v>
      </c>
      <c r="K346">
        <v>-4088.38116472</v>
      </c>
      <c r="L346" t="s">
        <v>427</v>
      </c>
      <c r="M346" t="s">
        <v>425</v>
      </c>
      <c r="N346">
        <v>1.4965642882E-3</v>
      </c>
      <c r="O346">
        <v>6.118525</v>
      </c>
      <c r="P346" t="s">
        <v>421</v>
      </c>
      <c r="Q346">
        <v>1</v>
      </c>
      <c r="V346">
        <v>1</v>
      </c>
      <c r="W346">
        <v>1</v>
      </c>
      <c r="X346">
        <v>1</v>
      </c>
      <c r="Y346">
        <v>1</v>
      </c>
      <c r="Z346">
        <v>6.118525</v>
      </c>
    </row>
    <row r="347" spans="1:26" x14ac:dyDescent="0.25">
      <c r="A347">
        <v>6724</v>
      </c>
      <c r="B347" t="s">
        <v>118</v>
      </c>
      <c r="C347">
        <v>2018</v>
      </c>
      <c r="D347">
        <v>1</v>
      </c>
      <c r="E347" t="s">
        <v>415</v>
      </c>
      <c r="F347" t="s">
        <v>416</v>
      </c>
      <c r="G347" t="s">
        <v>417</v>
      </c>
      <c r="H347" t="s">
        <v>84</v>
      </c>
      <c r="I347" t="s">
        <v>428</v>
      </c>
      <c r="J347" t="s">
        <v>59</v>
      </c>
      <c r="K347">
        <v>-6611.7187140899996</v>
      </c>
      <c r="L347" t="s">
        <v>89</v>
      </c>
      <c r="M347" t="s">
        <v>420</v>
      </c>
      <c r="N347">
        <v>0.26343870574139999</v>
      </c>
      <c r="O347">
        <v>1741.7826210000001</v>
      </c>
      <c r="P347" t="s">
        <v>421</v>
      </c>
      <c r="Q347">
        <v>1</v>
      </c>
      <c r="V347">
        <v>1</v>
      </c>
      <c r="W347">
        <v>1</v>
      </c>
      <c r="X347">
        <v>1</v>
      </c>
      <c r="Y347">
        <v>1</v>
      </c>
      <c r="Z347">
        <v>1741.7826210000001</v>
      </c>
    </row>
    <row r="348" spans="1:26" x14ac:dyDescent="0.25">
      <c r="A348">
        <v>6725</v>
      </c>
      <c r="B348" t="s">
        <v>118</v>
      </c>
      <c r="C348">
        <v>2018</v>
      </c>
      <c r="D348">
        <v>1</v>
      </c>
      <c r="E348" t="s">
        <v>415</v>
      </c>
      <c r="F348" t="s">
        <v>416</v>
      </c>
      <c r="G348" t="s">
        <v>417</v>
      </c>
      <c r="H348" t="s">
        <v>84</v>
      </c>
      <c r="I348" t="s">
        <v>428</v>
      </c>
      <c r="J348" t="s">
        <v>59</v>
      </c>
      <c r="K348">
        <v>-6611.7187140899996</v>
      </c>
      <c r="L348" t="s">
        <v>89</v>
      </c>
      <c r="M348" t="s">
        <v>422</v>
      </c>
      <c r="N348">
        <v>7.1262429683470005E-2</v>
      </c>
      <c r="O348">
        <v>471.16714000000002</v>
      </c>
      <c r="P348" t="s">
        <v>421</v>
      </c>
      <c r="Q348">
        <v>1</v>
      </c>
      <c r="V348">
        <v>1</v>
      </c>
      <c r="W348">
        <v>1</v>
      </c>
      <c r="X348">
        <v>1</v>
      </c>
      <c r="Y348">
        <v>1</v>
      </c>
      <c r="Z348">
        <v>471.16714000000002</v>
      </c>
    </row>
    <row r="349" spans="1:26" x14ac:dyDescent="0.25">
      <c r="A349">
        <v>6726</v>
      </c>
      <c r="B349" t="s">
        <v>118</v>
      </c>
      <c r="C349">
        <v>2018</v>
      </c>
      <c r="D349">
        <v>1</v>
      </c>
      <c r="E349" t="s">
        <v>415</v>
      </c>
      <c r="F349" t="s">
        <v>416</v>
      </c>
      <c r="G349" t="s">
        <v>417</v>
      </c>
      <c r="H349" t="s">
        <v>84</v>
      </c>
      <c r="I349" t="s">
        <v>428</v>
      </c>
      <c r="J349" t="s">
        <v>59</v>
      </c>
      <c r="K349">
        <v>-6611.7187140899996</v>
      </c>
      <c r="L349" t="s">
        <v>89</v>
      </c>
      <c r="M349" t="s">
        <v>423</v>
      </c>
      <c r="N349">
        <v>0.74738783869542003</v>
      </c>
      <c r="O349">
        <v>4941.5181599999996</v>
      </c>
      <c r="P349" t="s">
        <v>421</v>
      </c>
      <c r="Q349">
        <v>1</v>
      </c>
      <c r="V349">
        <v>1</v>
      </c>
      <c r="W349">
        <v>1</v>
      </c>
      <c r="X349">
        <v>1</v>
      </c>
      <c r="Y349">
        <v>1</v>
      </c>
      <c r="Z349">
        <v>4941.5181599999996</v>
      </c>
    </row>
    <row r="350" spans="1:26" x14ac:dyDescent="0.25">
      <c r="A350">
        <v>6727</v>
      </c>
      <c r="B350" t="s">
        <v>118</v>
      </c>
      <c r="C350">
        <v>2018</v>
      </c>
      <c r="D350">
        <v>1</v>
      </c>
      <c r="E350" t="s">
        <v>415</v>
      </c>
      <c r="F350" t="s">
        <v>416</v>
      </c>
      <c r="G350" t="s">
        <v>417</v>
      </c>
      <c r="H350" t="s">
        <v>84</v>
      </c>
      <c r="I350" t="s">
        <v>428</v>
      </c>
      <c r="J350" t="s">
        <v>59</v>
      </c>
      <c r="K350">
        <v>-6611.7187140899996</v>
      </c>
      <c r="L350" t="s">
        <v>89</v>
      </c>
      <c r="M350" t="s">
        <v>424</v>
      </c>
      <c r="N350">
        <v>3.08071516317E-3</v>
      </c>
      <c r="O350">
        <v>20.368822000000002</v>
      </c>
      <c r="P350" t="s">
        <v>421</v>
      </c>
      <c r="Q350">
        <v>1</v>
      </c>
      <c r="V350">
        <v>1</v>
      </c>
      <c r="W350">
        <v>1</v>
      </c>
      <c r="X350">
        <v>1</v>
      </c>
      <c r="Y350">
        <v>1</v>
      </c>
      <c r="Z350">
        <v>20.368822000000002</v>
      </c>
    </row>
    <row r="351" spans="1:26" x14ac:dyDescent="0.25">
      <c r="A351">
        <v>6728</v>
      </c>
      <c r="B351" t="s">
        <v>118</v>
      </c>
      <c r="C351">
        <v>2018</v>
      </c>
      <c r="D351">
        <v>1</v>
      </c>
      <c r="E351" t="s">
        <v>415</v>
      </c>
      <c r="F351" t="s">
        <v>416</v>
      </c>
      <c r="G351" t="s">
        <v>417</v>
      </c>
      <c r="H351" t="s">
        <v>84</v>
      </c>
      <c r="I351" t="s">
        <v>428</v>
      </c>
      <c r="J351" t="s">
        <v>59</v>
      </c>
      <c r="K351">
        <v>-6611.7187140899996</v>
      </c>
      <c r="L351" t="s">
        <v>89</v>
      </c>
      <c r="M351" t="s">
        <v>425</v>
      </c>
      <c r="N351">
        <v>2.5360775708E-3</v>
      </c>
      <c r="O351">
        <v>16.767831999999999</v>
      </c>
      <c r="P351" t="s">
        <v>421</v>
      </c>
      <c r="Q351">
        <v>1</v>
      </c>
      <c r="V351">
        <v>1</v>
      </c>
      <c r="W351">
        <v>1</v>
      </c>
      <c r="X351">
        <v>1</v>
      </c>
      <c r="Y351">
        <v>1</v>
      </c>
      <c r="Z351">
        <v>16.767831999999999</v>
      </c>
    </row>
    <row r="352" spans="1:26" x14ac:dyDescent="0.25">
      <c r="A352">
        <v>6729</v>
      </c>
      <c r="B352" t="s">
        <v>118</v>
      </c>
      <c r="C352">
        <v>2018</v>
      </c>
      <c r="D352">
        <v>1</v>
      </c>
      <c r="E352" t="s">
        <v>415</v>
      </c>
      <c r="F352" t="s">
        <v>429</v>
      </c>
      <c r="G352" t="s">
        <v>430</v>
      </c>
      <c r="H352" t="s">
        <v>84</v>
      </c>
      <c r="I352" t="s">
        <v>431</v>
      </c>
      <c r="J352" t="s">
        <v>419</v>
      </c>
      <c r="K352">
        <v>-25242.24030931</v>
      </c>
      <c r="L352" t="s">
        <v>85</v>
      </c>
      <c r="M352" t="s">
        <v>420</v>
      </c>
      <c r="N352">
        <v>0.24824931095561001</v>
      </c>
      <c r="O352">
        <v>6266.3687639999998</v>
      </c>
      <c r="P352" t="s">
        <v>421</v>
      </c>
      <c r="Q352">
        <v>1</v>
      </c>
      <c r="V352">
        <v>1</v>
      </c>
      <c r="W352">
        <v>1</v>
      </c>
      <c r="X352">
        <v>1</v>
      </c>
      <c r="Y352">
        <v>1</v>
      </c>
      <c r="Z352">
        <v>6266.3687639999998</v>
      </c>
    </row>
    <row r="353" spans="1:26" x14ac:dyDescent="0.25">
      <c r="A353">
        <v>6730</v>
      </c>
      <c r="B353" t="s">
        <v>118</v>
      </c>
      <c r="C353">
        <v>2018</v>
      </c>
      <c r="D353">
        <v>1</v>
      </c>
      <c r="E353" t="s">
        <v>415</v>
      </c>
      <c r="F353" t="s">
        <v>429</v>
      </c>
      <c r="G353" t="s">
        <v>430</v>
      </c>
      <c r="H353" t="s">
        <v>84</v>
      </c>
      <c r="I353" t="s">
        <v>431</v>
      </c>
      <c r="J353" t="s">
        <v>419</v>
      </c>
      <c r="K353">
        <v>-25242.24030931</v>
      </c>
      <c r="L353" t="s">
        <v>85</v>
      </c>
      <c r="M353" t="s">
        <v>422</v>
      </c>
      <c r="N353">
        <v>7.7540047892240005E-2</v>
      </c>
      <c r="O353">
        <v>1957.2845219999999</v>
      </c>
      <c r="P353" t="s">
        <v>421</v>
      </c>
      <c r="Q353">
        <v>1</v>
      </c>
      <c r="V353">
        <v>1</v>
      </c>
      <c r="W353">
        <v>1</v>
      </c>
      <c r="X353">
        <v>1</v>
      </c>
      <c r="Y353">
        <v>1</v>
      </c>
      <c r="Z353">
        <v>1957.2845219999999</v>
      </c>
    </row>
    <row r="354" spans="1:26" x14ac:dyDescent="0.25">
      <c r="A354">
        <v>6731</v>
      </c>
      <c r="B354" t="s">
        <v>118</v>
      </c>
      <c r="C354">
        <v>2018</v>
      </c>
      <c r="D354">
        <v>1</v>
      </c>
      <c r="E354" t="s">
        <v>415</v>
      </c>
      <c r="F354" t="s">
        <v>429</v>
      </c>
      <c r="G354" t="s">
        <v>430</v>
      </c>
      <c r="H354" t="s">
        <v>84</v>
      </c>
      <c r="I354" t="s">
        <v>431</v>
      </c>
      <c r="J354" t="s">
        <v>419</v>
      </c>
      <c r="K354">
        <v>-25242.24030931</v>
      </c>
      <c r="L354" t="s">
        <v>85</v>
      </c>
      <c r="M354" t="s">
        <v>423</v>
      </c>
      <c r="N354">
        <v>0.73979703899049998</v>
      </c>
      <c r="O354">
        <v>18674.134638</v>
      </c>
      <c r="P354" t="s">
        <v>421</v>
      </c>
      <c r="Q354">
        <v>1</v>
      </c>
      <c r="V354">
        <v>1</v>
      </c>
      <c r="W354">
        <v>1</v>
      </c>
      <c r="X354">
        <v>1</v>
      </c>
      <c r="Y354">
        <v>1</v>
      </c>
      <c r="Z354">
        <v>18674.134638</v>
      </c>
    </row>
    <row r="355" spans="1:26" x14ac:dyDescent="0.25">
      <c r="A355">
        <v>6732</v>
      </c>
      <c r="B355" t="s">
        <v>118</v>
      </c>
      <c r="C355">
        <v>2018</v>
      </c>
      <c r="D355">
        <v>1</v>
      </c>
      <c r="E355" t="s">
        <v>415</v>
      </c>
      <c r="F355" t="s">
        <v>429</v>
      </c>
      <c r="G355" t="s">
        <v>430</v>
      </c>
      <c r="H355" t="s">
        <v>84</v>
      </c>
      <c r="I355" t="s">
        <v>431</v>
      </c>
      <c r="J355" t="s">
        <v>419</v>
      </c>
      <c r="K355">
        <v>-25242.24030931</v>
      </c>
      <c r="L355" t="s">
        <v>85</v>
      </c>
      <c r="M355" t="s">
        <v>424</v>
      </c>
      <c r="N355">
        <v>2.9085775596699999E-3</v>
      </c>
      <c r="O355">
        <v>73.419014000000004</v>
      </c>
      <c r="P355" t="s">
        <v>421</v>
      </c>
      <c r="Q355">
        <v>1</v>
      </c>
      <c r="V355">
        <v>1</v>
      </c>
      <c r="W355">
        <v>1</v>
      </c>
      <c r="X355">
        <v>1</v>
      </c>
      <c r="Y355">
        <v>1</v>
      </c>
      <c r="Z355">
        <v>73.419014000000004</v>
      </c>
    </row>
    <row r="356" spans="1:26" x14ac:dyDescent="0.25">
      <c r="A356">
        <v>6733</v>
      </c>
      <c r="B356" t="s">
        <v>118</v>
      </c>
      <c r="C356">
        <v>2018</v>
      </c>
      <c r="D356">
        <v>1</v>
      </c>
      <c r="E356" t="s">
        <v>415</v>
      </c>
      <c r="F356" t="s">
        <v>429</v>
      </c>
      <c r="G356" t="s">
        <v>430</v>
      </c>
      <c r="H356" t="s">
        <v>84</v>
      </c>
      <c r="I356" t="s">
        <v>431</v>
      </c>
      <c r="J356" t="s">
        <v>419</v>
      </c>
      <c r="K356">
        <v>-25242.24030931</v>
      </c>
      <c r="L356" t="s">
        <v>85</v>
      </c>
      <c r="M356" t="s">
        <v>425</v>
      </c>
      <c r="N356">
        <v>2.6170694898000001E-3</v>
      </c>
      <c r="O356">
        <v>66.060697000000005</v>
      </c>
      <c r="P356" t="s">
        <v>421</v>
      </c>
      <c r="Q356">
        <v>1</v>
      </c>
      <c r="V356">
        <v>1</v>
      </c>
      <c r="W356">
        <v>1</v>
      </c>
      <c r="X356">
        <v>1</v>
      </c>
      <c r="Y356">
        <v>1</v>
      </c>
      <c r="Z356">
        <v>66.060697000000005</v>
      </c>
    </row>
    <row r="357" spans="1:26" x14ac:dyDescent="0.25">
      <c r="A357">
        <v>6734</v>
      </c>
      <c r="B357" t="s">
        <v>118</v>
      </c>
      <c r="C357">
        <v>2018</v>
      </c>
      <c r="D357">
        <v>1</v>
      </c>
      <c r="E357" t="s">
        <v>415</v>
      </c>
      <c r="F357" t="s">
        <v>429</v>
      </c>
      <c r="G357" t="s">
        <v>430</v>
      </c>
      <c r="H357" t="s">
        <v>84</v>
      </c>
      <c r="I357" t="s">
        <v>432</v>
      </c>
      <c r="J357" t="s">
        <v>87</v>
      </c>
      <c r="K357">
        <v>-6021.2592051800002</v>
      </c>
      <c r="L357" t="s">
        <v>427</v>
      </c>
      <c r="M357" t="s">
        <v>420</v>
      </c>
      <c r="N357">
        <v>0.45523813654234002</v>
      </c>
      <c r="O357">
        <v>2741.10682</v>
      </c>
      <c r="P357" t="s">
        <v>421</v>
      </c>
      <c r="Q357">
        <v>1</v>
      </c>
      <c r="V357">
        <v>1</v>
      </c>
      <c r="W357">
        <v>1</v>
      </c>
      <c r="X357">
        <v>1</v>
      </c>
      <c r="Y357">
        <v>1</v>
      </c>
      <c r="Z357">
        <v>2741.10682</v>
      </c>
    </row>
    <row r="358" spans="1:26" x14ac:dyDescent="0.25">
      <c r="A358">
        <v>6735</v>
      </c>
      <c r="B358" t="s">
        <v>118</v>
      </c>
      <c r="C358">
        <v>2018</v>
      </c>
      <c r="D358">
        <v>1</v>
      </c>
      <c r="E358" t="s">
        <v>415</v>
      </c>
      <c r="F358" t="s">
        <v>429</v>
      </c>
      <c r="G358" t="s">
        <v>430</v>
      </c>
      <c r="H358" t="s">
        <v>84</v>
      </c>
      <c r="I358" t="s">
        <v>432</v>
      </c>
      <c r="J358" t="s">
        <v>87</v>
      </c>
      <c r="K358">
        <v>-6021.2592051800002</v>
      </c>
      <c r="L358" t="s">
        <v>427</v>
      </c>
      <c r="M358" t="s">
        <v>422</v>
      </c>
      <c r="N358">
        <v>6.8896616392329996E-2</v>
      </c>
      <c r="O358">
        <v>414.84438599999999</v>
      </c>
      <c r="P358" t="s">
        <v>421</v>
      </c>
      <c r="Q358">
        <v>1</v>
      </c>
      <c r="V358">
        <v>1</v>
      </c>
      <c r="W358">
        <v>1</v>
      </c>
      <c r="X358">
        <v>1</v>
      </c>
      <c r="Y358">
        <v>1</v>
      </c>
      <c r="Z358">
        <v>414.84438599999999</v>
      </c>
    </row>
    <row r="359" spans="1:26" x14ac:dyDescent="0.25">
      <c r="A359">
        <v>6736</v>
      </c>
      <c r="B359" t="s">
        <v>118</v>
      </c>
      <c r="C359">
        <v>2018</v>
      </c>
      <c r="D359">
        <v>1</v>
      </c>
      <c r="E359" t="s">
        <v>415</v>
      </c>
      <c r="F359" t="s">
        <v>429</v>
      </c>
      <c r="G359" t="s">
        <v>430</v>
      </c>
      <c r="H359" t="s">
        <v>84</v>
      </c>
      <c r="I359" t="s">
        <v>432</v>
      </c>
      <c r="J359" t="s">
        <v>87</v>
      </c>
      <c r="K359">
        <v>-6021.2592051800002</v>
      </c>
      <c r="L359" t="s">
        <v>427</v>
      </c>
      <c r="M359" t="s">
        <v>423</v>
      </c>
      <c r="N359">
        <v>0.70986919705586005</v>
      </c>
      <c r="O359">
        <v>4274.3064370000002</v>
      </c>
      <c r="P359" t="s">
        <v>421</v>
      </c>
      <c r="Q359">
        <v>1</v>
      </c>
      <c r="V359">
        <v>1</v>
      </c>
      <c r="W359">
        <v>1</v>
      </c>
      <c r="X359">
        <v>1</v>
      </c>
      <c r="Y359">
        <v>1</v>
      </c>
      <c r="Z359">
        <v>4274.3064370000002</v>
      </c>
    </row>
    <row r="360" spans="1:26" x14ac:dyDescent="0.25">
      <c r="A360">
        <v>6737</v>
      </c>
      <c r="B360" t="s">
        <v>118</v>
      </c>
      <c r="C360">
        <v>2018</v>
      </c>
      <c r="D360">
        <v>1</v>
      </c>
      <c r="E360" t="s">
        <v>415</v>
      </c>
      <c r="F360" t="s">
        <v>429</v>
      </c>
      <c r="G360" t="s">
        <v>430</v>
      </c>
      <c r="H360" t="s">
        <v>84</v>
      </c>
      <c r="I360" t="s">
        <v>432</v>
      </c>
      <c r="J360" t="s">
        <v>87</v>
      </c>
      <c r="K360">
        <v>-6021.2592051800002</v>
      </c>
      <c r="L360" t="s">
        <v>427</v>
      </c>
      <c r="M360" t="s">
        <v>425</v>
      </c>
      <c r="N360">
        <v>1.4965642882E-3</v>
      </c>
      <c r="O360">
        <v>9.0112009999999998</v>
      </c>
      <c r="P360" t="s">
        <v>421</v>
      </c>
      <c r="Q360">
        <v>1</v>
      </c>
      <c r="V360">
        <v>1</v>
      </c>
      <c r="W360">
        <v>1</v>
      </c>
      <c r="X360">
        <v>1</v>
      </c>
      <c r="Y360">
        <v>1</v>
      </c>
      <c r="Z360">
        <v>9.0112009999999998</v>
      </c>
    </row>
    <row r="361" spans="1:26" x14ac:dyDescent="0.25">
      <c r="A361">
        <v>6738</v>
      </c>
      <c r="B361" t="s">
        <v>118</v>
      </c>
      <c r="C361">
        <v>2018</v>
      </c>
      <c r="D361">
        <v>1</v>
      </c>
      <c r="E361" t="s">
        <v>415</v>
      </c>
      <c r="F361" t="s">
        <v>429</v>
      </c>
      <c r="G361" t="s">
        <v>430</v>
      </c>
      <c r="H361" t="s">
        <v>84</v>
      </c>
      <c r="I361" t="s">
        <v>433</v>
      </c>
      <c r="J361" t="s">
        <v>59</v>
      </c>
      <c r="K361">
        <v>-8685.75394185</v>
      </c>
      <c r="L361" t="s">
        <v>89</v>
      </c>
      <c r="M361" t="s">
        <v>420</v>
      </c>
      <c r="N361">
        <v>0.26343870574139999</v>
      </c>
      <c r="O361">
        <v>2288.1637770000002</v>
      </c>
      <c r="P361" t="s">
        <v>421</v>
      </c>
      <c r="Q361">
        <v>1</v>
      </c>
      <c r="V361">
        <v>1</v>
      </c>
      <c r="W361">
        <v>1</v>
      </c>
      <c r="X361">
        <v>1</v>
      </c>
      <c r="Y361">
        <v>1</v>
      </c>
      <c r="Z361">
        <v>2288.1637770000002</v>
      </c>
    </row>
    <row r="362" spans="1:26" x14ac:dyDescent="0.25">
      <c r="A362">
        <v>6739</v>
      </c>
      <c r="B362" t="s">
        <v>118</v>
      </c>
      <c r="C362">
        <v>2018</v>
      </c>
      <c r="D362">
        <v>1</v>
      </c>
      <c r="E362" t="s">
        <v>415</v>
      </c>
      <c r="F362" t="s">
        <v>429</v>
      </c>
      <c r="G362" t="s">
        <v>430</v>
      </c>
      <c r="H362" t="s">
        <v>84</v>
      </c>
      <c r="I362" t="s">
        <v>433</v>
      </c>
      <c r="J362" t="s">
        <v>59</v>
      </c>
      <c r="K362">
        <v>-8685.75394185</v>
      </c>
      <c r="L362" t="s">
        <v>89</v>
      </c>
      <c r="M362" t="s">
        <v>422</v>
      </c>
      <c r="N362">
        <v>7.1262429683470005E-2</v>
      </c>
      <c r="O362">
        <v>618.96793000000002</v>
      </c>
      <c r="P362" t="s">
        <v>421</v>
      </c>
      <c r="Q362">
        <v>1</v>
      </c>
      <c r="V362">
        <v>1</v>
      </c>
      <c r="W362">
        <v>1</v>
      </c>
      <c r="X362">
        <v>1</v>
      </c>
      <c r="Y362">
        <v>1</v>
      </c>
      <c r="Z362">
        <v>618.96793000000002</v>
      </c>
    </row>
    <row r="363" spans="1:26" x14ac:dyDescent="0.25">
      <c r="A363">
        <v>6740</v>
      </c>
      <c r="B363" t="s">
        <v>118</v>
      </c>
      <c r="C363">
        <v>2018</v>
      </c>
      <c r="D363">
        <v>1</v>
      </c>
      <c r="E363" t="s">
        <v>415</v>
      </c>
      <c r="F363" t="s">
        <v>429</v>
      </c>
      <c r="G363" t="s">
        <v>430</v>
      </c>
      <c r="H363" t="s">
        <v>84</v>
      </c>
      <c r="I363" t="s">
        <v>433</v>
      </c>
      <c r="J363" t="s">
        <v>59</v>
      </c>
      <c r="K363">
        <v>-8685.75394185</v>
      </c>
      <c r="L363" t="s">
        <v>89</v>
      </c>
      <c r="M363" t="s">
        <v>423</v>
      </c>
      <c r="N363">
        <v>0.74738783869542003</v>
      </c>
      <c r="O363">
        <v>6491.6268659999996</v>
      </c>
      <c r="P363" t="s">
        <v>421</v>
      </c>
      <c r="Q363">
        <v>1</v>
      </c>
      <c r="V363">
        <v>1</v>
      </c>
      <c r="W363">
        <v>1</v>
      </c>
      <c r="X363">
        <v>1</v>
      </c>
      <c r="Y363">
        <v>1</v>
      </c>
      <c r="Z363">
        <v>6491.6268659999996</v>
      </c>
    </row>
    <row r="364" spans="1:26" x14ac:dyDescent="0.25">
      <c r="A364">
        <v>6741</v>
      </c>
      <c r="B364" t="s">
        <v>118</v>
      </c>
      <c r="C364">
        <v>2018</v>
      </c>
      <c r="D364">
        <v>1</v>
      </c>
      <c r="E364" t="s">
        <v>415</v>
      </c>
      <c r="F364" t="s">
        <v>429</v>
      </c>
      <c r="G364" t="s">
        <v>430</v>
      </c>
      <c r="H364" t="s">
        <v>84</v>
      </c>
      <c r="I364" t="s">
        <v>433</v>
      </c>
      <c r="J364" t="s">
        <v>59</v>
      </c>
      <c r="K364">
        <v>-8685.75394185</v>
      </c>
      <c r="L364" t="s">
        <v>89</v>
      </c>
      <c r="M364" t="s">
        <v>424</v>
      </c>
      <c r="N364">
        <v>3.08071516317E-3</v>
      </c>
      <c r="O364">
        <v>26.758334000000001</v>
      </c>
      <c r="P364" t="s">
        <v>421</v>
      </c>
      <c r="Q364">
        <v>1</v>
      </c>
      <c r="V364">
        <v>1</v>
      </c>
      <c r="W364">
        <v>1</v>
      </c>
      <c r="X364">
        <v>1</v>
      </c>
      <c r="Y364">
        <v>1</v>
      </c>
      <c r="Z364">
        <v>26.758334000000001</v>
      </c>
    </row>
    <row r="365" spans="1:26" x14ac:dyDescent="0.25">
      <c r="A365">
        <v>6742</v>
      </c>
      <c r="B365" t="s">
        <v>118</v>
      </c>
      <c r="C365">
        <v>2018</v>
      </c>
      <c r="D365">
        <v>1</v>
      </c>
      <c r="E365" t="s">
        <v>415</v>
      </c>
      <c r="F365" t="s">
        <v>429</v>
      </c>
      <c r="G365" t="s">
        <v>430</v>
      </c>
      <c r="H365" t="s">
        <v>84</v>
      </c>
      <c r="I365" t="s">
        <v>433</v>
      </c>
      <c r="J365" t="s">
        <v>59</v>
      </c>
      <c r="K365">
        <v>-8685.75394185</v>
      </c>
      <c r="L365" t="s">
        <v>89</v>
      </c>
      <c r="M365" t="s">
        <v>425</v>
      </c>
      <c r="N365">
        <v>2.5360775708E-3</v>
      </c>
      <c r="O365">
        <v>22.027746</v>
      </c>
      <c r="P365" t="s">
        <v>421</v>
      </c>
      <c r="Q365">
        <v>1</v>
      </c>
      <c r="V365">
        <v>1</v>
      </c>
      <c r="W365">
        <v>1</v>
      </c>
      <c r="X365">
        <v>1</v>
      </c>
      <c r="Y365">
        <v>1</v>
      </c>
      <c r="Z365">
        <v>22.027746</v>
      </c>
    </row>
    <row r="366" spans="1:26" x14ac:dyDescent="0.25">
      <c r="A366">
        <v>6743</v>
      </c>
      <c r="B366" t="s">
        <v>118</v>
      </c>
      <c r="C366">
        <v>2018</v>
      </c>
      <c r="D366">
        <v>1</v>
      </c>
      <c r="E366" t="s">
        <v>415</v>
      </c>
      <c r="F366" t="s">
        <v>434</v>
      </c>
      <c r="G366" t="s">
        <v>435</v>
      </c>
      <c r="H366" t="s">
        <v>84</v>
      </c>
      <c r="I366" t="s">
        <v>436</v>
      </c>
      <c r="J366" t="s">
        <v>419</v>
      </c>
      <c r="K366">
        <v>-12859.721239709999</v>
      </c>
      <c r="L366" t="s">
        <v>85</v>
      </c>
      <c r="M366" t="s">
        <v>420</v>
      </c>
      <c r="N366">
        <v>0.24824931095561001</v>
      </c>
      <c r="O366">
        <v>3192.416937</v>
      </c>
      <c r="P366" t="s">
        <v>421</v>
      </c>
      <c r="Q366">
        <v>1</v>
      </c>
      <c r="V366">
        <v>1</v>
      </c>
      <c r="W366">
        <v>1</v>
      </c>
      <c r="X366">
        <v>1</v>
      </c>
      <c r="Y366">
        <v>1</v>
      </c>
      <c r="Z366">
        <v>3192.416937</v>
      </c>
    </row>
    <row r="367" spans="1:26" x14ac:dyDescent="0.25">
      <c r="A367">
        <v>6744</v>
      </c>
      <c r="B367" t="s">
        <v>118</v>
      </c>
      <c r="C367">
        <v>2018</v>
      </c>
      <c r="D367">
        <v>1</v>
      </c>
      <c r="E367" t="s">
        <v>415</v>
      </c>
      <c r="F367" t="s">
        <v>434</v>
      </c>
      <c r="G367" t="s">
        <v>435</v>
      </c>
      <c r="H367" t="s">
        <v>84</v>
      </c>
      <c r="I367" t="s">
        <v>436</v>
      </c>
      <c r="J367" t="s">
        <v>419</v>
      </c>
      <c r="K367">
        <v>-12859.721239709999</v>
      </c>
      <c r="L367" t="s">
        <v>85</v>
      </c>
      <c r="M367" t="s">
        <v>422</v>
      </c>
      <c r="N367">
        <v>7.7540047892240005E-2</v>
      </c>
      <c r="O367">
        <v>997.14340100000004</v>
      </c>
      <c r="P367" t="s">
        <v>421</v>
      </c>
      <c r="Q367">
        <v>1</v>
      </c>
      <c r="V367">
        <v>1</v>
      </c>
      <c r="W367">
        <v>1</v>
      </c>
      <c r="X367">
        <v>1</v>
      </c>
      <c r="Y367">
        <v>1</v>
      </c>
      <c r="Z367">
        <v>997.14340100000004</v>
      </c>
    </row>
    <row r="368" spans="1:26" x14ac:dyDescent="0.25">
      <c r="A368">
        <v>6745</v>
      </c>
      <c r="B368" t="s">
        <v>118</v>
      </c>
      <c r="C368">
        <v>2018</v>
      </c>
      <c r="D368">
        <v>1</v>
      </c>
      <c r="E368" t="s">
        <v>415</v>
      </c>
      <c r="F368" t="s">
        <v>434</v>
      </c>
      <c r="G368" t="s">
        <v>435</v>
      </c>
      <c r="H368" t="s">
        <v>84</v>
      </c>
      <c r="I368" t="s">
        <v>436</v>
      </c>
      <c r="J368" t="s">
        <v>419</v>
      </c>
      <c r="K368">
        <v>-12859.721239709999</v>
      </c>
      <c r="L368" t="s">
        <v>85</v>
      </c>
      <c r="M368" t="s">
        <v>423</v>
      </c>
      <c r="N368">
        <v>0.73979703899049998</v>
      </c>
      <c r="O368">
        <v>9513.5836949999994</v>
      </c>
      <c r="P368" t="s">
        <v>421</v>
      </c>
      <c r="Q368">
        <v>1</v>
      </c>
      <c r="V368">
        <v>1</v>
      </c>
      <c r="W368">
        <v>1</v>
      </c>
      <c r="X368">
        <v>1</v>
      </c>
      <c r="Y368">
        <v>1</v>
      </c>
      <c r="Z368">
        <v>9513.5836949999994</v>
      </c>
    </row>
    <row r="369" spans="1:26" x14ac:dyDescent="0.25">
      <c r="A369">
        <v>6746</v>
      </c>
      <c r="B369" t="s">
        <v>118</v>
      </c>
      <c r="C369">
        <v>2018</v>
      </c>
      <c r="D369">
        <v>1</v>
      </c>
      <c r="E369" t="s">
        <v>415</v>
      </c>
      <c r="F369" t="s">
        <v>434</v>
      </c>
      <c r="G369" t="s">
        <v>435</v>
      </c>
      <c r="H369" t="s">
        <v>84</v>
      </c>
      <c r="I369" t="s">
        <v>436</v>
      </c>
      <c r="J369" t="s">
        <v>419</v>
      </c>
      <c r="K369">
        <v>-12859.721239709999</v>
      </c>
      <c r="L369" t="s">
        <v>85</v>
      </c>
      <c r="M369" t="s">
        <v>424</v>
      </c>
      <c r="N369">
        <v>2.9085775596699999E-3</v>
      </c>
      <c r="O369">
        <v>37.403497000000002</v>
      </c>
      <c r="P369" t="s">
        <v>421</v>
      </c>
      <c r="Q369">
        <v>1</v>
      </c>
      <c r="V369">
        <v>1</v>
      </c>
      <c r="W369">
        <v>1</v>
      </c>
      <c r="X369">
        <v>1</v>
      </c>
      <c r="Y369">
        <v>1</v>
      </c>
      <c r="Z369">
        <v>37.403497000000002</v>
      </c>
    </row>
    <row r="370" spans="1:26" x14ac:dyDescent="0.25">
      <c r="A370">
        <v>6747</v>
      </c>
      <c r="B370" t="s">
        <v>118</v>
      </c>
      <c r="C370">
        <v>2018</v>
      </c>
      <c r="D370">
        <v>1</v>
      </c>
      <c r="E370" t="s">
        <v>415</v>
      </c>
      <c r="F370" t="s">
        <v>434</v>
      </c>
      <c r="G370" t="s">
        <v>435</v>
      </c>
      <c r="H370" t="s">
        <v>84</v>
      </c>
      <c r="I370" t="s">
        <v>436</v>
      </c>
      <c r="J370" t="s">
        <v>419</v>
      </c>
      <c r="K370">
        <v>-12859.721239709999</v>
      </c>
      <c r="L370" t="s">
        <v>85</v>
      </c>
      <c r="M370" t="s">
        <v>425</v>
      </c>
      <c r="N370">
        <v>2.6170694898000001E-3</v>
      </c>
      <c r="O370">
        <v>33.654783999999999</v>
      </c>
      <c r="P370" t="s">
        <v>421</v>
      </c>
      <c r="Q370">
        <v>1</v>
      </c>
      <c r="V370">
        <v>1</v>
      </c>
      <c r="W370">
        <v>1</v>
      </c>
      <c r="X370">
        <v>1</v>
      </c>
      <c r="Y370">
        <v>1</v>
      </c>
      <c r="Z370">
        <v>33.654783999999999</v>
      </c>
    </row>
    <row r="371" spans="1:26" x14ac:dyDescent="0.25">
      <c r="A371">
        <v>6748</v>
      </c>
      <c r="B371" t="s">
        <v>118</v>
      </c>
      <c r="C371">
        <v>2018</v>
      </c>
      <c r="D371">
        <v>1</v>
      </c>
      <c r="E371" t="s">
        <v>415</v>
      </c>
      <c r="F371" t="s">
        <v>434</v>
      </c>
      <c r="G371" t="s">
        <v>435</v>
      </c>
      <c r="H371" t="s">
        <v>84</v>
      </c>
      <c r="I371" t="s">
        <v>437</v>
      </c>
      <c r="J371" t="s">
        <v>87</v>
      </c>
      <c r="K371">
        <v>-2860.4814342300001</v>
      </c>
      <c r="L371" t="s">
        <v>427</v>
      </c>
      <c r="M371" t="s">
        <v>420</v>
      </c>
      <c r="N371">
        <v>0.45523813654234002</v>
      </c>
      <c r="O371">
        <v>1302.2002379999999</v>
      </c>
      <c r="P371" t="s">
        <v>421</v>
      </c>
      <c r="Q371">
        <v>1</v>
      </c>
      <c r="V371">
        <v>1</v>
      </c>
      <c r="W371">
        <v>1</v>
      </c>
      <c r="X371">
        <v>1</v>
      </c>
      <c r="Y371">
        <v>1</v>
      </c>
      <c r="Z371">
        <v>1302.2002379999999</v>
      </c>
    </row>
    <row r="372" spans="1:26" x14ac:dyDescent="0.25">
      <c r="A372">
        <v>6749</v>
      </c>
      <c r="B372" t="s">
        <v>118</v>
      </c>
      <c r="C372">
        <v>2018</v>
      </c>
      <c r="D372">
        <v>1</v>
      </c>
      <c r="E372" t="s">
        <v>415</v>
      </c>
      <c r="F372" t="s">
        <v>434</v>
      </c>
      <c r="G372" t="s">
        <v>435</v>
      </c>
      <c r="H372" t="s">
        <v>84</v>
      </c>
      <c r="I372" t="s">
        <v>437</v>
      </c>
      <c r="J372" t="s">
        <v>87</v>
      </c>
      <c r="K372">
        <v>-2860.4814342300001</v>
      </c>
      <c r="L372" t="s">
        <v>427</v>
      </c>
      <c r="M372" t="s">
        <v>422</v>
      </c>
      <c r="N372">
        <v>6.8896616392329996E-2</v>
      </c>
      <c r="O372">
        <v>197.07749200000001</v>
      </c>
      <c r="P372" t="s">
        <v>421</v>
      </c>
      <c r="Q372">
        <v>1</v>
      </c>
      <c r="V372">
        <v>1</v>
      </c>
      <c r="W372">
        <v>1</v>
      </c>
      <c r="X372">
        <v>1</v>
      </c>
      <c r="Y372">
        <v>1</v>
      </c>
      <c r="Z372">
        <v>197.07749200000001</v>
      </c>
    </row>
    <row r="373" spans="1:26" x14ac:dyDescent="0.25">
      <c r="A373">
        <v>6750</v>
      </c>
      <c r="B373" t="s">
        <v>118</v>
      </c>
      <c r="C373">
        <v>2018</v>
      </c>
      <c r="D373">
        <v>1</v>
      </c>
      <c r="E373" t="s">
        <v>415</v>
      </c>
      <c r="F373" t="s">
        <v>434</v>
      </c>
      <c r="G373" t="s">
        <v>435</v>
      </c>
      <c r="H373" t="s">
        <v>84</v>
      </c>
      <c r="I373" t="s">
        <v>437</v>
      </c>
      <c r="J373" t="s">
        <v>87</v>
      </c>
      <c r="K373">
        <v>-2860.4814342300001</v>
      </c>
      <c r="L373" t="s">
        <v>427</v>
      </c>
      <c r="M373" t="s">
        <v>423</v>
      </c>
      <c r="N373">
        <v>0.70986919705586005</v>
      </c>
      <c r="O373">
        <v>2030.567659</v>
      </c>
      <c r="P373" t="s">
        <v>421</v>
      </c>
      <c r="Q373">
        <v>1</v>
      </c>
      <c r="V373">
        <v>1</v>
      </c>
      <c r="W373">
        <v>1</v>
      </c>
      <c r="X373">
        <v>1</v>
      </c>
      <c r="Y373">
        <v>1</v>
      </c>
      <c r="Z373">
        <v>2030.567659</v>
      </c>
    </row>
    <row r="374" spans="1:26" x14ac:dyDescent="0.25">
      <c r="A374">
        <v>6751</v>
      </c>
      <c r="B374" t="s">
        <v>118</v>
      </c>
      <c r="C374">
        <v>2018</v>
      </c>
      <c r="D374">
        <v>1</v>
      </c>
      <c r="E374" t="s">
        <v>415</v>
      </c>
      <c r="F374" t="s">
        <v>434</v>
      </c>
      <c r="G374" t="s">
        <v>435</v>
      </c>
      <c r="H374" t="s">
        <v>84</v>
      </c>
      <c r="I374" t="s">
        <v>437</v>
      </c>
      <c r="J374" t="s">
        <v>87</v>
      </c>
      <c r="K374">
        <v>-2860.4814342300001</v>
      </c>
      <c r="L374" t="s">
        <v>427</v>
      </c>
      <c r="M374" t="s">
        <v>425</v>
      </c>
      <c r="N374">
        <v>1.4965642882E-3</v>
      </c>
      <c r="O374">
        <v>4.280894</v>
      </c>
      <c r="P374" t="s">
        <v>421</v>
      </c>
      <c r="Q374">
        <v>1</v>
      </c>
      <c r="V374">
        <v>1</v>
      </c>
      <c r="W374">
        <v>1</v>
      </c>
      <c r="X374">
        <v>1</v>
      </c>
      <c r="Y374">
        <v>1</v>
      </c>
      <c r="Z374">
        <v>4.280894</v>
      </c>
    </row>
    <row r="375" spans="1:26" x14ac:dyDescent="0.25">
      <c r="A375">
        <v>6752</v>
      </c>
      <c r="B375" t="s">
        <v>118</v>
      </c>
      <c r="C375">
        <v>2018</v>
      </c>
      <c r="D375">
        <v>1</v>
      </c>
      <c r="E375" t="s">
        <v>415</v>
      </c>
      <c r="F375" t="s">
        <v>434</v>
      </c>
      <c r="G375" t="s">
        <v>435</v>
      </c>
      <c r="H375" t="s">
        <v>84</v>
      </c>
      <c r="I375" t="s">
        <v>438</v>
      </c>
      <c r="J375" t="s">
        <v>59</v>
      </c>
      <c r="K375">
        <v>-4661.9672419799999</v>
      </c>
      <c r="L375" t="s">
        <v>89</v>
      </c>
      <c r="M375" t="s">
        <v>420</v>
      </c>
      <c r="N375">
        <v>0.26343870574139999</v>
      </c>
      <c r="O375">
        <v>1228.1426160000001</v>
      </c>
      <c r="P375" t="s">
        <v>421</v>
      </c>
      <c r="Q375">
        <v>1</v>
      </c>
      <c r="V375">
        <v>1</v>
      </c>
      <c r="W375">
        <v>1</v>
      </c>
      <c r="X375">
        <v>1</v>
      </c>
      <c r="Y375">
        <v>1</v>
      </c>
      <c r="Z375">
        <v>1228.1426160000001</v>
      </c>
    </row>
    <row r="376" spans="1:26" x14ac:dyDescent="0.25">
      <c r="A376">
        <v>6753</v>
      </c>
      <c r="B376" t="s">
        <v>118</v>
      </c>
      <c r="C376">
        <v>2018</v>
      </c>
      <c r="D376">
        <v>1</v>
      </c>
      <c r="E376" t="s">
        <v>415</v>
      </c>
      <c r="F376" t="s">
        <v>434</v>
      </c>
      <c r="G376" t="s">
        <v>435</v>
      </c>
      <c r="H376" t="s">
        <v>84</v>
      </c>
      <c r="I376" t="s">
        <v>438</v>
      </c>
      <c r="J376" t="s">
        <v>59</v>
      </c>
      <c r="K376">
        <v>-4661.9672419799999</v>
      </c>
      <c r="L376" t="s">
        <v>89</v>
      </c>
      <c r="M376" t="s">
        <v>422</v>
      </c>
      <c r="N376">
        <v>7.1262429683470005E-2</v>
      </c>
      <c r="O376">
        <v>332.22311300000001</v>
      </c>
      <c r="P376" t="s">
        <v>421</v>
      </c>
      <c r="Q376">
        <v>1</v>
      </c>
      <c r="V376">
        <v>1</v>
      </c>
      <c r="W376">
        <v>1</v>
      </c>
      <c r="X376">
        <v>1</v>
      </c>
      <c r="Y376">
        <v>1</v>
      </c>
      <c r="Z376">
        <v>332.22311300000001</v>
      </c>
    </row>
    <row r="377" spans="1:26" x14ac:dyDescent="0.25">
      <c r="A377">
        <v>6754</v>
      </c>
      <c r="B377" t="s">
        <v>118</v>
      </c>
      <c r="C377">
        <v>2018</v>
      </c>
      <c r="D377">
        <v>1</v>
      </c>
      <c r="E377" t="s">
        <v>415</v>
      </c>
      <c r="F377" t="s">
        <v>434</v>
      </c>
      <c r="G377" t="s">
        <v>435</v>
      </c>
      <c r="H377" t="s">
        <v>84</v>
      </c>
      <c r="I377" t="s">
        <v>438</v>
      </c>
      <c r="J377" t="s">
        <v>59</v>
      </c>
      <c r="K377">
        <v>-4661.9672419799999</v>
      </c>
      <c r="L377" t="s">
        <v>89</v>
      </c>
      <c r="M377" t="s">
        <v>423</v>
      </c>
      <c r="N377">
        <v>0.74738783869542003</v>
      </c>
      <c r="O377">
        <v>3484.2976210000002</v>
      </c>
      <c r="P377" t="s">
        <v>421</v>
      </c>
      <c r="Q377">
        <v>1</v>
      </c>
      <c r="V377">
        <v>1</v>
      </c>
      <c r="W377">
        <v>1</v>
      </c>
      <c r="X377">
        <v>1</v>
      </c>
      <c r="Y377">
        <v>1</v>
      </c>
      <c r="Z377">
        <v>3484.2976210000002</v>
      </c>
    </row>
    <row r="378" spans="1:26" x14ac:dyDescent="0.25">
      <c r="A378">
        <v>6755</v>
      </c>
      <c r="B378" t="s">
        <v>118</v>
      </c>
      <c r="C378">
        <v>2018</v>
      </c>
      <c r="D378">
        <v>1</v>
      </c>
      <c r="E378" t="s">
        <v>415</v>
      </c>
      <c r="F378" t="s">
        <v>434</v>
      </c>
      <c r="G378" t="s">
        <v>435</v>
      </c>
      <c r="H378" t="s">
        <v>84</v>
      </c>
      <c r="I378" t="s">
        <v>438</v>
      </c>
      <c r="J378" t="s">
        <v>59</v>
      </c>
      <c r="K378">
        <v>-4661.9672419799999</v>
      </c>
      <c r="L378" t="s">
        <v>89</v>
      </c>
      <c r="M378" t="s">
        <v>424</v>
      </c>
      <c r="N378">
        <v>3.08071516317E-3</v>
      </c>
      <c r="O378">
        <v>14.362193</v>
      </c>
      <c r="P378" t="s">
        <v>421</v>
      </c>
      <c r="Q378">
        <v>1</v>
      </c>
      <c r="V378">
        <v>1</v>
      </c>
      <c r="W378">
        <v>1</v>
      </c>
      <c r="X378">
        <v>1</v>
      </c>
      <c r="Y378">
        <v>1</v>
      </c>
      <c r="Z378">
        <v>14.362193</v>
      </c>
    </row>
    <row r="379" spans="1:26" x14ac:dyDescent="0.25">
      <c r="A379">
        <v>6756</v>
      </c>
      <c r="B379" t="s">
        <v>118</v>
      </c>
      <c r="C379">
        <v>2018</v>
      </c>
      <c r="D379">
        <v>1</v>
      </c>
      <c r="E379" t="s">
        <v>415</v>
      </c>
      <c r="F379" t="s">
        <v>434</v>
      </c>
      <c r="G379" t="s">
        <v>435</v>
      </c>
      <c r="H379" t="s">
        <v>84</v>
      </c>
      <c r="I379" t="s">
        <v>438</v>
      </c>
      <c r="J379" t="s">
        <v>59</v>
      </c>
      <c r="K379">
        <v>-4661.9672419799999</v>
      </c>
      <c r="L379" t="s">
        <v>89</v>
      </c>
      <c r="M379" t="s">
        <v>425</v>
      </c>
      <c r="N379">
        <v>2.5360775708E-3</v>
      </c>
      <c r="O379">
        <v>11.823111000000001</v>
      </c>
      <c r="P379" t="s">
        <v>421</v>
      </c>
      <c r="Q379">
        <v>1</v>
      </c>
      <c r="V379">
        <v>1</v>
      </c>
      <c r="W379">
        <v>1</v>
      </c>
      <c r="X379">
        <v>1</v>
      </c>
      <c r="Y379">
        <v>1</v>
      </c>
      <c r="Z379">
        <v>11.823111000000001</v>
      </c>
    </row>
    <row r="380" spans="1:26" x14ac:dyDescent="0.25">
      <c r="A380">
        <v>59311</v>
      </c>
      <c r="B380" t="s">
        <v>149</v>
      </c>
      <c r="C380">
        <v>2019</v>
      </c>
      <c r="D380">
        <v>1</v>
      </c>
      <c r="E380" t="s">
        <v>415</v>
      </c>
      <c r="F380" t="s">
        <v>416</v>
      </c>
      <c r="G380" t="s">
        <v>417</v>
      </c>
      <c r="H380" t="s">
        <v>84</v>
      </c>
      <c r="I380" t="s">
        <v>418</v>
      </c>
      <c r="J380" t="s">
        <v>419</v>
      </c>
      <c r="K380">
        <v>-29716.074057680002</v>
      </c>
      <c r="L380" t="s">
        <v>85</v>
      </c>
      <c r="M380" t="s">
        <v>420</v>
      </c>
      <c r="N380">
        <v>0.24824931095561001</v>
      </c>
      <c r="O380">
        <v>7376.994909</v>
      </c>
      <c r="P380" t="s">
        <v>421</v>
      </c>
      <c r="Q380">
        <v>1</v>
      </c>
      <c r="V380">
        <v>1</v>
      </c>
      <c r="W380">
        <v>1</v>
      </c>
      <c r="X380">
        <v>1</v>
      </c>
      <c r="Y380">
        <v>1</v>
      </c>
      <c r="Z380">
        <v>7376.994909</v>
      </c>
    </row>
    <row r="381" spans="1:26" x14ac:dyDescent="0.25">
      <c r="A381">
        <v>59312</v>
      </c>
      <c r="B381" t="s">
        <v>149</v>
      </c>
      <c r="C381">
        <v>2019</v>
      </c>
      <c r="D381">
        <v>1</v>
      </c>
      <c r="E381" t="s">
        <v>415</v>
      </c>
      <c r="F381" t="s">
        <v>416</v>
      </c>
      <c r="G381" t="s">
        <v>417</v>
      </c>
      <c r="H381" t="s">
        <v>84</v>
      </c>
      <c r="I381" t="s">
        <v>418</v>
      </c>
      <c r="J381" t="s">
        <v>419</v>
      </c>
      <c r="K381">
        <v>-29716.074057680002</v>
      </c>
      <c r="L381" t="s">
        <v>85</v>
      </c>
      <c r="M381" t="s">
        <v>422</v>
      </c>
      <c r="N381">
        <v>7.7540047892240005E-2</v>
      </c>
      <c r="O381">
        <v>2304.185806</v>
      </c>
      <c r="P381" t="s">
        <v>421</v>
      </c>
      <c r="Q381">
        <v>1</v>
      </c>
      <c r="V381">
        <v>1</v>
      </c>
      <c r="W381">
        <v>1</v>
      </c>
      <c r="X381">
        <v>1</v>
      </c>
      <c r="Y381">
        <v>1</v>
      </c>
      <c r="Z381">
        <v>2304.185806</v>
      </c>
    </row>
    <row r="382" spans="1:26" x14ac:dyDescent="0.25">
      <c r="A382">
        <v>59313</v>
      </c>
      <c r="B382" t="s">
        <v>149</v>
      </c>
      <c r="C382">
        <v>2019</v>
      </c>
      <c r="D382">
        <v>1</v>
      </c>
      <c r="E382" t="s">
        <v>415</v>
      </c>
      <c r="F382" t="s">
        <v>416</v>
      </c>
      <c r="G382" t="s">
        <v>417</v>
      </c>
      <c r="H382" t="s">
        <v>84</v>
      </c>
      <c r="I382" t="s">
        <v>418</v>
      </c>
      <c r="J382" t="s">
        <v>419</v>
      </c>
      <c r="K382">
        <v>-29716.074057680002</v>
      </c>
      <c r="L382" t="s">
        <v>85</v>
      </c>
      <c r="M382" t="s">
        <v>423</v>
      </c>
      <c r="N382">
        <v>0.73979703899049998</v>
      </c>
      <c r="O382">
        <v>21983.863598</v>
      </c>
      <c r="P382" t="s">
        <v>421</v>
      </c>
      <c r="Q382">
        <v>1</v>
      </c>
      <c r="V382">
        <v>1</v>
      </c>
      <c r="W382">
        <v>1</v>
      </c>
      <c r="X382">
        <v>1</v>
      </c>
      <c r="Y382">
        <v>1</v>
      </c>
      <c r="Z382">
        <v>21983.863598</v>
      </c>
    </row>
    <row r="383" spans="1:26" x14ac:dyDescent="0.25">
      <c r="A383">
        <v>59314</v>
      </c>
      <c r="B383" t="s">
        <v>149</v>
      </c>
      <c r="C383">
        <v>2019</v>
      </c>
      <c r="D383">
        <v>1</v>
      </c>
      <c r="E383" t="s">
        <v>415</v>
      </c>
      <c r="F383" t="s">
        <v>416</v>
      </c>
      <c r="G383" t="s">
        <v>417</v>
      </c>
      <c r="H383" t="s">
        <v>84</v>
      </c>
      <c r="I383" t="s">
        <v>418</v>
      </c>
      <c r="J383" t="s">
        <v>419</v>
      </c>
      <c r="K383">
        <v>-29716.074057680002</v>
      </c>
      <c r="L383" t="s">
        <v>85</v>
      </c>
      <c r="M383" t="s">
        <v>424</v>
      </c>
      <c r="N383">
        <v>2.9085775596699999E-3</v>
      </c>
      <c r="O383">
        <v>86.431505999999999</v>
      </c>
      <c r="P383" t="s">
        <v>421</v>
      </c>
      <c r="Q383">
        <v>1</v>
      </c>
      <c r="V383">
        <v>1</v>
      </c>
      <c r="W383">
        <v>1</v>
      </c>
      <c r="X383">
        <v>1</v>
      </c>
      <c r="Y383">
        <v>1</v>
      </c>
      <c r="Z383">
        <v>86.431505999999999</v>
      </c>
    </row>
    <row r="384" spans="1:26" x14ac:dyDescent="0.25">
      <c r="A384">
        <v>59315</v>
      </c>
      <c r="B384" t="s">
        <v>149</v>
      </c>
      <c r="C384">
        <v>2019</v>
      </c>
      <c r="D384">
        <v>1</v>
      </c>
      <c r="E384" t="s">
        <v>415</v>
      </c>
      <c r="F384" t="s">
        <v>416</v>
      </c>
      <c r="G384" t="s">
        <v>417</v>
      </c>
      <c r="H384" t="s">
        <v>84</v>
      </c>
      <c r="I384" t="s">
        <v>418</v>
      </c>
      <c r="J384" t="s">
        <v>419</v>
      </c>
      <c r="K384">
        <v>-29716.074057680002</v>
      </c>
      <c r="L384" t="s">
        <v>85</v>
      </c>
      <c r="M384" t="s">
        <v>425</v>
      </c>
      <c r="N384">
        <v>2.6170694898000001E-3</v>
      </c>
      <c r="O384">
        <v>77.769030999999998</v>
      </c>
      <c r="P384" t="s">
        <v>421</v>
      </c>
      <c r="Q384">
        <v>1</v>
      </c>
      <c r="V384">
        <v>1</v>
      </c>
      <c r="W384">
        <v>1</v>
      </c>
      <c r="X384">
        <v>1</v>
      </c>
      <c r="Y384">
        <v>1</v>
      </c>
      <c r="Z384">
        <v>77.769030999999998</v>
      </c>
    </row>
    <row r="385" spans="1:26" x14ac:dyDescent="0.25">
      <c r="A385">
        <v>59316</v>
      </c>
      <c r="B385" t="s">
        <v>149</v>
      </c>
      <c r="C385">
        <v>2019</v>
      </c>
      <c r="D385">
        <v>1</v>
      </c>
      <c r="E385" t="s">
        <v>415</v>
      </c>
      <c r="F385" t="s">
        <v>416</v>
      </c>
      <c r="G385" t="s">
        <v>417</v>
      </c>
      <c r="H385" t="s">
        <v>84</v>
      </c>
      <c r="I385" t="s">
        <v>426</v>
      </c>
      <c r="J385" t="s">
        <v>87</v>
      </c>
      <c r="K385">
        <v>-8205.7885361299996</v>
      </c>
      <c r="L385" t="s">
        <v>427</v>
      </c>
      <c r="M385" t="s">
        <v>420</v>
      </c>
      <c r="N385">
        <v>0.45523813654234002</v>
      </c>
      <c r="O385">
        <v>3735.5878819999998</v>
      </c>
      <c r="P385" t="s">
        <v>421</v>
      </c>
      <c r="Q385">
        <v>1</v>
      </c>
      <c r="V385">
        <v>1</v>
      </c>
      <c r="W385">
        <v>1</v>
      </c>
      <c r="X385">
        <v>1</v>
      </c>
      <c r="Y385">
        <v>1</v>
      </c>
      <c r="Z385">
        <v>3735.5878819999998</v>
      </c>
    </row>
    <row r="386" spans="1:26" x14ac:dyDescent="0.25">
      <c r="A386">
        <v>59317</v>
      </c>
      <c r="B386" t="s">
        <v>149</v>
      </c>
      <c r="C386">
        <v>2019</v>
      </c>
      <c r="D386">
        <v>1</v>
      </c>
      <c r="E386" t="s">
        <v>415</v>
      </c>
      <c r="F386" t="s">
        <v>416</v>
      </c>
      <c r="G386" t="s">
        <v>417</v>
      </c>
      <c r="H386" t="s">
        <v>84</v>
      </c>
      <c r="I386" t="s">
        <v>426</v>
      </c>
      <c r="J386" t="s">
        <v>87</v>
      </c>
      <c r="K386">
        <v>-8205.7885361299996</v>
      </c>
      <c r="L386" t="s">
        <v>427</v>
      </c>
      <c r="M386" t="s">
        <v>422</v>
      </c>
      <c r="N386">
        <v>6.8896616392329996E-2</v>
      </c>
      <c r="O386">
        <v>565.35106499999995</v>
      </c>
      <c r="P386" t="s">
        <v>421</v>
      </c>
      <c r="Q386">
        <v>1</v>
      </c>
      <c r="V386">
        <v>1</v>
      </c>
      <c r="W386">
        <v>1</v>
      </c>
      <c r="X386">
        <v>1</v>
      </c>
      <c r="Y386">
        <v>1</v>
      </c>
      <c r="Z386">
        <v>565.35106499999995</v>
      </c>
    </row>
    <row r="387" spans="1:26" x14ac:dyDescent="0.25">
      <c r="A387">
        <v>59318</v>
      </c>
      <c r="B387" t="s">
        <v>149</v>
      </c>
      <c r="C387">
        <v>2019</v>
      </c>
      <c r="D387">
        <v>1</v>
      </c>
      <c r="E387" t="s">
        <v>415</v>
      </c>
      <c r="F387" t="s">
        <v>416</v>
      </c>
      <c r="G387" t="s">
        <v>417</v>
      </c>
      <c r="H387" t="s">
        <v>84</v>
      </c>
      <c r="I387" t="s">
        <v>426</v>
      </c>
      <c r="J387" t="s">
        <v>87</v>
      </c>
      <c r="K387">
        <v>-8205.7885361299996</v>
      </c>
      <c r="L387" t="s">
        <v>427</v>
      </c>
      <c r="M387" t="s">
        <v>423</v>
      </c>
      <c r="N387">
        <v>0.70986919705586005</v>
      </c>
      <c r="O387">
        <v>5825.0365190000002</v>
      </c>
      <c r="P387" t="s">
        <v>421</v>
      </c>
      <c r="Q387">
        <v>1</v>
      </c>
      <c r="V387">
        <v>1</v>
      </c>
      <c r="W387">
        <v>1</v>
      </c>
      <c r="X387">
        <v>1</v>
      </c>
      <c r="Y387">
        <v>1</v>
      </c>
      <c r="Z387">
        <v>5825.0365190000002</v>
      </c>
    </row>
    <row r="388" spans="1:26" x14ac:dyDescent="0.25">
      <c r="A388">
        <v>59319</v>
      </c>
      <c r="B388" t="s">
        <v>149</v>
      </c>
      <c r="C388">
        <v>2019</v>
      </c>
      <c r="D388">
        <v>1</v>
      </c>
      <c r="E388" t="s">
        <v>415</v>
      </c>
      <c r="F388" t="s">
        <v>416</v>
      </c>
      <c r="G388" t="s">
        <v>417</v>
      </c>
      <c r="H388" t="s">
        <v>84</v>
      </c>
      <c r="I388" t="s">
        <v>426</v>
      </c>
      <c r="J388" t="s">
        <v>87</v>
      </c>
      <c r="K388">
        <v>-8205.7885361299996</v>
      </c>
      <c r="L388" t="s">
        <v>427</v>
      </c>
      <c r="M388" t="s">
        <v>425</v>
      </c>
      <c r="N388">
        <v>1.4965642882E-3</v>
      </c>
      <c r="O388">
        <v>12.28049</v>
      </c>
      <c r="P388" t="s">
        <v>421</v>
      </c>
      <c r="Q388">
        <v>1</v>
      </c>
      <c r="V388">
        <v>1</v>
      </c>
      <c r="W388">
        <v>1</v>
      </c>
      <c r="X388">
        <v>1</v>
      </c>
      <c r="Y388">
        <v>1</v>
      </c>
      <c r="Z388">
        <v>12.28049</v>
      </c>
    </row>
    <row r="389" spans="1:26" x14ac:dyDescent="0.25">
      <c r="A389">
        <v>59320</v>
      </c>
      <c r="B389" t="s">
        <v>149</v>
      </c>
      <c r="C389">
        <v>2019</v>
      </c>
      <c r="D389">
        <v>1</v>
      </c>
      <c r="E389" t="s">
        <v>415</v>
      </c>
      <c r="F389" t="s">
        <v>416</v>
      </c>
      <c r="G389" t="s">
        <v>417</v>
      </c>
      <c r="H389" t="s">
        <v>84</v>
      </c>
      <c r="I389" t="s">
        <v>428</v>
      </c>
      <c r="J389" t="s">
        <v>59</v>
      </c>
      <c r="K389">
        <v>-15672.69570359</v>
      </c>
      <c r="L389" t="s">
        <v>89</v>
      </c>
      <c r="M389" t="s">
        <v>420</v>
      </c>
      <c r="N389">
        <v>0.26343870574139999</v>
      </c>
      <c r="O389">
        <v>4128.794672</v>
      </c>
      <c r="P389" t="s">
        <v>421</v>
      </c>
      <c r="Q389">
        <v>1</v>
      </c>
      <c r="V389">
        <v>1</v>
      </c>
      <c r="W389">
        <v>1</v>
      </c>
      <c r="X389">
        <v>1</v>
      </c>
      <c r="Y389">
        <v>1</v>
      </c>
      <c r="Z389">
        <v>4128.794672</v>
      </c>
    </row>
    <row r="390" spans="1:26" x14ac:dyDescent="0.25">
      <c r="A390">
        <v>59321</v>
      </c>
      <c r="B390" t="s">
        <v>149</v>
      </c>
      <c r="C390">
        <v>2019</v>
      </c>
      <c r="D390">
        <v>1</v>
      </c>
      <c r="E390" t="s">
        <v>415</v>
      </c>
      <c r="F390" t="s">
        <v>416</v>
      </c>
      <c r="G390" t="s">
        <v>417</v>
      </c>
      <c r="H390" t="s">
        <v>84</v>
      </c>
      <c r="I390" t="s">
        <v>428</v>
      </c>
      <c r="J390" t="s">
        <v>59</v>
      </c>
      <c r="K390">
        <v>-15672.69570359</v>
      </c>
      <c r="L390" t="s">
        <v>89</v>
      </c>
      <c r="M390" t="s">
        <v>422</v>
      </c>
      <c r="N390">
        <v>7.1262429683470005E-2</v>
      </c>
      <c r="O390">
        <v>1116.874376</v>
      </c>
      <c r="P390" t="s">
        <v>421</v>
      </c>
      <c r="Q390">
        <v>1</v>
      </c>
      <c r="V390">
        <v>1</v>
      </c>
      <c r="W390">
        <v>1</v>
      </c>
      <c r="X390">
        <v>1</v>
      </c>
      <c r="Y390">
        <v>1</v>
      </c>
      <c r="Z390">
        <v>1116.874376</v>
      </c>
    </row>
    <row r="391" spans="1:26" x14ac:dyDescent="0.25">
      <c r="A391">
        <v>59322</v>
      </c>
      <c r="B391" t="s">
        <v>149</v>
      </c>
      <c r="C391">
        <v>2019</v>
      </c>
      <c r="D391">
        <v>1</v>
      </c>
      <c r="E391" t="s">
        <v>415</v>
      </c>
      <c r="F391" t="s">
        <v>416</v>
      </c>
      <c r="G391" t="s">
        <v>417</v>
      </c>
      <c r="H391" t="s">
        <v>84</v>
      </c>
      <c r="I391" t="s">
        <v>428</v>
      </c>
      <c r="J391" t="s">
        <v>59</v>
      </c>
      <c r="K391">
        <v>-15672.69570359</v>
      </c>
      <c r="L391" t="s">
        <v>89</v>
      </c>
      <c r="M391" t="s">
        <v>423</v>
      </c>
      <c r="N391">
        <v>0.74738783869542003</v>
      </c>
      <c r="O391">
        <v>11713.582168000001</v>
      </c>
      <c r="P391" t="s">
        <v>421</v>
      </c>
      <c r="Q391">
        <v>1</v>
      </c>
      <c r="V391">
        <v>1</v>
      </c>
      <c r="W391">
        <v>1</v>
      </c>
      <c r="X391">
        <v>1</v>
      </c>
      <c r="Y391">
        <v>1</v>
      </c>
      <c r="Z391">
        <v>11713.582168000001</v>
      </c>
    </row>
    <row r="392" spans="1:26" x14ac:dyDescent="0.25">
      <c r="A392">
        <v>59323</v>
      </c>
      <c r="B392" t="s">
        <v>149</v>
      </c>
      <c r="C392">
        <v>2019</v>
      </c>
      <c r="D392">
        <v>1</v>
      </c>
      <c r="E392" t="s">
        <v>415</v>
      </c>
      <c r="F392" t="s">
        <v>416</v>
      </c>
      <c r="G392" t="s">
        <v>417</v>
      </c>
      <c r="H392" t="s">
        <v>84</v>
      </c>
      <c r="I392" t="s">
        <v>428</v>
      </c>
      <c r="J392" t="s">
        <v>59</v>
      </c>
      <c r="K392">
        <v>-15672.69570359</v>
      </c>
      <c r="L392" t="s">
        <v>89</v>
      </c>
      <c r="M392" t="s">
        <v>424</v>
      </c>
      <c r="N392">
        <v>3.08071516317E-3</v>
      </c>
      <c r="O392">
        <v>48.283110999999998</v>
      </c>
      <c r="P392" t="s">
        <v>421</v>
      </c>
      <c r="Q392">
        <v>1</v>
      </c>
      <c r="V392">
        <v>1</v>
      </c>
      <c r="W392">
        <v>1</v>
      </c>
      <c r="X392">
        <v>1</v>
      </c>
      <c r="Y392">
        <v>1</v>
      </c>
      <c r="Z392">
        <v>48.283110999999998</v>
      </c>
    </row>
    <row r="393" spans="1:26" x14ac:dyDescent="0.25">
      <c r="A393">
        <v>59324</v>
      </c>
      <c r="B393" t="s">
        <v>149</v>
      </c>
      <c r="C393">
        <v>2019</v>
      </c>
      <c r="D393">
        <v>1</v>
      </c>
      <c r="E393" t="s">
        <v>415</v>
      </c>
      <c r="F393" t="s">
        <v>416</v>
      </c>
      <c r="G393" t="s">
        <v>417</v>
      </c>
      <c r="H393" t="s">
        <v>84</v>
      </c>
      <c r="I393" t="s">
        <v>428</v>
      </c>
      <c r="J393" t="s">
        <v>59</v>
      </c>
      <c r="K393">
        <v>-15672.69570359</v>
      </c>
      <c r="L393" t="s">
        <v>89</v>
      </c>
      <c r="M393" t="s">
        <v>425</v>
      </c>
      <c r="N393">
        <v>2.5360775708E-3</v>
      </c>
      <c r="O393">
        <v>39.747171999999999</v>
      </c>
      <c r="P393" t="s">
        <v>421</v>
      </c>
      <c r="Q393">
        <v>1</v>
      </c>
      <c r="V393">
        <v>1</v>
      </c>
      <c r="W393">
        <v>1</v>
      </c>
      <c r="X393">
        <v>1</v>
      </c>
      <c r="Y393">
        <v>1</v>
      </c>
      <c r="Z393">
        <v>39.747171999999999</v>
      </c>
    </row>
    <row r="394" spans="1:26" x14ac:dyDescent="0.25">
      <c r="A394">
        <v>59325</v>
      </c>
      <c r="B394" t="s">
        <v>149</v>
      </c>
      <c r="C394">
        <v>2019</v>
      </c>
      <c r="D394">
        <v>1</v>
      </c>
      <c r="E394" t="s">
        <v>415</v>
      </c>
      <c r="F394" t="s">
        <v>429</v>
      </c>
      <c r="G394" t="s">
        <v>430</v>
      </c>
      <c r="H394" t="s">
        <v>84</v>
      </c>
      <c r="I394" t="s">
        <v>431</v>
      </c>
      <c r="J394" t="s">
        <v>419</v>
      </c>
      <c r="K394">
        <v>-45847.295759100001</v>
      </c>
      <c r="L394" t="s">
        <v>85</v>
      </c>
      <c r="M394" t="s">
        <v>420</v>
      </c>
      <c r="N394">
        <v>0.24824931095561001</v>
      </c>
      <c r="O394">
        <v>11381.559581</v>
      </c>
      <c r="P394" t="s">
        <v>421</v>
      </c>
      <c r="Q394">
        <v>1</v>
      </c>
      <c r="V394">
        <v>1</v>
      </c>
      <c r="W394">
        <v>1</v>
      </c>
      <c r="X394">
        <v>1</v>
      </c>
      <c r="Y394">
        <v>1</v>
      </c>
      <c r="Z394">
        <v>11381.559581</v>
      </c>
    </row>
    <row r="395" spans="1:26" x14ac:dyDescent="0.25">
      <c r="A395">
        <v>59326</v>
      </c>
      <c r="B395" t="s">
        <v>149</v>
      </c>
      <c r="C395">
        <v>2019</v>
      </c>
      <c r="D395">
        <v>1</v>
      </c>
      <c r="E395" t="s">
        <v>415</v>
      </c>
      <c r="F395" t="s">
        <v>429</v>
      </c>
      <c r="G395" t="s">
        <v>430</v>
      </c>
      <c r="H395" t="s">
        <v>84</v>
      </c>
      <c r="I395" t="s">
        <v>431</v>
      </c>
      <c r="J395" t="s">
        <v>419</v>
      </c>
      <c r="K395">
        <v>-45847.295759100001</v>
      </c>
      <c r="L395" t="s">
        <v>85</v>
      </c>
      <c r="M395" t="s">
        <v>422</v>
      </c>
      <c r="N395">
        <v>7.7540047892240005E-2</v>
      </c>
      <c r="O395">
        <v>3555.0015090000002</v>
      </c>
      <c r="P395" t="s">
        <v>421</v>
      </c>
      <c r="Q395">
        <v>1</v>
      </c>
      <c r="V395">
        <v>1</v>
      </c>
      <c r="W395">
        <v>1</v>
      </c>
      <c r="X395">
        <v>1</v>
      </c>
      <c r="Y395">
        <v>1</v>
      </c>
      <c r="Z395">
        <v>3555.0015090000002</v>
      </c>
    </row>
    <row r="396" spans="1:26" x14ac:dyDescent="0.25">
      <c r="A396">
        <v>59327</v>
      </c>
      <c r="B396" t="s">
        <v>149</v>
      </c>
      <c r="C396">
        <v>2019</v>
      </c>
      <c r="D396">
        <v>1</v>
      </c>
      <c r="E396" t="s">
        <v>415</v>
      </c>
      <c r="F396" t="s">
        <v>429</v>
      </c>
      <c r="G396" t="s">
        <v>430</v>
      </c>
      <c r="H396" t="s">
        <v>84</v>
      </c>
      <c r="I396" t="s">
        <v>431</v>
      </c>
      <c r="J396" t="s">
        <v>419</v>
      </c>
      <c r="K396">
        <v>-45847.295759100001</v>
      </c>
      <c r="L396" t="s">
        <v>85</v>
      </c>
      <c r="M396" t="s">
        <v>423</v>
      </c>
      <c r="N396">
        <v>0.73979703899049998</v>
      </c>
      <c r="O396">
        <v>33917.693648</v>
      </c>
      <c r="P396" t="s">
        <v>421</v>
      </c>
      <c r="Q396">
        <v>1</v>
      </c>
      <c r="V396">
        <v>1</v>
      </c>
      <c r="W396">
        <v>1</v>
      </c>
      <c r="X396">
        <v>1</v>
      </c>
      <c r="Y396">
        <v>1</v>
      </c>
      <c r="Z396">
        <v>33917.693648</v>
      </c>
    </row>
    <row r="397" spans="1:26" x14ac:dyDescent="0.25">
      <c r="A397">
        <v>59328</v>
      </c>
      <c r="B397" t="s">
        <v>149</v>
      </c>
      <c r="C397">
        <v>2019</v>
      </c>
      <c r="D397">
        <v>1</v>
      </c>
      <c r="E397" t="s">
        <v>415</v>
      </c>
      <c r="F397" t="s">
        <v>429</v>
      </c>
      <c r="G397" t="s">
        <v>430</v>
      </c>
      <c r="H397" t="s">
        <v>84</v>
      </c>
      <c r="I397" t="s">
        <v>431</v>
      </c>
      <c r="J397" t="s">
        <v>419</v>
      </c>
      <c r="K397">
        <v>-45847.295759100001</v>
      </c>
      <c r="L397" t="s">
        <v>85</v>
      </c>
      <c r="M397" t="s">
        <v>424</v>
      </c>
      <c r="N397">
        <v>2.9085775596699999E-3</v>
      </c>
      <c r="O397">
        <v>133.350416</v>
      </c>
      <c r="P397" t="s">
        <v>421</v>
      </c>
      <c r="Q397">
        <v>1</v>
      </c>
      <c r="V397">
        <v>1</v>
      </c>
      <c r="W397">
        <v>1</v>
      </c>
      <c r="X397">
        <v>1</v>
      </c>
      <c r="Y397">
        <v>1</v>
      </c>
      <c r="Z397">
        <v>133.350416</v>
      </c>
    </row>
    <row r="398" spans="1:26" x14ac:dyDescent="0.25">
      <c r="A398">
        <v>59329</v>
      </c>
      <c r="B398" t="s">
        <v>149</v>
      </c>
      <c r="C398">
        <v>2019</v>
      </c>
      <c r="D398">
        <v>1</v>
      </c>
      <c r="E398" t="s">
        <v>415</v>
      </c>
      <c r="F398" t="s">
        <v>429</v>
      </c>
      <c r="G398" t="s">
        <v>430</v>
      </c>
      <c r="H398" t="s">
        <v>84</v>
      </c>
      <c r="I398" t="s">
        <v>431</v>
      </c>
      <c r="J398" t="s">
        <v>419</v>
      </c>
      <c r="K398">
        <v>-45847.295759100001</v>
      </c>
      <c r="L398" t="s">
        <v>85</v>
      </c>
      <c r="M398" t="s">
        <v>425</v>
      </c>
      <c r="N398">
        <v>2.6170694898000001E-3</v>
      </c>
      <c r="O398">
        <v>119.98555899999999</v>
      </c>
      <c r="P398" t="s">
        <v>421</v>
      </c>
      <c r="Q398">
        <v>1</v>
      </c>
      <c r="V398">
        <v>1</v>
      </c>
      <c r="W398">
        <v>1</v>
      </c>
      <c r="X398">
        <v>1</v>
      </c>
      <c r="Y398">
        <v>1</v>
      </c>
      <c r="Z398">
        <v>119.98555899999999</v>
      </c>
    </row>
    <row r="399" spans="1:26" x14ac:dyDescent="0.25">
      <c r="A399">
        <v>59330</v>
      </c>
      <c r="B399" t="s">
        <v>149</v>
      </c>
      <c r="C399">
        <v>2019</v>
      </c>
      <c r="D399">
        <v>1</v>
      </c>
      <c r="E399" t="s">
        <v>415</v>
      </c>
      <c r="F399" t="s">
        <v>429</v>
      </c>
      <c r="G399" t="s">
        <v>430</v>
      </c>
      <c r="H399" t="s">
        <v>84</v>
      </c>
      <c r="I399" t="s">
        <v>432</v>
      </c>
      <c r="J399" t="s">
        <v>87</v>
      </c>
      <c r="K399">
        <v>-12034.107516579999</v>
      </c>
      <c r="L399" t="s">
        <v>427</v>
      </c>
      <c r="M399" t="s">
        <v>420</v>
      </c>
      <c r="N399">
        <v>0.45523813654234002</v>
      </c>
      <c r="O399">
        <v>5478.3846809999995</v>
      </c>
      <c r="P399" t="s">
        <v>421</v>
      </c>
      <c r="Q399">
        <v>1</v>
      </c>
      <c r="V399">
        <v>1</v>
      </c>
      <c r="W399">
        <v>1</v>
      </c>
      <c r="X399">
        <v>1</v>
      </c>
      <c r="Y399">
        <v>1</v>
      </c>
      <c r="Z399">
        <v>5478.3846809999995</v>
      </c>
    </row>
    <row r="400" spans="1:26" x14ac:dyDescent="0.25">
      <c r="A400">
        <v>59331</v>
      </c>
      <c r="B400" t="s">
        <v>149</v>
      </c>
      <c r="C400">
        <v>2019</v>
      </c>
      <c r="D400">
        <v>1</v>
      </c>
      <c r="E400" t="s">
        <v>415</v>
      </c>
      <c r="F400" t="s">
        <v>429</v>
      </c>
      <c r="G400" t="s">
        <v>430</v>
      </c>
      <c r="H400" t="s">
        <v>84</v>
      </c>
      <c r="I400" t="s">
        <v>432</v>
      </c>
      <c r="J400" t="s">
        <v>87</v>
      </c>
      <c r="K400">
        <v>-12034.107516579999</v>
      </c>
      <c r="L400" t="s">
        <v>427</v>
      </c>
      <c r="M400" t="s">
        <v>422</v>
      </c>
      <c r="N400">
        <v>6.8896616392329996E-2</v>
      </c>
      <c r="O400">
        <v>829.10928899999999</v>
      </c>
      <c r="P400" t="s">
        <v>421</v>
      </c>
      <c r="Q400">
        <v>1</v>
      </c>
      <c r="V400">
        <v>1</v>
      </c>
      <c r="W400">
        <v>1</v>
      </c>
      <c r="X400">
        <v>1</v>
      </c>
      <c r="Y400">
        <v>1</v>
      </c>
      <c r="Z400">
        <v>829.10928899999999</v>
      </c>
    </row>
    <row r="401" spans="1:26" x14ac:dyDescent="0.25">
      <c r="A401">
        <v>59332</v>
      </c>
      <c r="B401" t="s">
        <v>149</v>
      </c>
      <c r="C401">
        <v>2019</v>
      </c>
      <c r="D401">
        <v>1</v>
      </c>
      <c r="E401" t="s">
        <v>415</v>
      </c>
      <c r="F401" t="s">
        <v>429</v>
      </c>
      <c r="G401" t="s">
        <v>430</v>
      </c>
      <c r="H401" t="s">
        <v>84</v>
      </c>
      <c r="I401" t="s">
        <v>432</v>
      </c>
      <c r="J401" t="s">
        <v>87</v>
      </c>
      <c r="K401">
        <v>-12034.107516579999</v>
      </c>
      <c r="L401" t="s">
        <v>427</v>
      </c>
      <c r="M401" t="s">
        <v>423</v>
      </c>
      <c r="N401">
        <v>0.70986919705586005</v>
      </c>
      <c r="O401">
        <v>8542.6422399999992</v>
      </c>
      <c r="P401" t="s">
        <v>421</v>
      </c>
      <c r="Q401">
        <v>1</v>
      </c>
      <c r="V401">
        <v>1</v>
      </c>
      <c r="W401">
        <v>1</v>
      </c>
      <c r="X401">
        <v>1</v>
      </c>
      <c r="Y401">
        <v>1</v>
      </c>
      <c r="Z401">
        <v>8542.6422399999992</v>
      </c>
    </row>
    <row r="402" spans="1:26" x14ac:dyDescent="0.25">
      <c r="A402">
        <v>59333</v>
      </c>
      <c r="B402" t="s">
        <v>149</v>
      </c>
      <c r="C402">
        <v>2019</v>
      </c>
      <c r="D402">
        <v>1</v>
      </c>
      <c r="E402" t="s">
        <v>415</v>
      </c>
      <c r="F402" t="s">
        <v>429</v>
      </c>
      <c r="G402" t="s">
        <v>430</v>
      </c>
      <c r="H402" t="s">
        <v>84</v>
      </c>
      <c r="I402" t="s">
        <v>432</v>
      </c>
      <c r="J402" t="s">
        <v>87</v>
      </c>
      <c r="K402">
        <v>-12034.107516579999</v>
      </c>
      <c r="L402" t="s">
        <v>427</v>
      </c>
      <c r="M402" t="s">
        <v>425</v>
      </c>
      <c r="N402">
        <v>1.4965642882E-3</v>
      </c>
      <c r="O402">
        <v>18.009816000000001</v>
      </c>
      <c r="P402" t="s">
        <v>421</v>
      </c>
      <c r="Q402">
        <v>1</v>
      </c>
      <c r="V402">
        <v>1</v>
      </c>
      <c r="W402">
        <v>1</v>
      </c>
      <c r="X402">
        <v>1</v>
      </c>
      <c r="Y402">
        <v>1</v>
      </c>
      <c r="Z402">
        <v>18.009816000000001</v>
      </c>
    </row>
    <row r="403" spans="1:26" x14ac:dyDescent="0.25">
      <c r="A403">
        <v>59334</v>
      </c>
      <c r="B403" t="s">
        <v>149</v>
      </c>
      <c r="C403">
        <v>2019</v>
      </c>
      <c r="D403">
        <v>1</v>
      </c>
      <c r="E403" t="s">
        <v>415</v>
      </c>
      <c r="F403" t="s">
        <v>429</v>
      </c>
      <c r="G403" t="s">
        <v>430</v>
      </c>
      <c r="H403" t="s">
        <v>84</v>
      </c>
      <c r="I403" t="s">
        <v>433</v>
      </c>
      <c r="J403" t="s">
        <v>59</v>
      </c>
      <c r="K403">
        <v>-20928.39625116</v>
      </c>
      <c r="L403" t="s">
        <v>89</v>
      </c>
      <c r="M403" t="s">
        <v>420</v>
      </c>
      <c r="N403">
        <v>0.26343870574139999</v>
      </c>
      <c r="O403">
        <v>5513.3496219999997</v>
      </c>
      <c r="P403" t="s">
        <v>421</v>
      </c>
      <c r="Q403">
        <v>1</v>
      </c>
      <c r="V403">
        <v>1</v>
      </c>
      <c r="W403">
        <v>1</v>
      </c>
      <c r="X403">
        <v>1</v>
      </c>
      <c r="Y403">
        <v>1</v>
      </c>
      <c r="Z403">
        <v>5513.3496219999997</v>
      </c>
    </row>
    <row r="404" spans="1:26" x14ac:dyDescent="0.25">
      <c r="A404">
        <v>59335</v>
      </c>
      <c r="B404" t="s">
        <v>149</v>
      </c>
      <c r="C404">
        <v>2019</v>
      </c>
      <c r="D404">
        <v>1</v>
      </c>
      <c r="E404" t="s">
        <v>415</v>
      </c>
      <c r="F404" t="s">
        <v>429</v>
      </c>
      <c r="G404" t="s">
        <v>430</v>
      </c>
      <c r="H404" t="s">
        <v>84</v>
      </c>
      <c r="I404" t="s">
        <v>433</v>
      </c>
      <c r="J404" t="s">
        <v>59</v>
      </c>
      <c r="K404">
        <v>-20928.39625116</v>
      </c>
      <c r="L404" t="s">
        <v>89</v>
      </c>
      <c r="M404" t="s">
        <v>422</v>
      </c>
      <c r="N404">
        <v>7.1262429683470005E-2</v>
      </c>
      <c r="O404">
        <v>1491.4083659999999</v>
      </c>
      <c r="P404" t="s">
        <v>421</v>
      </c>
      <c r="Q404">
        <v>1</v>
      </c>
      <c r="V404">
        <v>1</v>
      </c>
      <c r="W404">
        <v>1</v>
      </c>
      <c r="X404">
        <v>1</v>
      </c>
      <c r="Y404">
        <v>1</v>
      </c>
      <c r="Z404">
        <v>1491.4083659999999</v>
      </c>
    </row>
    <row r="405" spans="1:26" x14ac:dyDescent="0.25">
      <c r="A405">
        <v>59336</v>
      </c>
      <c r="B405" t="s">
        <v>149</v>
      </c>
      <c r="C405">
        <v>2019</v>
      </c>
      <c r="D405">
        <v>1</v>
      </c>
      <c r="E405" t="s">
        <v>415</v>
      </c>
      <c r="F405" t="s">
        <v>429</v>
      </c>
      <c r="G405" t="s">
        <v>430</v>
      </c>
      <c r="H405" t="s">
        <v>84</v>
      </c>
      <c r="I405" t="s">
        <v>433</v>
      </c>
      <c r="J405" t="s">
        <v>59</v>
      </c>
      <c r="K405">
        <v>-20928.39625116</v>
      </c>
      <c r="L405" t="s">
        <v>89</v>
      </c>
      <c r="M405" t="s">
        <v>423</v>
      </c>
      <c r="N405">
        <v>0.74738783869542003</v>
      </c>
      <c r="O405">
        <v>15641.628842</v>
      </c>
      <c r="P405" t="s">
        <v>421</v>
      </c>
      <c r="Q405">
        <v>1</v>
      </c>
      <c r="V405">
        <v>1</v>
      </c>
      <c r="W405">
        <v>1</v>
      </c>
      <c r="X405">
        <v>1</v>
      </c>
      <c r="Y405">
        <v>1</v>
      </c>
      <c r="Z405">
        <v>15641.628842</v>
      </c>
    </row>
    <row r="406" spans="1:26" x14ac:dyDescent="0.25">
      <c r="A406">
        <v>59337</v>
      </c>
      <c r="B406" t="s">
        <v>149</v>
      </c>
      <c r="C406">
        <v>2019</v>
      </c>
      <c r="D406">
        <v>1</v>
      </c>
      <c r="E406" t="s">
        <v>415</v>
      </c>
      <c r="F406" t="s">
        <v>429</v>
      </c>
      <c r="G406" t="s">
        <v>430</v>
      </c>
      <c r="H406" t="s">
        <v>84</v>
      </c>
      <c r="I406" t="s">
        <v>433</v>
      </c>
      <c r="J406" t="s">
        <v>59</v>
      </c>
      <c r="K406">
        <v>-20928.39625116</v>
      </c>
      <c r="L406" t="s">
        <v>89</v>
      </c>
      <c r="M406" t="s">
        <v>424</v>
      </c>
      <c r="N406">
        <v>3.08071516317E-3</v>
      </c>
      <c r="O406">
        <v>64.474428000000003</v>
      </c>
      <c r="P406" t="s">
        <v>421</v>
      </c>
      <c r="Q406">
        <v>1</v>
      </c>
      <c r="V406">
        <v>1</v>
      </c>
      <c r="W406">
        <v>1</v>
      </c>
      <c r="X406">
        <v>1</v>
      </c>
      <c r="Y406">
        <v>1</v>
      </c>
      <c r="Z406">
        <v>64.474428000000003</v>
      </c>
    </row>
    <row r="407" spans="1:26" x14ac:dyDescent="0.25">
      <c r="A407">
        <v>59338</v>
      </c>
      <c r="B407" t="s">
        <v>149</v>
      </c>
      <c r="C407">
        <v>2019</v>
      </c>
      <c r="D407">
        <v>1</v>
      </c>
      <c r="E407" t="s">
        <v>415</v>
      </c>
      <c r="F407" t="s">
        <v>429</v>
      </c>
      <c r="G407" t="s">
        <v>430</v>
      </c>
      <c r="H407" t="s">
        <v>84</v>
      </c>
      <c r="I407" t="s">
        <v>433</v>
      </c>
      <c r="J407" t="s">
        <v>59</v>
      </c>
      <c r="K407">
        <v>-20928.39625116</v>
      </c>
      <c r="L407" t="s">
        <v>89</v>
      </c>
      <c r="M407" t="s">
        <v>425</v>
      </c>
      <c r="N407">
        <v>2.5360775708E-3</v>
      </c>
      <c r="O407">
        <v>53.076036000000002</v>
      </c>
      <c r="P407" t="s">
        <v>421</v>
      </c>
      <c r="Q407">
        <v>1</v>
      </c>
      <c r="V407">
        <v>1</v>
      </c>
      <c r="W407">
        <v>1</v>
      </c>
      <c r="X407">
        <v>1</v>
      </c>
      <c r="Y407">
        <v>1</v>
      </c>
      <c r="Z407">
        <v>53.076036000000002</v>
      </c>
    </row>
    <row r="408" spans="1:26" x14ac:dyDescent="0.25">
      <c r="A408">
        <v>59339</v>
      </c>
      <c r="B408" t="s">
        <v>149</v>
      </c>
      <c r="C408">
        <v>2019</v>
      </c>
      <c r="D408">
        <v>1</v>
      </c>
      <c r="E408" t="s">
        <v>415</v>
      </c>
      <c r="F408" t="s">
        <v>434</v>
      </c>
      <c r="G408" t="s">
        <v>435</v>
      </c>
      <c r="H408" t="s">
        <v>84</v>
      </c>
      <c r="I408" t="s">
        <v>436</v>
      </c>
      <c r="J408" t="s">
        <v>419</v>
      </c>
      <c r="K408">
        <v>-23072.735141460002</v>
      </c>
      <c r="L408" t="s">
        <v>85</v>
      </c>
      <c r="M408" t="s">
        <v>420</v>
      </c>
      <c r="N408">
        <v>0.24824931095561001</v>
      </c>
      <c r="O408">
        <v>5727.7906009999997</v>
      </c>
      <c r="P408" t="s">
        <v>421</v>
      </c>
      <c r="Q408">
        <v>1</v>
      </c>
      <c r="V408">
        <v>1</v>
      </c>
      <c r="W408">
        <v>1</v>
      </c>
      <c r="X408">
        <v>1</v>
      </c>
      <c r="Y408">
        <v>1</v>
      </c>
      <c r="Z408">
        <v>5727.7906009999997</v>
      </c>
    </row>
    <row r="409" spans="1:26" x14ac:dyDescent="0.25">
      <c r="A409">
        <v>59340</v>
      </c>
      <c r="B409" t="s">
        <v>149</v>
      </c>
      <c r="C409">
        <v>2019</v>
      </c>
      <c r="D409">
        <v>1</v>
      </c>
      <c r="E409" t="s">
        <v>415</v>
      </c>
      <c r="F409" t="s">
        <v>434</v>
      </c>
      <c r="G409" t="s">
        <v>435</v>
      </c>
      <c r="H409" t="s">
        <v>84</v>
      </c>
      <c r="I409" t="s">
        <v>436</v>
      </c>
      <c r="J409" t="s">
        <v>419</v>
      </c>
      <c r="K409">
        <v>-23072.735141460002</v>
      </c>
      <c r="L409" t="s">
        <v>85</v>
      </c>
      <c r="M409" t="s">
        <v>422</v>
      </c>
      <c r="N409">
        <v>7.7540047892240005E-2</v>
      </c>
      <c r="O409">
        <v>1789.060988</v>
      </c>
      <c r="P409" t="s">
        <v>421</v>
      </c>
      <c r="Q409">
        <v>1</v>
      </c>
      <c r="V409">
        <v>1</v>
      </c>
      <c r="W409">
        <v>1</v>
      </c>
      <c r="X409">
        <v>1</v>
      </c>
      <c r="Y409">
        <v>1</v>
      </c>
      <c r="Z409">
        <v>1789.060988</v>
      </c>
    </row>
    <row r="410" spans="1:26" x14ac:dyDescent="0.25">
      <c r="A410">
        <v>59341</v>
      </c>
      <c r="B410" t="s">
        <v>149</v>
      </c>
      <c r="C410">
        <v>2019</v>
      </c>
      <c r="D410">
        <v>1</v>
      </c>
      <c r="E410" t="s">
        <v>415</v>
      </c>
      <c r="F410" t="s">
        <v>434</v>
      </c>
      <c r="G410" t="s">
        <v>435</v>
      </c>
      <c r="H410" t="s">
        <v>84</v>
      </c>
      <c r="I410" t="s">
        <v>436</v>
      </c>
      <c r="J410" t="s">
        <v>419</v>
      </c>
      <c r="K410">
        <v>-23072.735141460002</v>
      </c>
      <c r="L410" t="s">
        <v>85</v>
      </c>
      <c r="M410" t="s">
        <v>423</v>
      </c>
      <c r="N410">
        <v>0.73979703899049998</v>
      </c>
      <c r="O410">
        <v>17069.141138999999</v>
      </c>
      <c r="P410" t="s">
        <v>421</v>
      </c>
      <c r="Q410">
        <v>1</v>
      </c>
      <c r="V410">
        <v>1</v>
      </c>
      <c r="W410">
        <v>1</v>
      </c>
      <c r="X410">
        <v>1</v>
      </c>
      <c r="Y410">
        <v>1</v>
      </c>
      <c r="Z410">
        <v>17069.141138999999</v>
      </c>
    </row>
    <row r="411" spans="1:26" x14ac:dyDescent="0.25">
      <c r="A411">
        <v>59342</v>
      </c>
      <c r="B411" t="s">
        <v>149</v>
      </c>
      <c r="C411">
        <v>2019</v>
      </c>
      <c r="D411">
        <v>1</v>
      </c>
      <c r="E411" t="s">
        <v>415</v>
      </c>
      <c r="F411" t="s">
        <v>434</v>
      </c>
      <c r="G411" t="s">
        <v>435</v>
      </c>
      <c r="H411" t="s">
        <v>84</v>
      </c>
      <c r="I411" t="s">
        <v>436</v>
      </c>
      <c r="J411" t="s">
        <v>419</v>
      </c>
      <c r="K411">
        <v>-23072.735141460002</v>
      </c>
      <c r="L411" t="s">
        <v>85</v>
      </c>
      <c r="M411" t="s">
        <v>424</v>
      </c>
      <c r="N411">
        <v>2.9085775596699999E-3</v>
      </c>
      <c r="O411">
        <v>67.108840000000001</v>
      </c>
      <c r="P411" t="s">
        <v>421</v>
      </c>
      <c r="Q411">
        <v>1</v>
      </c>
      <c r="V411">
        <v>1</v>
      </c>
      <c r="W411">
        <v>1</v>
      </c>
      <c r="X411">
        <v>1</v>
      </c>
      <c r="Y411">
        <v>1</v>
      </c>
      <c r="Z411">
        <v>67.108840000000001</v>
      </c>
    </row>
    <row r="412" spans="1:26" x14ac:dyDescent="0.25">
      <c r="A412">
        <v>59343</v>
      </c>
      <c r="B412" t="s">
        <v>149</v>
      </c>
      <c r="C412">
        <v>2019</v>
      </c>
      <c r="D412">
        <v>1</v>
      </c>
      <c r="E412" t="s">
        <v>415</v>
      </c>
      <c r="F412" t="s">
        <v>434</v>
      </c>
      <c r="G412" t="s">
        <v>435</v>
      </c>
      <c r="H412" t="s">
        <v>84</v>
      </c>
      <c r="I412" t="s">
        <v>436</v>
      </c>
      <c r="J412" t="s">
        <v>419</v>
      </c>
      <c r="K412">
        <v>-23072.735141460002</v>
      </c>
      <c r="L412" t="s">
        <v>85</v>
      </c>
      <c r="M412" t="s">
        <v>425</v>
      </c>
      <c r="N412">
        <v>2.6170694898000001E-3</v>
      </c>
      <c r="O412">
        <v>60.382950999999998</v>
      </c>
      <c r="P412" t="s">
        <v>421</v>
      </c>
      <c r="Q412">
        <v>1</v>
      </c>
      <c r="V412">
        <v>1</v>
      </c>
      <c r="W412">
        <v>1</v>
      </c>
      <c r="X412">
        <v>1</v>
      </c>
      <c r="Y412">
        <v>1</v>
      </c>
      <c r="Z412">
        <v>60.382950999999998</v>
      </c>
    </row>
    <row r="413" spans="1:26" x14ac:dyDescent="0.25">
      <c r="A413">
        <v>59344</v>
      </c>
      <c r="B413" t="s">
        <v>149</v>
      </c>
      <c r="C413">
        <v>2019</v>
      </c>
      <c r="D413">
        <v>1</v>
      </c>
      <c r="E413" t="s">
        <v>415</v>
      </c>
      <c r="F413" t="s">
        <v>434</v>
      </c>
      <c r="G413" t="s">
        <v>435</v>
      </c>
      <c r="H413" t="s">
        <v>84</v>
      </c>
      <c r="I413" t="s">
        <v>437</v>
      </c>
      <c r="J413" t="s">
        <v>87</v>
      </c>
      <c r="K413">
        <v>-5551.2165084500002</v>
      </c>
      <c r="L413" t="s">
        <v>427</v>
      </c>
      <c r="M413" t="s">
        <v>420</v>
      </c>
      <c r="N413">
        <v>0.45523813654234002</v>
      </c>
      <c r="O413">
        <v>2527.1254589999999</v>
      </c>
      <c r="P413" t="s">
        <v>421</v>
      </c>
      <c r="Q413">
        <v>1</v>
      </c>
      <c r="V413">
        <v>1</v>
      </c>
      <c r="W413">
        <v>1</v>
      </c>
      <c r="X413">
        <v>1</v>
      </c>
      <c r="Y413">
        <v>1</v>
      </c>
      <c r="Z413">
        <v>2527.1254589999999</v>
      </c>
    </row>
    <row r="414" spans="1:26" x14ac:dyDescent="0.25">
      <c r="A414">
        <v>59345</v>
      </c>
      <c r="B414" t="s">
        <v>149</v>
      </c>
      <c r="C414">
        <v>2019</v>
      </c>
      <c r="D414">
        <v>1</v>
      </c>
      <c r="E414" t="s">
        <v>415</v>
      </c>
      <c r="F414" t="s">
        <v>434</v>
      </c>
      <c r="G414" t="s">
        <v>435</v>
      </c>
      <c r="H414" t="s">
        <v>84</v>
      </c>
      <c r="I414" t="s">
        <v>437</v>
      </c>
      <c r="J414" t="s">
        <v>87</v>
      </c>
      <c r="K414">
        <v>-5551.2165084500002</v>
      </c>
      <c r="L414" t="s">
        <v>427</v>
      </c>
      <c r="M414" t="s">
        <v>422</v>
      </c>
      <c r="N414">
        <v>6.8896616392329996E-2</v>
      </c>
      <c r="O414">
        <v>382.46003400000001</v>
      </c>
      <c r="P414" t="s">
        <v>421</v>
      </c>
      <c r="Q414">
        <v>1</v>
      </c>
      <c r="V414">
        <v>1</v>
      </c>
      <c r="W414">
        <v>1</v>
      </c>
      <c r="X414">
        <v>1</v>
      </c>
      <c r="Y414">
        <v>1</v>
      </c>
      <c r="Z414">
        <v>382.46003400000001</v>
      </c>
    </row>
    <row r="415" spans="1:26" x14ac:dyDescent="0.25">
      <c r="A415">
        <v>59346</v>
      </c>
      <c r="B415" t="s">
        <v>149</v>
      </c>
      <c r="C415">
        <v>2019</v>
      </c>
      <c r="D415">
        <v>1</v>
      </c>
      <c r="E415" t="s">
        <v>415</v>
      </c>
      <c r="F415" t="s">
        <v>434</v>
      </c>
      <c r="G415" t="s">
        <v>435</v>
      </c>
      <c r="H415" t="s">
        <v>84</v>
      </c>
      <c r="I415" t="s">
        <v>437</v>
      </c>
      <c r="J415" t="s">
        <v>87</v>
      </c>
      <c r="K415">
        <v>-5551.2165084500002</v>
      </c>
      <c r="L415" t="s">
        <v>427</v>
      </c>
      <c r="M415" t="s">
        <v>423</v>
      </c>
      <c r="N415">
        <v>0.70986919705586005</v>
      </c>
      <c r="O415">
        <v>3940.6376059999998</v>
      </c>
      <c r="P415" t="s">
        <v>421</v>
      </c>
      <c r="Q415">
        <v>1</v>
      </c>
      <c r="V415">
        <v>1</v>
      </c>
      <c r="W415">
        <v>1</v>
      </c>
      <c r="X415">
        <v>1</v>
      </c>
      <c r="Y415">
        <v>1</v>
      </c>
      <c r="Z415">
        <v>3940.6376059999998</v>
      </c>
    </row>
    <row r="416" spans="1:26" x14ac:dyDescent="0.25">
      <c r="A416">
        <v>59347</v>
      </c>
      <c r="B416" t="s">
        <v>149</v>
      </c>
      <c r="C416">
        <v>2019</v>
      </c>
      <c r="D416">
        <v>1</v>
      </c>
      <c r="E416" t="s">
        <v>415</v>
      </c>
      <c r="F416" t="s">
        <v>434</v>
      </c>
      <c r="G416" t="s">
        <v>435</v>
      </c>
      <c r="H416" t="s">
        <v>84</v>
      </c>
      <c r="I416" t="s">
        <v>437</v>
      </c>
      <c r="J416" t="s">
        <v>87</v>
      </c>
      <c r="K416">
        <v>-5551.2165084500002</v>
      </c>
      <c r="L416" t="s">
        <v>427</v>
      </c>
      <c r="M416" t="s">
        <v>425</v>
      </c>
      <c r="N416">
        <v>1.4965642882E-3</v>
      </c>
      <c r="O416">
        <v>8.3077520000000007</v>
      </c>
      <c r="P416" t="s">
        <v>421</v>
      </c>
      <c r="Q416">
        <v>1</v>
      </c>
      <c r="V416">
        <v>1</v>
      </c>
      <c r="W416">
        <v>1</v>
      </c>
      <c r="X416">
        <v>1</v>
      </c>
      <c r="Y416">
        <v>1</v>
      </c>
      <c r="Z416">
        <v>8.3077520000000007</v>
      </c>
    </row>
    <row r="417" spans="1:26" x14ac:dyDescent="0.25">
      <c r="A417">
        <v>59348</v>
      </c>
      <c r="B417" t="s">
        <v>149</v>
      </c>
      <c r="C417">
        <v>2019</v>
      </c>
      <c r="D417">
        <v>1</v>
      </c>
      <c r="E417" t="s">
        <v>415</v>
      </c>
      <c r="F417" t="s">
        <v>434</v>
      </c>
      <c r="G417" t="s">
        <v>435</v>
      </c>
      <c r="H417" t="s">
        <v>84</v>
      </c>
      <c r="I417" t="s">
        <v>438</v>
      </c>
      <c r="J417" t="s">
        <v>59</v>
      </c>
      <c r="K417">
        <v>-10915.166704339999</v>
      </c>
      <c r="L417" t="s">
        <v>89</v>
      </c>
      <c r="M417" t="s">
        <v>420</v>
      </c>
      <c r="N417">
        <v>0.26343870574139999</v>
      </c>
      <c r="O417">
        <v>2875.47739</v>
      </c>
      <c r="P417" t="s">
        <v>421</v>
      </c>
      <c r="Q417">
        <v>1</v>
      </c>
      <c r="V417">
        <v>1</v>
      </c>
      <c r="W417">
        <v>1</v>
      </c>
      <c r="X417">
        <v>1</v>
      </c>
      <c r="Y417">
        <v>1</v>
      </c>
      <c r="Z417">
        <v>2875.47739</v>
      </c>
    </row>
    <row r="418" spans="1:26" x14ac:dyDescent="0.25">
      <c r="A418">
        <v>59349</v>
      </c>
      <c r="B418" t="s">
        <v>149</v>
      </c>
      <c r="C418">
        <v>2019</v>
      </c>
      <c r="D418">
        <v>1</v>
      </c>
      <c r="E418" t="s">
        <v>415</v>
      </c>
      <c r="F418" t="s">
        <v>434</v>
      </c>
      <c r="G418" t="s">
        <v>435</v>
      </c>
      <c r="H418" t="s">
        <v>84</v>
      </c>
      <c r="I418" t="s">
        <v>438</v>
      </c>
      <c r="J418" t="s">
        <v>59</v>
      </c>
      <c r="K418">
        <v>-10915.166704339999</v>
      </c>
      <c r="L418" t="s">
        <v>89</v>
      </c>
      <c r="M418" t="s">
        <v>422</v>
      </c>
      <c r="N418">
        <v>7.1262429683470005E-2</v>
      </c>
      <c r="O418">
        <v>777.84130000000005</v>
      </c>
      <c r="P418" t="s">
        <v>421</v>
      </c>
      <c r="Q418">
        <v>1</v>
      </c>
      <c r="V418">
        <v>1</v>
      </c>
      <c r="W418">
        <v>1</v>
      </c>
      <c r="X418">
        <v>1</v>
      </c>
      <c r="Y418">
        <v>1</v>
      </c>
      <c r="Z418">
        <v>777.84130000000005</v>
      </c>
    </row>
    <row r="419" spans="1:26" x14ac:dyDescent="0.25">
      <c r="A419">
        <v>59350</v>
      </c>
      <c r="B419" t="s">
        <v>149</v>
      </c>
      <c r="C419">
        <v>2019</v>
      </c>
      <c r="D419">
        <v>1</v>
      </c>
      <c r="E419" t="s">
        <v>415</v>
      </c>
      <c r="F419" t="s">
        <v>434</v>
      </c>
      <c r="G419" t="s">
        <v>435</v>
      </c>
      <c r="H419" t="s">
        <v>84</v>
      </c>
      <c r="I419" t="s">
        <v>438</v>
      </c>
      <c r="J419" t="s">
        <v>59</v>
      </c>
      <c r="K419">
        <v>-10915.166704339999</v>
      </c>
      <c r="L419" t="s">
        <v>89</v>
      </c>
      <c r="M419" t="s">
        <v>423</v>
      </c>
      <c r="N419">
        <v>0.74738783869542003</v>
      </c>
      <c r="O419">
        <v>8157.8628520000002</v>
      </c>
      <c r="P419" t="s">
        <v>421</v>
      </c>
      <c r="Q419">
        <v>1</v>
      </c>
      <c r="V419">
        <v>1</v>
      </c>
      <c r="W419">
        <v>1</v>
      </c>
      <c r="X419">
        <v>1</v>
      </c>
      <c r="Y419">
        <v>1</v>
      </c>
      <c r="Z419">
        <v>8157.8628520000002</v>
      </c>
    </row>
    <row r="420" spans="1:26" x14ac:dyDescent="0.25">
      <c r="A420">
        <v>59351</v>
      </c>
      <c r="B420" t="s">
        <v>149</v>
      </c>
      <c r="C420">
        <v>2019</v>
      </c>
      <c r="D420">
        <v>1</v>
      </c>
      <c r="E420" t="s">
        <v>415</v>
      </c>
      <c r="F420" t="s">
        <v>434</v>
      </c>
      <c r="G420" t="s">
        <v>435</v>
      </c>
      <c r="H420" t="s">
        <v>84</v>
      </c>
      <c r="I420" t="s">
        <v>438</v>
      </c>
      <c r="J420" t="s">
        <v>59</v>
      </c>
      <c r="K420">
        <v>-10915.166704339999</v>
      </c>
      <c r="L420" t="s">
        <v>89</v>
      </c>
      <c r="M420" t="s">
        <v>424</v>
      </c>
      <c r="N420">
        <v>3.08071516317E-3</v>
      </c>
      <c r="O420">
        <v>33.626519999999999</v>
      </c>
      <c r="P420" t="s">
        <v>421</v>
      </c>
      <c r="Q420">
        <v>1</v>
      </c>
      <c r="V420">
        <v>1</v>
      </c>
      <c r="W420">
        <v>1</v>
      </c>
      <c r="X420">
        <v>1</v>
      </c>
      <c r="Y420">
        <v>1</v>
      </c>
      <c r="Z420">
        <v>33.626519999999999</v>
      </c>
    </row>
    <row r="421" spans="1:26" x14ac:dyDescent="0.25">
      <c r="A421">
        <v>59352</v>
      </c>
      <c r="B421" t="s">
        <v>149</v>
      </c>
      <c r="C421">
        <v>2019</v>
      </c>
      <c r="D421">
        <v>1</v>
      </c>
      <c r="E421" t="s">
        <v>415</v>
      </c>
      <c r="F421" t="s">
        <v>434</v>
      </c>
      <c r="G421" t="s">
        <v>435</v>
      </c>
      <c r="H421" t="s">
        <v>84</v>
      </c>
      <c r="I421" t="s">
        <v>438</v>
      </c>
      <c r="J421" t="s">
        <v>59</v>
      </c>
      <c r="K421">
        <v>-10915.166704339999</v>
      </c>
      <c r="L421" t="s">
        <v>89</v>
      </c>
      <c r="M421" t="s">
        <v>425</v>
      </c>
      <c r="N421">
        <v>2.5360775708E-3</v>
      </c>
      <c r="O421">
        <v>27.681709000000001</v>
      </c>
      <c r="P421" t="s">
        <v>421</v>
      </c>
      <c r="Q421">
        <v>1</v>
      </c>
      <c r="V421">
        <v>1</v>
      </c>
      <c r="W421">
        <v>1</v>
      </c>
      <c r="X421">
        <v>1</v>
      </c>
      <c r="Y421">
        <v>1</v>
      </c>
      <c r="Z421">
        <v>27.681709000000001</v>
      </c>
    </row>
    <row r="422" spans="1:26" x14ac:dyDescent="0.25">
      <c r="A422">
        <v>113797</v>
      </c>
      <c r="B422" t="s">
        <v>205</v>
      </c>
      <c r="C422">
        <v>2020</v>
      </c>
      <c r="D422">
        <v>1</v>
      </c>
      <c r="E422" t="s">
        <v>415</v>
      </c>
      <c r="F422" t="s">
        <v>416</v>
      </c>
      <c r="G422" t="s">
        <v>417</v>
      </c>
      <c r="H422" t="s">
        <v>84</v>
      </c>
      <c r="I422" t="s">
        <v>418</v>
      </c>
      <c r="J422" t="s">
        <v>419</v>
      </c>
      <c r="K422">
        <v>-68707.428080750004</v>
      </c>
      <c r="L422" t="s">
        <v>85</v>
      </c>
      <c r="M422" t="s">
        <v>420</v>
      </c>
      <c r="N422">
        <v>0.24824931095561001</v>
      </c>
      <c r="O422">
        <v>17056.571679000001</v>
      </c>
      <c r="P422" t="s">
        <v>421</v>
      </c>
      <c r="Q422">
        <v>1</v>
      </c>
      <c r="V422">
        <v>1</v>
      </c>
      <c r="W422">
        <v>1</v>
      </c>
      <c r="X422">
        <v>1</v>
      </c>
      <c r="Y422">
        <v>1</v>
      </c>
      <c r="Z422">
        <v>17056.571679000001</v>
      </c>
    </row>
    <row r="423" spans="1:26" x14ac:dyDescent="0.25">
      <c r="A423">
        <v>113798</v>
      </c>
      <c r="B423" t="s">
        <v>205</v>
      </c>
      <c r="C423">
        <v>2020</v>
      </c>
      <c r="D423">
        <v>1</v>
      </c>
      <c r="E423" t="s">
        <v>415</v>
      </c>
      <c r="F423" t="s">
        <v>416</v>
      </c>
      <c r="G423" t="s">
        <v>417</v>
      </c>
      <c r="H423" t="s">
        <v>84</v>
      </c>
      <c r="I423" t="s">
        <v>418</v>
      </c>
      <c r="J423" t="s">
        <v>419</v>
      </c>
      <c r="K423">
        <v>-68707.428080750004</v>
      </c>
      <c r="L423" t="s">
        <v>85</v>
      </c>
      <c r="M423" t="s">
        <v>422</v>
      </c>
      <c r="N423">
        <v>7.7540047892240005E-2</v>
      </c>
      <c r="O423">
        <v>5327.5772639999996</v>
      </c>
      <c r="P423" t="s">
        <v>421</v>
      </c>
      <c r="Q423">
        <v>1</v>
      </c>
      <c r="V423">
        <v>1</v>
      </c>
      <c r="W423">
        <v>1</v>
      </c>
      <c r="X423">
        <v>1</v>
      </c>
      <c r="Y423">
        <v>1</v>
      </c>
      <c r="Z423">
        <v>5327.5772639999996</v>
      </c>
    </row>
    <row r="424" spans="1:26" x14ac:dyDescent="0.25">
      <c r="A424">
        <v>113799</v>
      </c>
      <c r="B424" t="s">
        <v>205</v>
      </c>
      <c r="C424">
        <v>2020</v>
      </c>
      <c r="D424">
        <v>1</v>
      </c>
      <c r="E424" t="s">
        <v>415</v>
      </c>
      <c r="F424" t="s">
        <v>416</v>
      </c>
      <c r="G424" t="s">
        <v>417</v>
      </c>
      <c r="H424" t="s">
        <v>84</v>
      </c>
      <c r="I424" t="s">
        <v>418</v>
      </c>
      <c r="J424" t="s">
        <v>419</v>
      </c>
      <c r="K424">
        <v>-68707.428080750004</v>
      </c>
      <c r="L424" t="s">
        <v>85</v>
      </c>
      <c r="M424" t="s">
        <v>423</v>
      </c>
      <c r="N424">
        <v>0.73979703899049998</v>
      </c>
      <c r="O424">
        <v>50829.551850999997</v>
      </c>
      <c r="P424" t="s">
        <v>421</v>
      </c>
      <c r="Q424">
        <v>1</v>
      </c>
      <c r="V424">
        <v>1</v>
      </c>
      <c r="W424">
        <v>1</v>
      </c>
      <c r="X424">
        <v>1</v>
      </c>
      <c r="Y424">
        <v>1</v>
      </c>
      <c r="Z424">
        <v>50829.551850999997</v>
      </c>
    </row>
    <row r="425" spans="1:26" x14ac:dyDescent="0.25">
      <c r="A425">
        <v>113800</v>
      </c>
      <c r="B425" t="s">
        <v>205</v>
      </c>
      <c r="C425">
        <v>2020</v>
      </c>
      <c r="D425">
        <v>1</v>
      </c>
      <c r="E425" t="s">
        <v>415</v>
      </c>
      <c r="F425" t="s">
        <v>416</v>
      </c>
      <c r="G425" t="s">
        <v>417</v>
      </c>
      <c r="H425" t="s">
        <v>84</v>
      </c>
      <c r="I425" t="s">
        <v>418</v>
      </c>
      <c r="J425" t="s">
        <v>419</v>
      </c>
      <c r="K425">
        <v>-68707.428080750004</v>
      </c>
      <c r="L425" t="s">
        <v>85</v>
      </c>
      <c r="M425" t="s">
        <v>424</v>
      </c>
      <c r="N425">
        <v>2.9085775596699999E-3</v>
      </c>
      <c r="O425">
        <v>199.84088299999999</v>
      </c>
      <c r="P425" t="s">
        <v>421</v>
      </c>
      <c r="Q425">
        <v>1</v>
      </c>
      <c r="V425">
        <v>1</v>
      </c>
      <c r="W425">
        <v>1</v>
      </c>
      <c r="X425">
        <v>1</v>
      </c>
      <c r="Y425">
        <v>1</v>
      </c>
      <c r="Z425">
        <v>199.84088299999999</v>
      </c>
    </row>
    <row r="426" spans="1:26" x14ac:dyDescent="0.25">
      <c r="A426">
        <v>113801</v>
      </c>
      <c r="B426" t="s">
        <v>205</v>
      </c>
      <c r="C426">
        <v>2020</v>
      </c>
      <c r="D426">
        <v>1</v>
      </c>
      <c r="E426" t="s">
        <v>415</v>
      </c>
      <c r="F426" t="s">
        <v>416</v>
      </c>
      <c r="G426" t="s">
        <v>417</v>
      </c>
      <c r="H426" t="s">
        <v>84</v>
      </c>
      <c r="I426" t="s">
        <v>418</v>
      </c>
      <c r="J426" t="s">
        <v>419</v>
      </c>
      <c r="K426">
        <v>-68707.428080750004</v>
      </c>
      <c r="L426" t="s">
        <v>85</v>
      </c>
      <c r="M426" t="s">
        <v>425</v>
      </c>
      <c r="N426">
        <v>2.6170694898000001E-3</v>
      </c>
      <c r="O426">
        <v>179.81211400000001</v>
      </c>
      <c r="P426" t="s">
        <v>421</v>
      </c>
      <c r="Q426">
        <v>1</v>
      </c>
      <c r="V426">
        <v>1</v>
      </c>
      <c r="W426">
        <v>1</v>
      </c>
      <c r="X426">
        <v>1</v>
      </c>
      <c r="Y426">
        <v>1</v>
      </c>
      <c r="Z426">
        <v>179.81211400000001</v>
      </c>
    </row>
    <row r="427" spans="1:26" x14ac:dyDescent="0.25">
      <c r="A427">
        <v>113802</v>
      </c>
      <c r="B427" t="s">
        <v>205</v>
      </c>
      <c r="C427">
        <v>2020</v>
      </c>
      <c r="D427">
        <v>1</v>
      </c>
      <c r="E427" t="s">
        <v>415</v>
      </c>
      <c r="F427" t="s">
        <v>416</v>
      </c>
      <c r="G427" t="s">
        <v>417</v>
      </c>
      <c r="H427" t="s">
        <v>84</v>
      </c>
      <c r="I427" t="s">
        <v>426</v>
      </c>
      <c r="J427" t="s">
        <v>87</v>
      </c>
      <c r="K427">
        <v>-28885.539257069999</v>
      </c>
      <c r="L427" t="s">
        <v>427</v>
      </c>
      <c r="M427" t="s">
        <v>420</v>
      </c>
      <c r="N427">
        <v>0.45523813654234002</v>
      </c>
      <c r="O427">
        <v>13149.799064000001</v>
      </c>
      <c r="P427" t="s">
        <v>421</v>
      </c>
      <c r="Q427">
        <v>1</v>
      </c>
      <c r="V427">
        <v>1</v>
      </c>
      <c r="W427">
        <v>1</v>
      </c>
      <c r="X427">
        <v>1</v>
      </c>
      <c r="Y427">
        <v>1</v>
      </c>
      <c r="Z427">
        <v>13149.799064000001</v>
      </c>
    </row>
    <row r="428" spans="1:26" x14ac:dyDescent="0.25">
      <c r="A428">
        <v>113803</v>
      </c>
      <c r="B428" t="s">
        <v>205</v>
      </c>
      <c r="C428">
        <v>2020</v>
      </c>
      <c r="D428">
        <v>1</v>
      </c>
      <c r="E428" t="s">
        <v>415</v>
      </c>
      <c r="F428" t="s">
        <v>416</v>
      </c>
      <c r="G428" t="s">
        <v>417</v>
      </c>
      <c r="H428" t="s">
        <v>84</v>
      </c>
      <c r="I428" t="s">
        <v>426</v>
      </c>
      <c r="J428" t="s">
        <v>87</v>
      </c>
      <c r="K428">
        <v>-28885.539257069999</v>
      </c>
      <c r="L428" t="s">
        <v>427</v>
      </c>
      <c r="M428" t="s">
        <v>422</v>
      </c>
      <c r="N428">
        <v>6.8896616392329996E-2</v>
      </c>
      <c r="O428">
        <v>1990.1159170000001</v>
      </c>
      <c r="P428" t="s">
        <v>421</v>
      </c>
      <c r="Q428">
        <v>1</v>
      </c>
      <c r="V428">
        <v>1</v>
      </c>
      <c r="W428">
        <v>1</v>
      </c>
      <c r="X428">
        <v>1</v>
      </c>
      <c r="Y428">
        <v>1</v>
      </c>
      <c r="Z428">
        <v>1990.1159170000001</v>
      </c>
    </row>
    <row r="429" spans="1:26" x14ac:dyDescent="0.25">
      <c r="A429">
        <v>113804</v>
      </c>
      <c r="B429" t="s">
        <v>205</v>
      </c>
      <c r="C429">
        <v>2020</v>
      </c>
      <c r="D429">
        <v>1</v>
      </c>
      <c r="E429" t="s">
        <v>415</v>
      </c>
      <c r="F429" t="s">
        <v>416</v>
      </c>
      <c r="G429" t="s">
        <v>417</v>
      </c>
      <c r="H429" t="s">
        <v>84</v>
      </c>
      <c r="I429" t="s">
        <v>426</v>
      </c>
      <c r="J429" t="s">
        <v>87</v>
      </c>
      <c r="K429">
        <v>-28885.539257069999</v>
      </c>
      <c r="L429" t="s">
        <v>427</v>
      </c>
      <c r="M429" t="s">
        <v>423</v>
      </c>
      <c r="N429">
        <v>0.70986919705586005</v>
      </c>
      <c r="O429">
        <v>20504.954559000002</v>
      </c>
      <c r="P429" t="s">
        <v>421</v>
      </c>
      <c r="Q429">
        <v>1</v>
      </c>
      <c r="V429">
        <v>1</v>
      </c>
      <c r="W429">
        <v>1</v>
      </c>
      <c r="X429">
        <v>1</v>
      </c>
      <c r="Y429">
        <v>1</v>
      </c>
      <c r="Z429">
        <v>20504.954559000002</v>
      </c>
    </row>
    <row r="430" spans="1:26" x14ac:dyDescent="0.25">
      <c r="A430">
        <v>113805</v>
      </c>
      <c r="B430" t="s">
        <v>205</v>
      </c>
      <c r="C430">
        <v>2020</v>
      </c>
      <c r="D430">
        <v>1</v>
      </c>
      <c r="E430" t="s">
        <v>415</v>
      </c>
      <c r="F430" t="s">
        <v>416</v>
      </c>
      <c r="G430" t="s">
        <v>417</v>
      </c>
      <c r="H430" t="s">
        <v>84</v>
      </c>
      <c r="I430" t="s">
        <v>426</v>
      </c>
      <c r="J430" t="s">
        <v>87</v>
      </c>
      <c r="K430">
        <v>-28885.539257069999</v>
      </c>
      <c r="L430" t="s">
        <v>427</v>
      </c>
      <c r="M430" t="s">
        <v>425</v>
      </c>
      <c r="N430">
        <v>1.4965642882E-3</v>
      </c>
      <c r="O430">
        <v>43.229066000000003</v>
      </c>
      <c r="P430" t="s">
        <v>421</v>
      </c>
      <c r="Q430">
        <v>1</v>
      </c>
      <c r="V430">
        <v>1</v>
      </c>
      <c r="W430">
        <v>1</v>
      </c>
      <c r="X430">
        <v>1</v>
      </c>
      <c r="Y430">
        <v>1</v>
      </c>
      <c r="Z430">
        <v>43.229066000000003</v>
      </c>
    </row>
    <row r="431" spans="1:26" x14ac:dyDescent="0.25">
      <c r="A431">
        <v>113806</v>
      </c>
      <c r="B431" t="s">
        <v>205</v>
      </c>
      <c r="C431">
        <v>2020</v>
      </c>
      <c r="D431">
        <v>1</v>
      </c>
      <c r="E431" t="s">
        <v>415</v>
      </c>
      <c r="F431" t="s">
        <v>416</v>
      </c>
      <c r="G431" t="s">
        <v>417</v>
      </c>
      <c r="H431" t="s">
        <v>84</v>
      </c>
      <c r="I431" t="s">
        <v>428</v>
      </c>
      <c r="J431" t="s">
        <v>59</v>
      </c>
      <c r="K431">
        <v>-20443.937678660001</v>
      </c>
      <c r="L431" t="s">
        <v>89</v>
      </c>
      <c r="M431" t="s">
        <v>420</v>
      </c>
      <c r="N431">
        <v>0.26343870574139999</v>
      </c>
      <c r="O431">
        <v>5385.7244819999996</v>
      </c>
      <c r="P431" t="s">
        <v>421</v>
      </c>
      <c r="Q431">
        <v>1</v>
      </c>
      <c r="V431">
        <v>1</v>
      </c>
      <c r="W431">
        <v>1</v>
      </c>
      <c r="X431">
        <v>1</v>
      </c>
      <c r="Y431">
        <v>1</v>
      </c>
      <c r="Z431">
        <v>5385.7244819999996</v>
      </c>
    </row>
    <row r="432" spans="1:26" x14ac:dyDescent="0.25">
      <c r="A432">
        <v>113807</v>
      </c>
      <c r="B432" t="s">
        <v>205</v>
      </c>
      <c r="C432">
        <v>2020</v>
      </c>
      <c r="D432">
        <v>1</v>
      </c>
      <c r="E432" t="s">
        <v>415</v>
      </c>
      <c r="F432" t="s">
        <v>416</v>
      </c>
      <c r="G432" t="s">
        <v>417</v>
      </c>
      <c r="H432" t="s">
        <v>84</v>
      </c>
      <c r="I432" t="s">
        <v>428</v>
      </c>
      <c r="J432" t="s">
        <v>59</v>
      </c>
      <c r="K432">
        <v>-20443.937678660001</v>
      </c>
      <c r="L432" t="s">
        <v>89</v>
      </c>
      <c r="M432" t="s">
        <v>422</v>
      </c>
      <c r="N432">
        <v>7.1262429683470005E-2</v>
      </c>
      <c r="O432">
        <v>1456.884671</v>
      </c>
      <c r="P432" t="s">
        <v>421</v>
      </c>
      <c r="Q432">
        <v>1</v>
      </c>
      <c r="V432">
        <v>1</v>
      </c>
      <c r="W432">
        <v>1</v>
      </c>
      <c r="X432">
        <v>1</v>
      </c>
      <c r="Y432">
        <v>1</v>
      </c>
      <c r="Z432">
        <v>1456.884671</v>
      </c>
    </row>
    <row r="433" spans="1:26" x14ac:dyDescent="0.25">
      <c r="A433">
        <v>113808</v>
      </c>
      <c r="B433" t="s">
        <v>205</v>
      </c>
      <c r="C433">
        <v>2020</v>
      </c>
      <c r="D433">
        <v>1</v>
      </c>
      <c r="E433" t="s">
        <v>415</v>
      </c>
      <c r="F433" t="s">
        <v>416</v>
      </c>
      <c r="G433" t="s">
        <v>417</v>
      </c>
      <c r="H433" t="s">
        <v>84</v>
      </c>
      <c r="I433" t="s">
        <v>428</v>
      </c>
      <c r="J433" t="s">
        <v>59</v>
      </c>
      <c r="K433">
        <v>-20443.937678660001</v>
      </c>
      <c r="L433" t="s">
        <v>89</v>
      </c>
      <c r="M433" t="s">
        <v>423</v>
      </c>
      <c r="N433">
        <v>0.74738783869542003</v>
      </c>
      <c r="O433">
        <v>15279.550396000001</v>
      </c>
      <c r="P433" t="s">
        <v>421</v>
      </c>
      <c r="Q433">
        <v>1</v>
      </c>
      <c r="V433">
        <v>1</v>
      </c>
      <c r="W433">
        <v>1</v>
      </c>
      <c r="X433">
        <v>1</v>
      </c>
      <c r="Y433">
        <v>1</v>
      </c>
      <c r="Z433">
        <v>15279.550396000001</v>
      </c>
    </row>
    <row r="434" spans="1:26" x14ac:dyDescent="0.25">
      <c r="A434">
        <v>113809</v>
      </c>
      <c r="B434" t="s">
        <v>205</v>
      </c>
      <c r="C434">
        <v>2020</v>
      </c>
      <c r="D434">
        <v>1</v>
      </c>
      <c r="E434" t="s">
        <v>415</v>
      </c>
      <c r="F434" t="s">
        <v>416</v>
      </c>
      <c r="G434" t="s">
        <v>417</v>
      </c>
      <c r="H434" t="s">
        <v>84</v>
      </c>
      <c r="I434" t="s">
        <v>428</v>
      </c>
      <c r="J434" t="s">
        <v>59</v>
      </c>
      <c r="K434">
        <v>-20443.937678660001</v>
      </c>
      <c r="L434" t="s">
        <v>89</v>
      </c>
      <c r="M434" t="s">
        <v>424</v>
      </c>
      <c r="N434">
        <v>3.08071516317E-3</v>
      </c>
      <c r="O434">
        <v>62.981949</v>
      </c>
      <c r="P434" t="s">
        <v>421</v>
      </c>
      <c r="Q434">
        <v>1</v>
      </c>
      <c r="V434">
        <v>1</v>
      </c>
      <c r="W434">
        <v>1</v>
      </c>
      <c r="X434">
        <v>1</v>
      </c>
      <c r="Y434">
        <v>1</v>
      </c>
      <c r="Z434">
        <v>62.981949</v>
      </c>
    </row>
    <row r="435" spans="1:26" x14ac:dyDescent="0.25">
      <c r="A435">
        <v>113810</v>
      </c>
      <c r="B435" t="s">
        <v>205</v>
      </c>
      <c r="C435">
        <v>2020</v>
      </c>
      <c r="D435">
        <v>1</v>
      </c>
      <c r="E435" t="s">
        <v>415</v>
      </c>
      <c r="F435" t="s">
        <v>416</v>
      </c>
      <c r="G435" t="s">
        <v>417</v>
      </c>
      <c r="H435" t="s">
        <v>84</v>
      </c>
      <c r="I435" t="s">
        <v>428</v>
      </c>
      <c r="J435" t="s">
        <v>59</v>
      </c>
      <c r="K435">
        <v>-20443.937678660001</v>
      </c>
      <c r="L435" t="s">
        <v>89</v>
      </c>
      <c r="M435" t="s">
        <v>425</v>
      </c>
      <c r="N435">
        <v>2.5360775708E-3</v>
      </c>
      <c r="O435">
        <v>51.847411999999998</v>
      </c>
      <c r="P435" t="s">
        <v>421</v>
      </c>
      <c r="Q435">
        <v>1</v>
      </c>
      <c r="V435">
        <v>1</v>
      </c>
      <c r="W435">
        <v>1</v>
      </c>
      <c r="X435">
        <v>1</v>
      </c>
      <c r="Y435">
        <v>1</v>
      </c>
      <c r="Z435">
        <v>51.847411999999998</v>
      </c>
    </row>
    <row r="436" spans="1:26" x14ac:dyDescent="0.25">
      <c r="A436">
        <v>113811</v>
      </c>
      <c r="B436" t="s">
        <v>205</v>
      </c>
      <c r="C436">
        <v>2020</v>
      </c>
      <c r="D436">
        <v>1</v>
      </c>
      <c r="E436" t="s">
        <v>415</v>
      </c>
      <c r="F436" t="s">
        <v>429</v>
      </c>
      <c r="G436" t="s">
        <v>430</v>
      </c>
      <c r="H436" t="s">
        <v>84</v>
      </c>
      <c r="I436" t="s">
        <v>431</v>
      </c>
      <c r="J436" t="s">
        <v>419</v>
      </c>
      <c r="K436">
        <v>-99444.043198920001</v>
      </c>
      <c r="L436" t="s">
        <v>85</v>
      </c>
      <c r="M436" t="s">
        <v>420</v>
      </c>
      <c r="N436">
        <v>0.24824931095561001</v>
      </c>
      <c r="O436">
        <v>24686.915203</v>
      </c>
      <c r="P436" t="s">
        <v>421</v>
      </c>
      <c r="Q436">
        <v>1</v>
      </c>
      <c r="V436">
        <v>1</v>
      </c>
      <c r="W436">
        <v>1</v>
      </c>
      <c r="X436">
        <v>1</v>
      </c>
      <c r="Y436">
        <v>1</v>
      </c>
      <c r="Z436">
        <v>24686.915203</v>
      </c>
    </row>
    <row r="437" spans="1:26" x14ac:dyDescent="0.25">
      <c r="A437">
        <v>113812</v>
      </c>
      <c r="B437" t="s">
        <v>205</v>
      </c>
      <c r="C437">
        <v>2020</v>
      </c>
      <c r="D437">
        <v>1</v>
      </c>
      <c r="E437" t="s">
        <v>415</v>
      </c>
      <c r="F437" t="s">
        <v>429</v>
      </c>
      <c r="G437" t="s">
        <v>430</v>
      </c>
      <c r="H437" t="s">
        <v>84</v>
      </c>
      <c r="I437" t="s">
        <v>431</v>
      </c>
      <c r="J437" t="s">
        <v>419</v>
      </c>
      <c r="K437">
        <v>-99444.043198920001</v>
      </c>
      <c r="L437" t="s">
        <v>85</v>
      </c>
      <c r="M437" t="s">
        <v>422</v>
      </c>
      <c r="N437">
        <v>7.7540047892240005E-2</v>
      </c>
      <c r="O437">
        <v>7710.8958720000001</v>
      </c>
      <c r="P437" t="s">
        <v>421</v>
      </c>
      <c r="Q437">
        <v>1</v>
      </c>
      <c r="V437">
        <v>1</v>
      </c>
      <c r="W437">
        <v>1</v>
      </c>
      <c r="X437">
        <v>1</v>
      </c>
      <c r="Y437">
        <v>1</v>
      </c>
      <c r="Z437">
        <v>7710.8958720000001</v>
      </c>
    </row>
    <row r="438" spans="1:26" x14ac:dyDescent="0.25">
      <c r="A438">
        <v>113813</v>
      </c>
      <c r="B438" t="s">
        <v>205</v>
      </c>
      <c r="C438">
        <v>2020</v>
      </c>
      <c r="D438">
        <v>1</v>
      </c>
      <c r="E438" t="s">
        <v>415</v>
      </c>
      <c r="F438" t="s">
        <v>429</v>
      </c>
      <c r="G438" t="s">
        <v>430</v>
      </c>
      <c r="H438" t="s">
        <v>84</v>
      </c>
      <c r="I438" t="s">
        <v>431</v>
      </c>
      <c r="J438" t="s">
        <v>419</v>
      </c>
      <c r="K438">
        <v>-99444.043198920001</v>
      </c>
      <c r="L438" t="s">
        <v>85</v>
      </c>
      <c r="M438" t="s">
        <v>423</v>
      </c>
      <c r="N438">
        <v>0.73979703899049998</v>
      </c>
      <c r="O438">
        <v>73568.408704000001</v>
      </c>
      <c r="P438" t="s">
        <v>421</v>
      </c>
      <c r="Q438">
        <v>1</v>
      </c>
      <c r="V438">
        <v>1</v>
      </c>
      <c r="W438">
        <v>1</v>
      </c>
      <c r="X438">
        <v>1</v>
      </c>
      <c r="Y438">
        <v>1</v>
      </c>
      <c r="Z438">
        <v>73568.408704000001</v>
      </c>
    </row>
    <row r="439" spans="1:26" x14ac:dyDescent="0.25">
      <c r="A439">
        <v>113814</v>
      </c>
      <c r="B439" t="s">
        <v>205</v>
      </c>
      <c r="C439">
        <v>2020</v>
      </c>
      <c r="D439">
        <v>1</v>
      </c>
      <c r="E439" t="s">
        <v>415</v>
      </c>
      <c r="F439" t="s">
        <v>429</v>
      </c>
      <c r="G439" t="s">
        <v>430</v>
      </c>
      <c r="H439" t="s">
        <v>84</v>
      </c>
      <c r="I439" t="s">
        <v>431</v>
      </c>
      <c r="J439" t="s">
        <v>419</v>
      </c>
      <c r="K439">
        <v>-99444.043198920001</v>
      </c>
      <c r="L439" t="s">
        <v>85</v>
      </c>
      <c r="M439" t="s">
        <v>424</v>
      </c>
      <c r="N439">
        <v>2.9085775596699999E-3</v>
      </c>
      <c r="O439">
        <v>289.24071199999997</v>
      </c>
      <c r="P439" t="s">
        <v>421</v>
      </c>
      <c r="Q439">
        <v>1</v>
      </c>
      <c r="V439">
        <v>1</v>
      </c>
      <c r="W439">
        <v>1</v>
      </c>
      <c r="X439">
        <v>1</v>
      </c>
      <c r="Y439">
        <v>1</v>
      </c>
      <c r="Z439">
        <v>289.24071199999997</v>
      </c>
    </row>
    <row r="440" spans="1:26" x14ac:dyDescent="0.25">
      <c r="A440">
        <v>113815</v>
      </c>
      <c r="B440" t="s">
        <v>205</v>
      </c>
      <c r="C440">
        <v>2020</v>
      </c>
      <c r="D440">
        <v>1</v>
      </c>
      <c r="E440" t="s">
        <v>415</v>
      </c>
      <c r="F440" t="s">
        <v>429</v>
      </c>
      <c r="G440" t="s">
        <v>430</v>
      </c>
      <c r="H440" t="s">
        <v>84</v>
      </c>
      <c r="I440" t="s">
        <v>431</v>
      </c>
      <c r="J440" t="s">
        <v>419</v>
      </c>
      <c r="K440">
        <v>-99444.043198920001</v>
      </c>
      <c r="L440" t="s">
        <v>85</v>
      </c>
      <c r="M440" t="s">
        <v>425</v>
      </c>
      <c r="N440">
        <v>2.6170694898000001E-3</v>
      </c>
      <c r="O440">
        <v>260.25197100000003</v>
      </c>
      <c r="P440" t="s">
        <v>421</v>
      </c>
      <c r="Q440">
        <v>1</v>
      </c>
      <c r="V440">
        <v>1</v>
      </c>
      <c r="W440">
        <v>1</v>
      </c>
      <c r="X440">
        <v>1</v>
      </c>
      <c r="Y440">
        <v>1</v>
      </c>
      <c r="Z440">
        <v>260.25197100000003</v>
      </c>
    </row>
    <row r="441" spans="1:26" x14ac:dyDescent="0.25">
      <c r="A441">
        <v>113816</v>
      </c>
      <c r="B441" t="s">
        <v>205</v>
      </c>
      <c r="C441">
        <v>2020</v>
      </c>
      <c r="D441">
        <v>1</v>
      </c>
      <c r="E441" t="s">
        <v>415</v>
      </c>
      <c r="F441" t="s">
        <v>429</v>
      </c>
      <c r="G441" t="s">
        <v>430</v>
      </c>
      <c r="H441" t="s">
        <v>84</v>
      </c>
      <c r="I441" t="s">
        <v>432</v>
      </c>
      <c r="J441" t="s">
        <v>87</v>
      </c>
      <c r="K441">
        <v>-42593.122358749999</v>
      </c>
      <c r="L441" t="s">
        <v>427</v>
      </c>
      <c r="M441" t="s">
        <v>420</v>
      </c>
      <c r="N441">
        <v>0.45523813654234002</v>
      </c>
      <c r="O441">
        <v>19390.013652000001</v>
      </c>
      <c r="P441" t="s">
        <v>421</v>
      </c>
      <c r="Q441">
        <v>1</v>
      </c>
      <c r="V441">
        <v>1</v>
      </c>
      <c r="W441">
        <v>1</v>
      </c>
      <c r="X441">
        <v>1</v>
      </c>
      <c r="Y441">
        <v>1</v>
      </c>
      <c r="Z441">
        <v>19390.013652000001</v>
      </c>
    </row>
    <row r="442" spans="1:26" x14ac:dyDescent="0.25">
      <c r="A442">
        <v>113817</v>
      </c>
      <c r="B442" t="s">
        <v>205</v>
      </c>
      <c r="C442">
        <v>2020</v>
      </c>
      <c r="D442">
        <v>1</v>
      </c>
      <c r="E442" t="s">
        <v>415</v>
      </c>
      <c r="F442" t="s">
        <v>429</v>
      </c>
      <c r="G442" t="s">
        <v>430</v>
      </c>
      <c r="H442" t="s">
        <v>84</v>
      </c>
      <c r="I442" t="s">
        <v>432</v>
      </c>
      <c r="J442" t="s">
        <v>87</v>
      </c>
      <c r="K442">
        <v>-42593.122358749999</v>
      </c>
      <c r="L442" t="s">
        <v>427</v>
      </c>
      <c r="M442" t="s">
        <v>422</v>
      </c>
      <c r="N442">
        <v>6.8896616392329996E-2</v>
      </c>
      <c r="O442">
        <v>2934.5220119999999</v>
      </c>
      <c r="P442" t="s">
        <v>421</v>
      </c>
      <c r="Q442">
        <v>1</v>
      </c>
      <c r="V442">
        <v>1</v>
      </c>
      <c r="W442">
        <v>1</v>
      </c>
      <c r="X442">
        <v>1</v>
      </c>
      <c r="Y442">
        <v>1</v>
      </c>
      <c r="Z442">
        <v>2934.5220119999999</v>
      </c>
    </row>
    <row r="443" spans="1:26" x14ac:dyDescent="0.25">
      <c r="A443">
        <v>113818</v>
      </c>
      <c r="B443" t="s">
        <v>205</v>
      </c>
      <c r="C443">
        <v>2020</v>
      </c>
      <c r="D443">
        <v>1</v>
      </c>
      <c r="E443" t="s">
        <v>415</v>
      </c>
      <c r="F443" t="s">
        <v>429</v>
      </c>
      <c r="G443" t="s">
        <v>430</v>
      </c>
      <c r="H443" t="s">
        <v>84</v>
      </c>
      <c r="I443" t="s">
        <v>432</v>
      </c>
      <c r="J443" t="s">
        <v>87</v>
      </c>
      <c r="K443">
        <v>-42593.122358749999</v>
      </c>
      <c r="L443" t="s">
        <v>427</v>
      </c>
      <c r="M443" t="s">
        <v>423</v>
      </c>
      <c r="N443">
        <v>0.70986919705586005</v>
      </c>
      <c r="O443">
        <v>30235.545569000002</v>
      </c>
      <c r="P443" t="s">
        <v>421</v>
      </c>
      <c r="Q443">
        <v>1</v>
      </c>
      <c r="V443">
        <v>1</v>
      </c>
      <c r="W443">
        <v>1</v>
      </c>
      <c r="X443">
        <v>1</v>
      </c>
      <c r="Y443">
        <v>1</v>
      </c>
      <c r="Z443">
        <v>30235.545569000002</v>
      </c>
    </row>
    <row r="444" spans="1:26" x14ac:dyDescent="0.25">
      <c r="A444">
        <v>113819</v>
      </c>
      <c r="B444" t="s">
        <v>205</v>
      </c>
      <c r="C444">
        <v>2020</v>
      </c>
      <c r="D444">
        <v>1</v>
      </c>
      <c r="E444" t="s">
        <v>415</v>
      </c>
      <c r="F444" t="s">
        <v>429</v>
      </c>
      <c r="G444" t="s">
        <v>430</v>
      </c>
      <c r="H444" t="s">
        <v>84</v>
      </c>
      <c r="I444" t="s">
        <v>432</v>
      </c>
      <c r="J444" t="s">
        <v>87</v>
      </c>
      <c r="K444">
        <v>-42593.122358749999</v>
      </c>
      <c r="L444" t="s">
        <v>427</v>
      </c>
      <c r="M444" t="s">
        <v>425</v>
      </c>
      <c r="N444">
        <v>1.4965642882E-3</v>
      </c>
      <c r="O444">
        <v>63.743346000000003</v>
      </c>
      <c r="P444" t="s">
        <v>421</v>
      </c>
      <c r="Q444">
        <v>1</v>
      </c>
      <c r="V444">
        <v>1</v>
      </c>
      <c r="W444">
        <v>1</v>
      </c>
      <c r="X444">
        <v>1</v>
      </c>
      <c r="Y444">
        <v>1</v>
      </c>
      <c r="Z444">
        <v>63.743346000000003</v>
      </c>
    </row>
    <row r="445" spans="1:26" x14ac:dyDescent="0.25">
      <c r="A445">
        <v>113820</v>
      </c>
      <c r="B445" t="s">
        <v>205</v>
      </c>
      <c r="C445">
        <v>2020</v>
      </c>
      <c r="D445">
        <v>1</v>
      </c>
      <c r="E445" t="s">
        <v>415</v>
      </c>
      <c r="F445" t="s">
        <v>429</v>
      </c>
      <c r="G445" t="s">
        <v>430</v>
      </c>
      <c r="H445" t="s">
        <v>84</v>
      </c>
      <c r="I445" t="s">
        <v>433</v>
      </c>
      <c r="J445" t="s">
        <v>59</v>
      </c>
      <c r="K445">
        <v>-29350.81881348</v>
      </c>
      <c r="L445" t="s">
        <v>89</v>
      </c>
      <c r="M445" t="s">
        <v>420</v>
      </c>
      <c r="N445">
        <v>0.26343870574139999</v>
      </c>
      <c r="O445">
        <v>7732.141721</v>
      </c>
      <c r="P445" t="s">
        <v>421</v>
      </c>
      <c r="Q445">
        <v>1</v>
      </c>
      <c r="V445">
        <v>1</v>
      </c>
      <c r="W445">
        <v>1</v>
      </c>
      <c r="X445">
        <v>1</v>
      </c>
      <c r="Y445">
        <v>1</v>
      </c>
      <c r="Z445">
        <v>7732.141721</v>
      </c>
    </row>
    <row r="446" spans="1:26" x14ac:dyDescent="0.25">
      <c r="A446">
        <v>113821</v>
      </c>
      <c r="B446" t="s">
        <v>205</v>
      </c>
      <c r="C446">
        <v>2020</v>
      </c>
      <c r="D446">
        <v>1</v>
      </c>
      <c r="E446" t="s">
        <v>415</v>
      </c>
      <c r="F446" t="s">
        <v>429</v>
      </c>
      <c r="G446" t="s">
        <v>430</v>
      </c>
      <c r="H446" t="s">
        <v>84</v>
      </c>
      <c r="I446" t="s">
        <v>433</v>
      </c>
      <c r="J446" t="s">
        <v>59</v>
      </c>
      <c r="K446">
        <v>-29350.81881348</v>
      </c>
      <c r="L446" t="s">
        <v>89</v>
      </c>
      <c r="M446" t="s">
        <v>422</v>
      </c>
      <c r="N446">
        <v>7.1262429683470005E-2</v>
      </c>
      <c r="O446">
        <v>2091.610662</v>
      </c>
      <c r="P446" t="s">
        <v>421</v>
      </c>
      <c r="Q446">
        <v>1</v>
      </c>
      <c r="V446">
        <v>1</v>
      </c>
      <c r="W446">
        <v>1</v>
      </c>
      <c r="X446">
        <v>1</v>
      </c>
      <c r="Y446">
        <v>1</v>
      </c>
      <c r="Z446">
        <v>2091.610662</v>
      </c>
    </row>
    <row r="447" spans="1:26" x14ac:dyDescent="0.25">
      <c r="A447">
        <v>113822</v>
      </c>
      <c r="B447" t="s">
        <v>205</v>
      </c>
      <c r="C447">
        <v>2020</v>
      </c>
      <c r="D447">
        <v>1</v>
      </c>
      <c r="E447" t="s">
        <v>415</v>
      </c>
      <c r="F447" t="s">
        <v>429</v>
      </c>
      <c r="G447" t="s">
        <v>430</v>
      </c>
      <c r="H447" t="s">
        <v>84</v>
      </c>
      <c r="I447" t="s">
        <v>433</v>
      </c>
      <c r="J447" t="s">
        <v>59</v>
      </c>
      <c r="K447">
        <v>-29350.81881348</v>
      </c>
      <c r="L447" t="s">
        <v>89</v>
      </c>
      <c r="M447" t="s">
        <v>423</v>
      </c>
      <c r="N447">
        <v>0.74738783869542003</v>
      </c>
      <c r="O447">
        <v>21936.445037000001</v>
      </c>
      <c r="P447" t="s">
        <v>421</v>
      </c>
      <c r="Q447">
        <v>1</v>
      </c>
      <c r="V447">
        <v>1</v>
      </c>
      <c r="W447">
        <v>1</v>
      </c>
      <c r="X447">
        <v>1</v>
      </c>
      <c r="Y447">
        <v>1</v>
      </c>
      <c r="Z447">
        <v>21936.445037000001</v>
      </c>
    </row>
    <row r="448" spans="1:26" x14ac:dyDescent="0.25">
      <c r="A448">
        <v>113823</v>
      </c>
      <c r="B448" t="s">
        <v>205</v>
      </c>
      <c r="C448">
        <v>2020</v>
      </c>
      <c r="D448">
        <v>1</v>
      </c>
      <c r="E448" t="s">
        <v>415</v>
      </c>
      <c r="F448" t="s">
        <v>429</v>
      </c>
      <c r="G448" t="s">
        <v>430</v>
      </c>
      <c r="H448" t="s">
        <v>84</v>
      </c>
      <c r="I448" t="s">
        <v>433</v>
      </c>
      <c r="J448" t="s">
        <v>59</v>
      </c>
      <c r="K448">
        <v>-29350.81881348</v>
      </c>
      <c r="L448" t="s">
        <v>89</v>
      </c>
      <c r="M448" t="s">
        <v>424</v>
      </c>
      <c r="N448">
        <v>3.08071516317E-3</v>
      </c>
      <c r="O448">
        <v>90.421513000000004</v>
      </c>
      <c r="P448" t="s">
        <v>421</v>
      </c>
      <c r="Q448">
        <v>1</v>
      </c>
      <c r="V448">
        <v>1</v>
      </c>
      <c r="W448">
        <v>1</v>
      </c>
      <c r="X448">
        <v>1</v>
      </c>
      <c r="Y448">
        <v>1</v>
      </c>
      <c r="Z448">
        <v>90.421513000000004</v>
      </c>
    </row>
    <row r="449" spans="1:26" x14ac:dyDescent="0.25">
      <c r="A449">
        <v>113824</v>
      </c>
      <c r="B449" t="s">
        <v>205</v>
      </c>
      <c r="C449">
        <v>2020</v>
      </c>
      <c r="D449">
        <v>1</v>
      </c>
      <c r="E449" t="s">
        <v>415</v>
      </c>
      <c r="F449" t="s">
        <v>429</v>
      </c>
      <c r="G449" t="s">
        <v>430</v>
      </c>
      <c r="H449" t="s">
        <v>84</v>
      </c>
      <c r="I449" t="s">
        <v>433</v>
      </c>
      <c r="J449" t="s">
        <v>59</v>
      </c>
      <c r="K449">
        <v>-29350.81881348</v>
      </c>
      <c r="L449" t="s">
        <v>89</v>
      </c>
      <c r="M449" t="s">
        <v>425</v>
      </c>
      <c r="N449">
        <v>2.5360775708E-3</v>
      </c>
      <c r="O449">
        <v>74.435952999999998</v>
      </c>
      <c r="P449" t="s">
        <v>421</v>
      </c>
      <c r="Q449">
        <v>1</v>
      </c>
      <c r="V449">
        <v>1</v>
      </c>
      <c r="W449">
        <v>1</v>
      </c>
      <c r="X449">
        <v>1</v>
      </c>
      <c r="Y449">
        <v>1</v>
      </c>
      <c r="Z449">
        <v>74.435952999999998</v>
      </c>
    </row>
    <row r="450" spans="1:26" x14ac:dyDescent="0.25">
      <c r="A450">
        <v>113825</v>
      </c>
      <c r="B450" t="s">
        <v>205</v>
      </c>
      <c r="C450">
        <v>2020</v>
      </c>
      <c r="D450">
        <v>1</v>
      </c>
      <c r="E450" t="s">
        <v>415</v>
      </c>
      <c r="F450" t="s">
        <v>434</v>
      </c>
      <c r="G450" t="s">
        <v>435</v>
      </c>
      <c r="H450" t="s">
        <v>84</v>
      </c>
      <c r="I450" t="s">
        <v>436</v>
      </c>
      <c r="J450" t="s">
        <v>419</v>
      </c>
      <c r="K450">
        <v>-52189.779494100003</v>
      </c>
      <c r="L450" t="s">
        <v>85</v>
      </c>
      <c r="M450" t="s">
        <v>420</v>
      </c>
      <c r="N450">
        <v>0.24824931095561001</v>
      </c>
      <c r="O450">
        <v>12956.076798</v>
      </c>
      <c r="P450" t="s">
        <v>421</v>
      </c>
      <c r="Q450">
        <v>1</v>
      </c>
      <c r="V450">
        <v>1</v>
      </c>
      <c r="W450">
        <v>1</v>
      </c>
      <c r="X450">
        <v>1</v>
      </c>
      <c r="Y450">
        <v>1</v>
      </c>
      <c r="Z450">
        <v>12956.076798</v>
      </c>
    </row>
    <row r="451" spans="1:26" x14ac:dyDescent="0.25">
      <c r="A451">
        <v>113826</v>
      </c>
      <c r="B451" t="s">
        <v>205</v>
      </c>
      <c r="C451">
        <v>2020</v>
      </c>
      <c r="D451">
        <v>1</v>
      </c>
      <c r="E451" t="s">
        <v>415</v>
      </c>
      <c r="F451" t="s">
        <v>434</v>
      </c>
      <c r="G451" t="s">
        <v>435</v>
      </c>
      <c r="H451" t="s">
        <v>84</v>
      </c>
      <c r="I451" t="s">
        <v>436</v>
      </c>
      <c r="J451" t="s">
        <v>419</v>
      </c>
      <c r="K451">
        <v>-52189.779494100003</v>
      </c>
      <c r="L451" t="s">
        <v>85</v>
      </c>
      <c r="M451" t="s">
        <v>422</v>
      </c>
      <c r="N451">
        <v>7.7540047892240005E-2</v>
      </c>
      <c r="O451">
        <v>4046.7980010000001</v>
      </c>
      <c r="P451" t="s">
        <v>421</v>
      </c>
      <c r="Q451">
        <v>1</v>
      </c>
      <c r="V451">
        <v>1</v>
      </c>
      <c r="W451">
        <v>1</v>
      </c>
      <c r="X451">
        <v>1</v>
      </c>
      <c r="Y451">
        <v>1</v>
      </c>
      <c r="Z451">
        <v>4046.7980010000001</v>
      </c>
    </row>
    <row r="452" spans="1:26" x14ac:dyDescent="0.25">
      <c r="A452">
        <v>113827</v>
      </c>
      <c r="B452" t="s">
        <v>205</v>
      </c>
      <c r="C452">
        <v>2020</v>
      </c>
      <c r="D452">
        <v>1</v>
      </c>
      <c r="E452" t="s">
        <v>415</v>
      </c>
      <c r="F452" t="s">
        <v>434</v>
      </c>
      <c r="G452" t="s">
        <v>435</v>
      </c>
      <c r="H452" t="s">
        <v>84</v>
      </c>
      <c r="I452" t="s">
        <v>436</v>
      </c>
      <c r="J452" t="s">
        <v>419</v>
      </c>
      <c r="K452">
        <v>-52189.779494100003</v>
      </c>
      <c r="L452" t="s">
        <v>85</v>
      </c>
      <c r="M452" t="s">
        <v>423</v>
      </c>
      <c r="N452">
        <v>0.73979703899049998</v>
      </c>
      <c r="O452">
        <v>38609.844335000002</v>
      </c>
      <c r="P452" t="s">
        <v>421</v>
      </c>
      <c r="Q452">
        <v>1</v>
      </c>
      <c r="V452">
        <v>1</v>
      </c>
      <c r="W452">
        <v>1</v>
      </c>
      <c r="X452">
        <v>1</v>
      </c>
      <c r="Y452">
        <v>1</v>
      </c>
      <c r="Z452">
        <v>38609.844335000002</v>
      </c>
    </row>
    <row r="453" spans="1:26" x14ac:dyDescent="0.25">
      <c r="A453">
        <v>113828</v>
      </c>
      <c r="B453" t="s">
        <v>205</v>
      </c>
      <c r="C453">
        <v>2020</v>
      </c>
      <c r="D453">
        <v>1</v>
      </c>
      <c r="E453" t="s">
        <v>415</v>
      </c>
      <c r="F453" t="s">
        <v>434</v>
      </c>
      <c r="G453" t="s">
        <v>435</v>
      </c>
      <c r="H453" t="s">
        <v>84</v>
      </c>
      <c r="I453" t="s">
        <v>436</v>
      </c>
      <c r="J453" t="s">
        <v>419</v>
      </c>
      <c r="K453">
        <v>-52189.779494100003</v>
      </c>
      <c r="L453" t="s">
        <v>85</v>
      </c>
      <c r="M453" t="s">
        <v>424</v>
      </c>
      <c r="N453">
        <v>2.9085775596699999E-3</v>
      </c>
      <c r="O453">
        <v>151.79802100000001</v>
      </c>
      <c r="P453" t="s">
        <v>421</v>
      </c>
      <c r="Q453">
        <v>1</v>
      </c>
      <c r="V453">
        <v>1</v>
      </c>
      <c r="W453">
        <v>1</v>
      </c>
      <c r="X453">
        <v>1</v>
      </c>
      <c r="Y453">
        <v>1</v>
      </c>
      <c r="Z453">
        <v>151.79802100000001</v>
      </c>
    </row>
    <row r="454" spans="1:26" x14ac:dyDescent="0.25">
      <c r="A454">
        <v>113829</v>
      </c>
      <c r="B454" t="s">
        <v>205</v>
      </c>
      <c r="C454">
        <v>2020</v>
      </c>
      <c r="D454">
        <v>1</v>
      </c>
      <c r="E454" t="s">
        <v>415</v>
      </c>
      <c r="F454" t="s">
        <v>434</v>
      </c>
      <c r="G454" t="s">
        <v>435</v>
      </c>
      <c r="H454" t="s">
        <v>84</v>
      </c>
      <c r="I454" t="s">
        <v>436</v>
      </c>
      <c r="J454" t="s">
        <v>419</v>
      </c>
      <c r="K454">
        <v>-52189.779494100003</v>
      </c>
      <c r="L454" t="s">
        <v>85</v>
      </c>
      <c r="M454" t="s">
        <v>425</v>
      </c>
      <c r="N454">
        <v>2.6170694898000001E-3</v>
      </c>
      <c r="O454">
        <v>136.58428000000001</v>
      </c>
      <c r="P454" t="s">
        <v>421</v>
      </c>
      <c r="Q454">
        <v>1</v>
      </c>
      <c r="V454">
        <v>1</v>
      </c>
      <c r="W454">
        <v>1</v>
      </c>
      <c r="X454">
        <v>1</v>
      </c>
      <c r="Y454">
        <v>1</v>
      </c>
      <c r="Z454">
        <v>136.58428000000001</v>
      </c>
    </row>
    <row r="455" spans="1:26" x14ac:dyDescent="0.25">
      <c r="A455">
        <v>113830</v>
      </c>
      <c r="B455" t="s">
        <v>205</v>
      </c>
      <c r="C455">
        <v>2020</v>
      </c>
      <c r="D455">
        <v>1</v>
      </c>
      <c r="E455" t="s">
        <v>415</v>
      </c>
      <c r="F455" t="s">
        <v>434</v>
      </c>
      <c r="G455" t="s">
        <v>435</v>
      </c>
      <c r="H455" t="s">
        <v>84</v>
      </c>
      <c r="I455" t="s">
        <v>437</v>
      </c>
      <c r="J455" t="s">
        <v>87</v>
      </c>
      <c r="K455">
        <v>-19756.90082029</v>
      </c>
      <c r="L455" t="s">
        <v>427</v>
      </c>
      <c r="M455" t="s">
        <v>420</v>
      </c>
      <c r="N455">
        <v>0.45523813654234002</v>
      </c>
      <c r="O455">
        <v>8994.0947130000004</v>
      </c>
      <c r="P455" t="s">
        <v>421</v>
      </c>
      <c r="Q455">
        <v>1</v>
      </c>
      <c r="V455">
        <v>1</v>
      </c>
      <c r="W455">
        <v>1</v>
      </c>
      <c r="X455">
        <v>1</v>
      </c>
      <c r="Y455">
        <v>1</v>
      </c>
      <c r="Z455">
        <v>8994.0947130000004</v>
      </c>
    </row>
    <row r="456" spans="1:26" x14ac:dyDescent="0.25">
      <c r="A456">
        <v>113831</v>
      </c>
      <c r="B456" t="s">
        <v>205</v>
      </c>
      <c r="C456">
        <v>2020</v>
      </c>
      <c r="D456">
        <v>1</v>
      </c>
      <c r="E456" t="s">
        <v>415</v>
      </c>
      <c r="F456" t="s">
        <v>434</v>
      </c>
      <c r="G456" t="s">
        <v>435</v>
      </c>
      <c r="H456" t="s">
        <v>84</v>
      </c>
      <c r="I456" t="s">
        <v>437</v>
      </c>
      <c r="J456" t="s">
        <v>87</v>
      </c>
      <c r="K456">
        <v>-19756.90082029</v>
      </c>
      <c r="L456" t="s">
        <v>427</v>
      </c>
      <c r="M456" t="s">
        <v>422</v>
      </c>
      <c r="N456">
        <v>6.8896616392329996E-2</v>
      </c>
      <c r="O456">
        <v>1361.1836169999999</v>
      </c>
      <c r="P456" t="s">
        <v>421</v>
      </c>
      <c r="Q456">
        <v>1</v>
      </c>
      <c r="V456">
        <v>1</v>
      </c>
      <c r="W456">
        <v>1</v>
      </c>
      <c r="X456">
        <v>1</v>
      </c>
      <c r="Y456">
        <v>1</v>
      </c>
      <c r="Z456">
        <v>1361.1836169999999</v>
      </c>
    </row>
    <row r="457" spans="1:26" x14ac:dyDescent="0.25">
      <c r="A457">
        <v>113832</v>
      </c>
      <c r="B457" t="s">
        <v>205</v>
      </c>
      <c r="C457">
        <v>2020</v>
      </c>
      <c r="D457">
        <v>1</v>
      </c>
      <c r="E457" t="s">
        <v>415</v>
      </c>
      <c r="F457" t="s">
        <v>434</v>
      </c>
      <c r="G457" t="s">
        <v>435</v>
      </c>
      <c r="H457" t="s">
        <v>84</v>
      </c>
      <c r="I457" t="s">
        <v>437</v>
      </c>
      <c r="J457" t="s">
        <v>87</v>
      </c>
      <c r="K457">
        <v>-19756.90082029</v>
      </c>
      <c r="L457" t="s">
        <v>427</v>
      </c>
      <c r="M457" t="s">
        <v>423</v>
      </c>
      <c r="N457">
        <v>0.70986919705586005</v>
      </c>
      <c r="O457">
        <v>14024.815322</v>
      </c>
      <c r="P457" t="s">
        <v>421</v>
      </c>
      <c r="Q457">
        <v>1</v>
      </c>
      <c r="V457">
        <v>1</v>
      </c>
      <c r="W457">
        <v>1</v>
      </c>
      <c r="X457">
        <v>1</v>
      </c>
      <c r="Y457">
        <v>1</v>
      </c>
      <c r="Z457">
        <v>14024.815322</v>
      </c>
    </row>
    <row r="458" spans="1:26" x14ac:dyDescent="0.25">
      <c r="A458">
        <v>113833</v>
      </c>
      <c r="B458" t="s">
        <v>205</v>
      </c>
      <c r="C458">
        <v>2020</v>
      </c>
      <c r="D458">
        <v>1</v>
      </c>
      <c r="E458" t="s">
        <v>415</v>
      </c>
      <c r="F458" t="s">
        <v>434</v>
      </c>
      <c r="G458" t="s">
        <v>435</v>
      </c>
      <c r="H458" t="s">
        <v>84</v>
      </c>
      <c r="I458" t="s">
        <v>437</v>
      </c>
      <c r="J458" t="s">
        <v>87</v>
      </c>
      <c r="K458">
        <v>-19756.90082029</v>
      </c>
      <c r="L458" t="s">
        <v>427</v>
      </c>
      <c r="M458" t="s">
        <v>425</v>
      </c>
      <c r="N458">
        <v>1.4965642882E-3</v>
      </c>
      <c r="O458">
        <v>29.567471999999999</v>
      </c>
      <c r="P458" t="s">
        <v>421</v>
      </c>
      <c r="Q458">
        <v>1</v>
      </c>
      <c r="V458">
        <v>1</v>
      </c>
      <c r="W458">
        <v>1</v>
      </c>
      <c r="X458">
        <v>1</v>
      </c>
      <c r="Y458">
        <v>1</v>
      </c>
      <c r="Z458">
        <v>29.567471999999999</v>
      </c>
    </row>
    <row r="459" spans="1:26" x14ac:dyDescent="0.25">
      <c r="A459">
        <v>113834</v>
      </c>
      <c r="B459" t="s">
        <v>205</v>
      </c>
      <c r="C459">
        <v>2020</v>
      </c>
      <c r="D459">
        <v>1</v>
      </c>
      <c r="E459" t="s">
        <v>415</v>
      </c>
      <c r="F459" t="s">
        <v>434</v>
      </c>
      <c r="G459" t="s">
        <v>435</v>
      </c>
      <c r="H459" t="s">
        <v>84</v>
      </c>
      <c r="I459" t="s">
        <v>438</v>
      </c>
      <c r="J459" t="s">
        <v>59</v>
      </c>
      <c r="K459">
        <v>-16232.020670399999</v>
      </c>
      <c r="L459" t="s">
        <v>89</v>
      </c>
      <c r="M459" t="s">
        <v>420</v>
      </c>
      <c r="N459">
        <v>0.26343870574139999</v>
      </c>
      <c r="O459">
        <v>4276.1425170000002</v>
      </c>
      <c r="P459" t="s">
        <v>421</v>
      </c>
      <c r="Q459">
        <v>1</v>
      </c>
      <c r="V459">
        <v>1</v>
      </c>
      <c r="W459">
        <v>1</v>
      </c>
      <c r="X459">
        <v>1</v>
      </c>
      <c r="Y459">
        <v>1</v>
      </c>
      <c r="Z459">
        <v>4276.1425170000002</v>
      </c>
    </row>
    <row r="460" spans="1:26" x14ac:dyDescent="0.25">
      <c r="A460">
        <v>113835</v>
      </c>
      <c r="B460" t="s">
        <v>205</v>
      </c>
      <c r="C460">
        <v>2020</v>
      </c>
      <c r="D460">
        <v>1</v>
      </c>
      <c r="E460" t="s">
        <v>415</v>
      </c>
      <c r="F460" t="s">
        <v>434</v>
      </c>
      <c r="G460" t="s">
        <v>435</v>
      </c>
      <c r="H460" t="s">
        <v>84</v>
      </c>
      <c r="I460" t="s">
        <v>438</v>
      </c>
      <c r="J460" t="s">
        <v>59</v>
      </c>
      <c r="K460">
        <v>-16232.020670399999</v>
      </c>
      <c r="L460" t="s">
        <v>89</v>
      </c>
      <c r="M460" t="s">
        <v>422</v>
      </c>
      <c r="N460">
        <v>7.1262429683470005E-2</v>
      </c>
      <c r="O460">
        <v>1156.733232</v>
      </c>
      <c r="P460" t="s">
        <v>421</v>
      </c>
      <c r="Q460">
        <v>1</v>
      </c>
      <c r="V460">
        <v>1</v>
      </c>
      <c r="W460">
        <v>1</v>
      </c>
      <c r="X460">
        <v>1</v>
      </c>
      <c r="Y460">
        <v>1</v>
      </c>
      <c r="Z460">
        <v>1156.733232</v>
      </c>
    </row>
    <row r="461" spans="1:26" x14ac:dyDescent="0.25">
      <c r="A461">
        <v>113836</v>
      </c>
      <c r="B461" t="s">
        <v>205</v>
      </c>
      <c r="C461">
        <v>2020</v>
      </c>
      <c r="D461">
        <v>1</v>
      </c>
      <c r="E461" t="s">
        <v>415</v>
      </c>
      <c r="F461" t="s">
        <v>434</v>
      </c>
      <c r="G461" t="s">
        <v>435</v>
      </c>
      <c r="H461" t="s">
        <v>84</v>
      </c>
      <c r="I461" t="s">
        <v>438</v>
      </c>
      <c r="J461" t="s">
        <v>59</v>
      </c>
      <c r="K461">
        <v>-16232.020670399999</v>
      </c>
      <c r="L461" t="s">
        <v>89</v>
      </c>
      <c r="M461" t="s">
        <v>423</v>
      </c>
      <c r="N461">
        <v>0.74738783869542003</v>
      </c>
      <c r="O461">
        <v>12131.614847000001</v>
      </c>
      <c r="P461" t="s">
        <v>421</v>
      </c>
      <c r="Q461">
        <v>1</v>
      </c>
      <c r="V461">
        <v>1</v>
      </c>
      <c r="W461">
        <v>1</v>
      </c>
      <c r="X461">
        <v>1</v>
      </c>
      <c r="Y461">
        <v>1</v>
      </c>
      <c r="Z461">
        <v>12131.614847000001</v>
      </c>
    </row>
    <row r="462" spans="1:26" x14ac:dyDescent="0.25">
      <c r="A462">
        <v>113837</v>
      </c>
      <c r="B462" t="s">
        <v>205</v>
      </c>
      <c r="C462">
        <v>2020</v>
      </c>
      <c r="D462">
        <v>1</v>
      </c>
      <c r="E462" t="s">
        <v>415</v>
      </c>
      <c r="F462" t="s">
        <v>434</v>
      </c>
      <c r="G462" t="s">
        <v>435</v>
      </c>
      <c r="H462" t="s">
        <v>84</v>
      </c>
      <c r="I462" t="s">
        <v>438</v>
      </c>
      <c r="J462" t="s">
        <v>59</v>
      </c>
      <c r="K462">
        <v>-16232.020670399999</v>
      </c>
      <c r="L462" t="s">
        <v>89</v>
      </c>
      <c r="M462" t="s">
        <v>424</v>
      </c>
      <c r="N462">
        <v>3.08071516317E-3</v>
      </c>
      <c r="O462">
        <v>50.006231999999997</v>
      </c>
      <c r="P462" t="s">
        <v>421</v>
      </c>
      <c r="Q462">
        <v>1</v>
      </c>
      <c r="V462">
        <v>1</v>
      </c>
      <c r="W462">
        <v>1</v>
      </c>
      <c r="X462">
        <v>1</v>
      </c>
      <c r="Y462">
        <v>1</v>
      </c>
      <c r="Z462">
        <v>50.006231999999997</v>
      </c>
    </row>
    <row r="463" spans="1:26" x14ac:dyDescent="0.25">
      <c r="A463">
        <v>113838</v>
      </c>
      <c r="B463" t="s">
        <v>205</v>
      </c>
      <c r="C463">
        <v>2020</v>
      </c>
      <c r="D463">
        <v>1</v>
      </c>
      <c r="E463" t="s">
        <v>415</v>
      </c>
      <c r="F463" t="s">
        <v>434</v>
      </c>
      <c r="G463" t="s">
        <v>435</v>
      </c>
      <c r="H463" t="s">
        <v>84</v>
      </c>
      <c r="I463" t="s">
        <v>438</v>
      </c>
      <c r="J463" t="s">
        <v>59</v>
      </c>
      <c r="K463">
        <v>-16232.020670399999</v>
      </c>
      <c r="L463" t="s">
        <v>89</v>
      </c>
      <c r="M463" t="s">
        <v>425</v>
      </c>
      <c r="N463">
        <v>2.5360775708E-3</v>
      </c>
      <c r="O463">
        <v>41.165664</v>
      </c>
      <c r="P463" t="s">
        <v>421</v>
      </c>
      <c r="Q463">
        <v>1</v>
      </c>
      <c r="V463">
        <v>1</v>
      </c>
      <c r="W463">
        <v>1</v>
      </c>
      <c r="X463">
        <v>1</v>
      </c>
      <c r="Y463">
        <v>1</v>
      </c>
      <c r="Z463">
        <v>41.165664</v>
      </c>
    </row>
    <row r="464" spans="1:26" x14ac:dyDescent="0.25">
      <c r="A464">
        <v>168812</v>
      </c>
      <c r="B464" t="s">
        <v>441</v>
      </c>
      <c r="C464">
        <v>2021</v>
      </c>
      <c r="D464">
        <v>1</v>
      </c>
      <c r="E464" t="s">
        <v>415</v>
      </c>
      <c r="F464" t="s">
        <v>416</v>
      </c>
      <c r="G464" t="s">
        <v>417</v>
      </c>
      <c r="H464" t="s">
        <v>84</v>
      </c>
      <c r="I464" t="s">
        <v>418</v>
      </c>
      <c r="J464" t="s">
        <v>419</v>
      </c>
      <c r="K464">
        <v>-52103.96309546</v>
      </c>
      <c r="L464" t="s">
        <v>85</v>
      </c>
      <c r="M464" t="s">
        <v>420</v>
      </c>
      <c r="N464">
        <v>0.24824931095561001</v>
      </c>
      <c r="O464">
        <v>12934.772937</v>
      </c>
      <c r="P464" t="s">
        <v>421</v>
      </c>
      <c r="Q464">
        <v>1</v>
      </c>
      <c r="V464">
        <v>1</v>
      </c>
      <c r="W464">
        <v>1</v>
      </c>
      <c r="X464">
        <v>1</v>
      </c>
      <c r="Y464">
        <v>1</v>
      </c>
      <c r="Z464">
        <v>12934.772937</v>
      </c>
    </row>
    <row r="465" spans="1:26" x14ac:dyDescent="0.25">
      <c r="A465">
        <v>168813</v>
      </c>
      <c r="B465" t="s">
        <v>441</v>
      </c>
      <c r="C465">
        <v>2021</v>
      </c>
      <c r="D465">
        <v>1</v>
      </c>
      <c r="E465" t="s">
        <v>415</v>
      </c>
      <c r="F465" t="s">
        <v>416</v>
      </c>
      <c r="G465" t="s">
        <v>417</v>
      </c>
      <c r="H465" t="s">
        <v>84</v>
      </c>
      <c r="I465" t="s">
        <v>418</v>
      </c>
      <c r="J465" t="s">
        <v>419</v>
      </c>
      <c r="K465">
        <v>-52103.96309546</v>
      </c>
      <c r="L465" t="s">
        <v>85</v>
      </c>
      <c r="M465" t="s">
        <v>422</v>
      </c>
      <c r="N465">
        <v>7.7540047892240005E-2</v>
      </c>
      <c r="O465">
        <v>4040.1437940000001</v>
      </c>
      <c r="P465" t="s">
        <v>421</v>
      </c>
      <c r="Q465">
        <v>1</v>
      </c>
      <c r="V465">
        <v>1</v>
      </c>
      <c r="W465">
        <v>1</v>
      </c>
      <c r="X465">
        <v>1</v>
      </c>
      <c r="Y465">
        <v>1</v>
      </c>
      <c r="Z465">
        <v>4040.1437940000001</v>
      </c>
    </row>
    <row r="466" spans="1:26" x14ac:dyDescent="0.25">
      <c r="A466">
        <v>168814</v>
      </c>
      <c r="B466" t="s">
        <v>441</v>
      </c>
      <c r="C466">
        <v>2021</v>
      </c>
      <c r="D466">
        <v>1</v>
      </c>
      <c r="E466" t="s">
        <v>415</v>
      </c>
      <c r="F466" t="s">
        <v>416</v>
      </c>
      <c r="G466" t="s">
        <v>417</v>
      </c>
      <c r="H466" t="s">
        <v>84</v>
      </c>
      <c r="I466" t="s">
        <v>418</v>
      </c>
      <c r="J466" t="s">
        <v>419</v>
      </c>
      <c r="K466">
        <v>-52103.96309546</v>
      </c>
      <c r="L466" t="s">
        <v>85</v>
      </c>
      <c r="M466" t="s">
        <v>423</v>
      </c>
      <c r="N466">
        <v>0.73979703899049998</v>
      </c>
      <c r="O466">
        <v>38546.357618000002</v>
      </c>
      <c r="P466" t="s">
        <v>421</v>
      </c>
      <c r="Q466">
        <v>1</v>
      </c>
      <c r="V466">
        <v>1</v>
      </c>
      <c r="W466">
        <v>1</v>
      </c>
      <c r="X466">
        <v>1</v>
      </c>
      <c r="Y466">
        <v>1</v>
      </c>
      <c r="Z466">
        <v>38546.357618000002</v>
      </c>
    </row>
    <row r="467" spans="1:26" x14ac:dyDescent="0.25">
      <c r="A467">
        <v>168815</v>
      </c>
      <c r="B467" t="s">
        <v>441</v>
      </c>
      <c r="C467">
        <v>2021</v>
      </c>
      <c r="D467">
        <v>1</v>
      </c>
      <c r="E467" t="s">
        <v>415</v>
      </c>
      <c r="F467" t="s">
        <v>416</v>
      </c>
      <c r="G467" t="s">
        <v>417</v>
      </c>
      <c r="H467" t="s">
        <v>84</v>
      </c>
      <c r="I467" t="s">
        <v>418</v>
      </c>
      <c r="J467" t="s">
        <v>419</v>
      </c>
      <c r="K467">
        <v>-52103.96309546</v>
      </c>
      <c r="L467" t="s">
        <v>85</v>
      </c>
      <c r="M467" t="s">
        <v>424</v>
      </c>
      <c r="N467">
        <v>2.9085775596699999E-3</v>
      </c>
      <c r="O467">
        <v>151.548418</v>
      </c>
      <c r="P467" t="s">
        <v>421</v>
      </c>
      <c r="Q467">
        <v>1</v>
      </c>
      <c r="V467">
        <v>1</v>
      </c>
      <c r="W467">
        <v>1</v>
      </c>
      <c r="X467">
        <v>1</v>
      </c>
      <c r="Y467">
        <v>1</v>
      </c>
      <c r="Z467">
        <v>151.548418</v>
      </c>
    </row>
    <row r="468" spans="1:26" x14ac:dyDescent="0.25">
      <c r="A468">
        <v>168816</v>
      </c>
      <c r="B468" t="s">
        <v>441</v>
      </c>
      <c r="C468">
        <v>2021</v>
      </c>
      <c r="D468">
        <v>1</v>
      </c>
      <c r="E468" t="s">
        <v>415</v>
      </c>
      <c r="F468" t="s">
        <v>416</v>
      </c>
      <c r="G468" t="s">
        <v>417</v>
      </c>
      <c r="H468" t="s">
        <v>84</v>
      </c>
      <c r="I468" t="s">
        <v>418</v>
      </c>
      <c r="J468" t="s">
        <v>419</v>
      </c>
      <c r="K468">
        <v>-52103.96309546</v>
      </c>
      <c r="L468" t="s">
        <v>85</v>
      </c>
      <c r="M468" t="s">
        <v>425</v>
      </c>
      <c r="N468">
        <v>2.6170694898000001E-3</v>
      </c>
      <c r="O468">
        <v>136.359692</v>
      </c>
      <c r="P468" t="s">
        <v>421</v>
      </c>
      <c r="Q468">
        <v>1</v>
      </c>
      <c r="V468">
        <v>1</v>
      </c>
      <c r="W468">
        <v>1</v>
      </c>
      <c r="X468">
        <v>1</v>
      </c>
      <c r="Y468">
        <v>1</v>
      </c>
      <c r="Z468">
        <v>136.359692</v>
      </c>
    </row>
    <row r="469" spans="1:26" x14ac:dyDescent="0.25">
      <c r="A469">
        <v>168817</v>
      </c>
      <c r="B469" t="s">
        <v>441</v>
      </c>
      <c r="C469">
        <v>2021</v>
      </c>
      <c r="D469">
        <v>1</v>
      </c>
      <c r="E469" t="s">
        <v>415</v>
      </c>
      <c r="F469" t="s">
        <v>416</v>
      </c>
      <c r="G469" t="s">
        <v>417</v>
      </c>
      <c r="H469" t="s">
        <v>84</v>
      </c>
      <c r="I469" t="s">
        <v>426</v>
      </c>
      <c r="J469" t="s">
        <v>87</v>
      </c>
      <c r="K469">
        <v>-12585.46374255</v>
      </c>
      <c r="L469" t="s">
        <v>427</v>
      </c>
      <c r="M469" t="s">
        <v>420</v>
      </c>
      <c r="N469">
        <v>0.45523813654234002</v>
      </c>
      <c r="O469">
        <v>5729.3830619999999</v>
      </c>
      <c r="P469" t="s">
        <v>421</v>
      </c>
      <c r="Q469">
        <v>1</v>
      </c>
      <c r="V469">
        <v>1</v>
      </c>
      <c r="W469">
        <v>1</v>
      </c>
      <c r="X469">
        <v>1</v>
      </c>
      <c r="Y469">
        <v>1</v>
      </c>
      <c r="Z469">
        <v>5729.3830619999999</v>
      </c>
    </row>
    <row r="470" spans="1:26" x14ac:dyDescent="0.25">
      <c r="A470">
        <v>168818</v>
      </c>
      <c r="B470" t="s">
        <v>441</v>
      </c>
      <c r="C470">
        <v>2021</v>
      </c>
      <c r="D470">
        <v>1</v>
      </c>
      <c r="E470" t="s">
        <v>415</v>
      </c>
      <c r="F470" t="s">
        <v>416</v>
      </c>
      <c r="G470" t="s">
        <v>417</v>
      </c>
      <c r="H470" t="s">
        <v>84</v>
      </c>
      <c r="I470" t="s">
        <v>426</v>
      </c>
      <c r="J470" t="s">
        <v>87</v>
      </c>
      <c r="K470">
        <v>-12585.46374255</v>
      </c>
      <c r="L470" t="s">
        <v>427</v>
      </c>
      <c r="M470" t="s">
        <v>422</v>
      </c>
      <c r="N470">
        <v>6.8896616392329996E-2</v>
      </c>
      <c r="O470">
        <v>867.095868</v>
      </c>
      <c r="P470" t="s">
        <v>421</v>
      </c>
      <c r="Q470">
        <v>1</v>
      </c>
      <c r="V470">
        <v>1</v>
      </c>
      <c r="W470">
        <v>1</v>
      </c>
      <c r="X470">
        <v>1</v>
      </c>
      <c r="Y470">
        <v>1</v>
      </c>
      <c r="Z470">
        <v>867.095868</v>
      </c>
    </row>
    <row r="471" spans="1:26" x14ac:dyDescent="0.25">
      <c r="A471">
        <v>168819</v>
      </c>
      <c r="B471" t="s">
        <v>441</v>
      </c>
      <c r="C471">
        <v>2021</v>
      </c>
      <c r="D471">
        <v>1</v>
      </c>
      <c r="E471" t="s">
        <v>415</v>
      </c>
      <c r="F471" t="s">
        <v>416</v>
      </c>
      <c r="G471" t="s">
        <v>417</v>
      </c>
      <c r="H471" t="s">
        <v>84</v>
      </c>
      <c r="I471" t="s">
        <v>426</v>
      </c>
      <c r="J471" t="s">
        <v>87</v>
      </c>
      <c r="K471">
        <v>-12585.46374255</v>
      </c>
      <c r="L471" t="s">
        <v>427</v>
      </c>
      <c r="M471" t="s">
        <v>423</v>
      </c>
      <c r="N471">
        <v>0.70986919705586005</v>
      </c>
      <c r="O471">
        <v>8934.0330410000006</v>
      </c>
      <c r="P471" t="s">
        <v>421</v>
      </c>
      <c r="Q471">
        <v>1</v>
      </c>
      <c r="V471">
        <v>1</v>
      </c>
      <c r="W471">
        <v>1</v>
      </c>
      <c r="X471">
        <v>1</v>
      </c>
      <c r="Y471">
        <v>1</v>
      </c>
      <c r="Z471">
        <v>8934.0330410000006</v>
      </c>
    </row>
    <row r="472" spans="1:26" x14ac:dyDescent="0.25">
      <c r="A472">
        <v>168820</v>
      </c>
      <c r="B472" t="s">
        <v>441</v>
      </c>
      <c r="C472">
        <v>2021</v>
      </c>
      <c r="D472">
        <v>1</v>
      </c>
      <c r="E472" t="s">
        <v>415</v>
      </c>
      <c r="F472" t="s">
        <v>416</v>
      </c>
      <c r="G472" t="s">
        <v>417</v>
      </c>
      <c r="H472" t="s">
        <v>84</v>
      </c>
      <c r="I472" t="s">
        <v>426</v>
      </c>
      <c r="J472" t="s">
        <v>87</v>
      </c>
      <c r="K472">
        <v>-12585.46374255</v>
      </c>
      <c r="L472" t="s">
        <v>427</v>
      </c>
      <c r="M472" t="s">
        <v>425</v>
      </c>
      <c r="N472">
        <v>1.4965642882E-3</v>
      </c>
      <c r="O472">
        <v>18.834955999999998</v>
      </c>
      <c r="P472" t="s">
        <v>421</v>
      </c>
      <c r="Q472">
        <v>1</v>
      </c>
      <c r="V472">
        <v>1</v>
      </c>
      <c r="W472">
        <v>1</v>
      </c>
      <c r="X472">
        <v>1</v>
      </c>
      <c r="Y472">
        <v>1</v>
      </c>
      <c r="Z472">
        <v>18.834955999999998</v>
      </c>
    </row>
    <row r="473" spans="1:26" x14ac:dyDescent="0.25">
      <c r="A473">
        <v>168821</v>
      </c>
      <c r="B473" t="s">
        <v>441</v>
      </c>
      <c r="C473">
        <v>2021</v>
      </c>
      <c r="D473">
        <v>1</v>
      </c>
      <c r="E473" t="s">
        <v>415</v>
      </c>
      <c r="F473" t="s">
        <v>416</v>
      </c>
      <c r="G473" t="s">
        <v>417</v>
      </c>
      <c r="H473" t="s">
        <v>84</v>
      </c>
      <c r="I473" t="s">
        <v>428</v>
      </c>
      <c r="J473" t="s">
        <v>59</v>
      </c>
      <c r="K473">
        <v>-18721.949918660001</v>
      </c>
      <c r="L473" t="s">
        <v>89</v>
      </c>
      <c r="M473" t="s">
        <v>420</v>
      </c>
      <c r="N473">
        <v>0.26343870574139999</v>
      </c>
      <c r="O473">
        <v>4932.0862559999996</v>
      </c>
      <c r="P473" t="s">
        <v>421</v>
      </c>
      <c r="Q473">
        <v>1</v>
      </c>
      <c r="V473">
        <v>1</v>
      </c>
      <c r="W473">
        <v>1</v>
      </c>
      <c r="X473">
        <v>1</v>
      </c>
      <c r="Y473">
        <v>1</v>
      </c>
      <c r="Z473">
        <v>4932.0862559999996</v>
      </c>
    </row>
    <row r="474" spans="1:26" x14ac:dyDescent="0.25">
      <c r="A474">
        <v>168822</v>
      </c>
      <c r="B474" t="s">
        <v>441</v>
      </c>
      <c r="C474">
        <v>2021</v>
      </c>
      <c r="D474">
        <v>1</v>
      </c>
      <c r="E474" t="s">
        <v>415</v>
      </c>
      <c r="F474" t="s">
        <v>416</v>
      </c>
      <c r="G474" t="s">
        <v>417</v>
      </c>
      <c r="H474" t="s">
        <v>84</v>
      </c>
      <c r="I474" t="s">
        <v>428</v>
      </c>
      <c r="J474" t="s">
        <v>59</v>
      </c>
      <c r="K474">
        <v>-18721.949918660001</v>
      </c>
      <c r="L474" t="s">
        <v>89</v>
      </c>
      <c r="M474" t="s">
        <v>422</v>
      </c>
      <c r="N474">
        <v>7.1262429683470005E-2</v>
      </c>
      <c r="O474">
        <v>1334.17164</v>
      </c>
      <c r="P474" t="s">
        <v>421</v>
      </c>
      <c r="Q474">
        <v>1</v>
      </c>
      <c r="V474">
        <v>1</v>
      </c>
      <c r="W474">
        <v>1</v>
      </c>
      <c r="X474">
        <v>1</v>
      </c>
      <c r="Y474">
        <v>1</v>
      </c>
      <c r="Z474">
        <v>1334.17164</v>
      </c>
    </row>
    <row r="475" spans="1:26" x14ac:dyDescent="0.25">
      <c r="A475">
        <v>168823</v>
      </c>
      <c r="B475" t="s">
        <v>441</v>
      </c>
      <c r="C475">
        <v>2021</v>
      </c>
      <c r="D475">
        <v>1</v>
      </c>
      <c r="E475" t="s">
        <v>415</v>
      </c>
      <c r="F475" t="s">
        <v>416</v>
      </c>
      <c r="G475" t="s">
        <v>417</v>
      </c>
      <c r="H475" t="s">
        <v>84</v>
      </c>
      <c r="I475" t="s">
        <v>428</v>
      </c>
      <c r="J475" t="s">
        <v>59</v>
      </c>
      <c r="K475">
        <v>-18721.949918660001</v>
      </c>
      <c r="L475" t="s">
        <v>89</v>
      </c>
      <c r="M475" t="s">
        <v>423</v>
      </c>
      <c r="N475">
        <v>0.74738783869542003</v>
      </c>
      <c r="O475">
        <v>13992.557686</v>
      </c>
      <c r="P475" t="s">
        <v>421</v>
      </c>
      <c r="Q475">
        <v>1</v>
      </c>
      <c r="V475">
        <v>1</v>
      </c>
      <c r="W475">
        <v>1</v>
      </c>
      <c r="X475">
        <v>1</v>
      </c>
      <c r="Y475">
        <v>1</v>
      </c>
      <c r="Z475">
        <v>13992.557686</v>
      </c>
    </row>
    <row r="476" spans="1:26" x14ac:dyDescent="0.25">
      <c r="A476">
        <v>168824</v>
      </c>
      <c r="B476" t="s">
        <v>441</v>
      </c>
      <c r="C476">
        <v>2021</v>
      </c>
      <c r="D476">
        <v>1</v>
      </c>
      <c r="E476" t="s">
        <v>415</v>
      </c>
      <c r="F476" t="s">
        <v>416</v>
      </c>
      <c r="G476" t="s">
        <v>417</v>
      </c>
      <c r="H476" t="s">
        <v>84</v>
      </c>
      <c r="I476" t="s">
        <v>428</v>
      </c>
      <c r="J476" t="s">
        <v>59</v>
      </c>
      <c r="K476">
        <v>-18721.949918660001</v>
      </c>
      <c r="L476" t="s">
        <v>89</v>
      </c>
      <c r="M476" t="s">
        <v>424</v>
      </c>
      <c r="N476">
        <v>3.08071516317E-3</v>
      </c>
      <c r="O476">
        <v>57.676994999999998</v>
      </c>
      <c r="P476" t="s">
        <v>421</v>
      </c>
      <c r="Q476">
        <v>1</v>
      </c>
      <c r="V476">
        <v>1</v>
      </c>
      <c r="W476">
        <v>1</v>
      </c>
      <c r="X476">
        <v>1</v>
      </c>
      <c r="Y476">
        <v>1</v>
      </c>
      <c r="Z476">
        <v>57.676994999999998</v>
      </c>
    </row>
    <row r="477" spans="1:26" x14ac:dyDescent="0.25">
      <c r="A477">
        <v>168825</v>
      </c>
      <c r="B477" t="s">
        <v>441</v>
      </c>
      <c r="C477">
        <v>2021</v>
      </c>
      <c r="D477">
        <v>1</v>
      </c>
      <c r="E477" t="s">
        <v>415</v>
      </c>
      <c r="F477" t="s">
        <v>416</v>
      </c>
      <c r="G477" t="s">
        <v>417</v>
      </c>
      <c r="H477" t="s">
        <v>84</v>
      </c>
      <c r="I477" t="s">
        <v>428</v>
      </c>
      <c r="J477" t="s">
        <v>59</v>
      </c>
      <c r="K477">
        <v>-18721.949918660001</v>
      </c>
      <c r="L477" t="s">
        <v>89</v>
      </c>
      <c r="M477" t="s">
        <v>425</v>
      </c>
      <c r="N477">
        <v>2.5360775708E-3</v>
      </c>
      <c r="O477">
        <v>47.480316999999999</v>
      </c>
      <c r="P477" t="s">
        <v>421</v>
      </c>
      <c r="Q477">
        <v>1</v>
      </c>
      <c r="V477">
        <v>1</v>
      </c>
      <c r="W477">
        <v>1</v>
      </c>
      <c r="X477">
        <v>1</v>
      </c>
      <c r="Y477">
        <v>1</v>
      </c>
      <c r="Z477">
        <v>47.480316999999999</v>
      </c>
    </row>
    <row r="478" spans="1:26" x14ac:dyDescent="0.25">
      <c r="A478">
        <v>168826</v>
      </c>
      <c r="B478" t="s">
        <v>441</v>
      </c>
      <c r="C478">
        <v>2021</v>
      </c>
      <c r="D478">
        <v>1</v>
      </c>
      <c r="E478" t="s">
        <v>415</v>
      </c>
      <c r="F478" t="s">
        <v>429</v>
      </c>
      <c r="G478" t="s">
        <v>430</v>
      </c>
      <c r="H478" t="s">
        <v>84</v>
      </c>
      <c r="I478" t="s">
        <v>431</v>
      </c>
      <c r="J478" t="s">
        <v>419</v>
      </c>
      <c r="K478">
        <v>-84405.93576855</v>
      </c>
      <c r="L478" t="s">
        <v>85</v>
      </c>
      <c r="M478" t="s">
        <v>420</v>
      </c>
      <c r="N478">
        <v>0.24824931095561001</v>
      </c>
      <c r="O478">
        <v>20953.715394999999</v>
      </c>
      <c r="P478" t="s">
        <v>421</v>
      </c>
      <c r="Q478">
        <v>1</v>
      </c>
      <c r="V478">
        <v>1</v>
      </c>
      <c r="W478">
        <v>1</v>
      </c>
      <c r="X478">
        <v>1</v>
      </c>
      <c r="Y478">
        <v>1</v>
      </c>
      <c r="Z478">
        <v>20953.715394999999</v>
      </c>
    </row>
    <row r="479" spans="1:26" x14ac:dyDescent="0.25">
      <c r="A479">
        <v>168827</v>
      </c>
      <c r="B479" t="s">
        <v>441</v>
      </c>
      <c r="C479">
        <v>2021</v>
      </c>
      <c r="D479">
        <v>1</v>
      </c>
      <c r="E479" t="s">
        <v>415</v>
      </c>
      <c r="F479" t="s">
        <v>429</v>
      </c>
      <c r="G479" t="s">
        <v>430</v>
      </c>
      <c r="H479" t="s">
        <v>84</v>
      </c>
      <c r="I479" t="s">
        <v>431</v>
      </c>
      <c r="J479" t="s">
        <v>419</v>
      </c>
      <c r="K479">
        <v>-84405.93576855</v>
      </c>
      <c r="L479" t="s">
        <v>85</v>
      </c>
      <c r="M479" t="s">
        <v>422</v>
      </c>
      <c r="N479">
        <v>7.7540047892240005E-2</v>
      </c>
      <c r="O479">
        <v>6544.8403019999996</v>
      </c>
      <c r="P479" t="s">
        <v>421</v>
      </c>
      <c r="Q479">
        <v>1</v>
      </c>
      <c r="V479">
        <v>1</v>
      </c>
      <c r="W479">
        <v>1</v>
      </c>
      <c r="X479">
        <v>1</v>
      </c>
      <c r="Y479">
        <v>1</v>
      </c>
      <c r="Z479">
        <v>6544.8403019999996</v>
      </c>
    </row>
    <row r="480" spans="1:26" x14ac:dyDescent="0.25">
      <c r="A480">
        <v>168828</v>
      </c>
      <c r="B480" t="s">
        <v>441</v>
      </c>
      <c r="C480">
        <v>2021</v>
      </c>
      <c r="D480">
        <v>1</v>
      </c>
      <c r="E480" t="s">
        <v>415</v>
      </c>
      <c r="F480" t="s">
        <v>429</v>
      </c>
      <c r="G480" t="s">
        <v>430</v>
      </c>
      <c r="H480" t="s">
        <v>84</v>
      </c>
      <c r="I480" t="s">
        <v>431</v>
      </c>
      <c r="J480" t="s">
        <v>419</v>
      </c>
      <c r="K480">
        <v>-84405.93576855</v>
      </c>
      <c r="L480" t="s">
        <v>85</v>
      </c>
      <c r="M480" t="s">
        <v>423</v>
      </c>
      <c r="N480">
        <v>0.73979703899049998</v>
      </c>
      <c r="O480">
        <v>62443.261355000002</v>
      </c>
      <c r="P480" t="s">
        <v>421</v>
      </c>
      <c r="Q480">
        <v>1</v>
      </c>
      <c r="V480">
        <v>1</v>
      </c>
      <c r="W480">
        <v>1</v>
      </c>
      <c r="X480">
        <v>1</v>
      </c>
      <c r="Y480">
        <v>1</v>
      </c>
      <c r="Z480">
        <v>62443.261355000002</v>
      </c>
    </row>
    <row r="481" spans="1:26" x14ac:dyDescent="0.25">
      <c r="A481">
        <v>168829</v>
      </c>
      <c r="B481" t="s">
        <v>441</v>
      </c>
      <c r="C481">
        <v>2021</v>
      </c>
      <c r="D481">
        <v>1</v>
      </c>
      <c r="E481" t="s">
        <v>415</v>
      </c>
      <c r="F481" t="s">
        <v>429</v>
      </c>
      <c r="G481" t="s">
        <v>430</v>
      </c>
      <c r="H481" t="s">
        <v>84</v>
      </c>
      <c r="I481" t="s">
        <v>431</v>
      </c>
      <c r="J481" t="s">
        <v>419</v>
      </c>
      <c r="K481">
        <v>-84405.93576855</v>
      </c>
      <c r="L481" t="s">
        <v>85</v>
      </c>
      <c r="M481" t="s">
        <v>424</v>
      </c>
      <c r="N481">
        <v>2.9085775596699999E-3</v>
      </c>
      <c r="O481">
        <v>245.50121100000001</v>
      </c>
      <c r="P481" t="s">
        <v>421</v>
      </c>
      <c r="Q481">
        <v>1</v>
      </c>
      <c r="V481">
        <v>1</v>
      </c>
      <c r="W481">
        <v>1</v>
      </c>
      <c r="X481">
        <v>1</v>
      </c>
      <c r="Y481">
        <v>1</v>
      </c>
      <c r="Z481">
        <v>245.50121100000001</v>
      </c>
    </row>
    <row r="482" spans="1:26" x14ac:dyDescent="0.25">
      <c r="A482">
        <v>168830</v>
      </c>
      <c r="B482" t="s">
        <v>441</v>
      </c>
      <c r="C482">
        <v>2021</v>
      </c>
      <c r="D482">
        <v>1</v>
      </c>
      <c r="E482" t="s">
        <v>415</v>
      </c>
      <c r="F482" t="s">
        <v>429</v>
      </c>
      <c r="G482" t="s">
        <v>430</v>
      </c>
      <c r="H482" t="s">
        <v>84</v>
      </c>
      <c r="I482" t="s">
        <v>431</v>
      </c>
      <c r="J482" t="s">
        <v>419</v>
      </c>
      <c r="K482">
        <v>-84405.93576855</v>
      </c>
      <c r="L482" t="s">
        <v>85</v>
      </c>
      <c r="M482" t="s">
        <v>425</v>
      </c>
      <c r="N482">
        <v>2.6170694898000001E-3</v>
      </c>
      <c r="O482">
        <v>220.896199</v>
      </c>
      <c r="P482" t="s">
        <v>421</v>
      </c>
      <c r="Q482">
        <v>1</v>
      </c>
      <c r="V482">
        <v>1</v>
      </c>
      <c r="W482">
        <v>1</v>
      </c>
      <c r="X482">
        <v>1</v>
      </c>
      <c r="Y482">
        <v>1</v>
      </c>
      <c r="Z482">
        <v>220.896199</v>
      </c>
    </row>
    <row r="483" spans="1:26" x14ac:dyDescent="0.25">
      <c r="A483">
        <v>168831</v>
      </c>
      <c r="B483" t="s">
        <v>441</v>
      </c>
      <c r="C483">
        <v>2021</v>
      </c>
      <c r="D483">
        <v>1</v>
      </c>
      <c r="E483" t="s">
        <v>415</v>
      </c>
      <c r="F483" t="s">
        <v>429</v>
      </c>
      <c r="G483" t="s">
        <v>430</v>
      </c>
      <c r="H483" t="s">
        <v>84</v>
      </c>
      <c r="I483" t="s">
        <v>432</v>
      </c>
      <c r="J483" t="s">
        <v>87</v>
      </c>
      <c r="K483">
        <v>-20775.633803929999</v>
      </c>
      <c r="L483" t="s">
        <v>427</v>
      </c>
      <c r="M483" t="s">
        <v>420</v>
      </c>
      <c r="N483">
        <v>0.45523813654234002</v>
      </c>
      <c r="O483">
        <v>9457.8608179999992</v>
      </c>
      <c r="P483" t="s">
        <v>421</v>
      </c>
      <c r="Q483">
        <v>1</v>
      </c>
      <c r="V483">
        <v>1</v>
      </c>
      <c r="W483">
        <v>1</v>
      </c>
      <c r="X483">
        <v>1</v>
      </c>
      <c r="Y483">
        <v>1</v>
      </c>
      <c r="Z483">
        <v>9457.8608179999992</v>
      </c>
    </row>
    <row r="484" spans="1:26" x14ac:dyDescent="0.25">
      <c r="A484">
        <v>168832</v>
      </c>
      <c r="B484" t="s">
        <v>441</v>
      </c>
      <c r="C484">
        <v>2021</v>
      </c>
      <c r="D484">
        <v>1</v>
      </c>
      <c r="E484" t="s">
        <v>415</v>
      </c>
      <c r="F484" t="s">
        <v>429</v>
      </c>
      <c r="G484" t="s">
        <v>430</v>
      </c>
      <c r="H484" t="s">
        <v>84</v>
      </c>
      <c r="I484" t="s">
        <v>432</v>
      </c>
      <c r="J484" t="s">
        <v>87</v>
      </c>
      <c r="K484">
        <v>-20775.633803929999</v>
      </c>
      <c r="L484" t="s">
        <v>427</v>
      </c>
      <c r="M484" t="s">
        <v>422</v>
      </c>
      <c r="N484">
        <v>6.8896616392329996E-2</v>
      </c>
      <c r="O484">
        <v>1431.370872</v>
      </c>
      <c r="P484" t="s">
        <v>421</v>
      </c>
      <c r="Q484">
        <v>1</v>
      </c>
      <c r="V484">
        <v>1</v>
      </c>
      <c r="W484">
        <v>1</v>
      </c>
      <c r="X484">
        <v>1</v>
      </c>
      <c r="Y484">
        <v>1</v>
      </c>
      <c r="Z484">
        <v>1431.370872</v>
      </c>
    </row>
    <row r="485" spans="1:26" x14ac:dyDescent="0.25">
      <c r="A485">
        <v>168833</v>
      </c>
      <c r="B485" t="s">
        <v>441</v>
      </c>
      <c r="C485">
        <v>2021</v>
      </c>
      <c r="D485">
        <v>1</v>
      </c>
      <c r="E485" t="s">
        <v>415</v>
      </c>
      <c r="F485" t="s">
        <v>429</v>
      </c>
      <c r="G485" t="s">
        <v>430</v>
      </c>
      <c r="H485" t="s">
        <v>84</v>
      </c>
      <c r="I485" t="s">
        <v>432</v>
      </c>
      <c r="J485" t="s">
        <v>87</v>
      </c>
      <c r="K485">
        <v>-20775.633803929999</v>
      </c>
      <c r="L485" t="s">
        <v>427</v>
      </c>
      <c r="M485" t="s">
        <v>423</v>
      </c>
      <c r="N485">
        <v>0.70986919705586005</v>
      </c>
      <c r="O485">
        <v>14747.982486999999</v>
      </c>
      <c r="P485" t="s">
        <v>421</v>
      </c>
      <c r="Q485">
        <v>1</v>
      </c>
      <c r="V485">
        <v>1</v>
      </c>
      <c r="W485">
        <v>1</v>
      </c>
      <c r="X485">
        <v>1</v>
      </c>
      <c r="Y485">
        <v>1</v>
      </c>
      <c r="Z485">
        <v>14747.982486999999</v>
      </c>
    </row>
    <row r="486" spans="1:26" x14ac:dyDescent="0.25">
      <c r="A486">
        <v>168834</v>
      </c>
      <c r="B486" t="s">
        <v>441</v>
      </c>
      <c r="C486">
        <v>2021</v>
      </c>
      <c r="D486">
        <v>1</v>
      </c>
      <c r="E486" t="s">
        <v>415</v>
      </c>
      <c r="F486" t="s">
        <v>429</v>
      </c>
      <c r="G486" t="s">
        <v>430</v>
      </c>
      <c r="H486" t="s">
        <v>84</v>
      </c>
      <c r="I486" t="s">
        <v>432</v>
      </c>
      <c r="J486" t="s">
        <v>87</v>
      </c>
      <c r="K486">
        <v>-20775.633803929999</v>
      </c>
      <c r="L486" t="s">
        <v>427</v>
      </c>
      <c r="M486" t="s">
        <v>425</v>
      </c>
      <c r="N486">
        <v>1.4965642882E-3</v>
      </c>
      <c r="O486">
        <v>31.092072000000002</v>
      </c>
      <c r="P486" t="s">
        <v>421</v>
      </c>
      <c r="Q486">
        <v>1</v>
      </c>
      <c r="V486">
        <v>1</v>
      </c>
      <c r="W486">
        <v>1</v>
      </c>
      <c r="X486">
        <v>1</v>
      </c>
      <c r="Y486">
        <v>1</v>
      </c>
      <c r="Z486">
        <v>31.092072000000002</v>
      </c>
    </row>
    <row r="487" spans="1:26" x14ac:dyDescent="0.25">
      <c r="A487">
        <v>168835</v>
      </c>
      <c r="B487" t="s">
        <v>441</v>
      </c>
      <c r="C487">
        <v>2021</v>
      </c>
      <c r="D487">
        <v>1</v>
      </c>
      <c r="E487" t="s">
        <v>415</v>
      </c>
      <c r="F487" t="s">
        <v>429</v>
      </c>
      <c r="G487" t="s">
        <v>430</v>
      </c>
      <c r="H487" t="s">
        <v>84</v>
      </c>
      <c r="I487" t="s">
        <v>433</v>
      </c>
      <c r="J487" t="s">
        <v>59</v>
      </c>
      <c r="K487">
        <v>-32012.829687869998</v>
      </c>
      <c r="L487" t="s">
        <v>89</v>
      </c>
      <c r="M487" t="s">
        <v>420</v>
      </c>
      <c r="N487">
        <v>0.26343870574139999</v>
      </c>
      <c r="O487">
        <v>8433.41842</v>
      </c>
      <c r="P487" t="s">
        <v>421</v>
      </c>
      <c r="Q487">
        <v>1</v>
      </c>
      <c r="V487">
        <v>1</v>
      </c>
      <c r="W487">
        <v>1</v>
      </c>
      <c r="X487">
        <v>1</v>
      </c>
      <c r="Y487">
        <v>1</v>
      </c>
      <c r="Z487">
        <v>8433.41842</v>
      </c>
    </row>
    <row r="488" spans="1:26" x14ac:dyDescent="0.25">
      <c r="A488">
        <v>168836</v>
      </c>
      <c r="B488" t="s">
        <v>441</v>
      </c>
      <c r="C488">
        <v>2021</v>
      </c>
      <c r="D488">
        <v>1</v>
      </c>
      <c r="E488" t="s">
        <v>415</v>
      </c>
      <c r="F488" t="s">
        <v>429</v>
      </c>
      <c r="G488" t="s">
        <v>430</v>
      </c>
      <c r="H488" t="s">
        <v>84</v>
      </c>
      <c r="I488" t="s">
        <v>433</v>
      </c>
      <c r="J488" t="s">
        <v>59</v>
      </c>
      <c r="K488">
        <v>-32012.829687869998</v>
      </c>
      <c r="L488" t="s">
        <v>89</v>
      </c>
      <c r="M488" t="s">
        <v>422</v>
      </c>
      <c r="N488">
        <v>7.1262429683470005E-2</v>
      </c>
      <c r="O488">
        <v>2281.3120250000002</v>
      </c>
      <c r="P488" t="s">
        <v>421</v>
      </c>
      <c r="Q488">
        <v>1</v>
      </c>
      <c r="V488">
        <v>1</v>
      </c>
      <c r="W488">
        <v>1</v>
      </c>
      <c r="X488">
        <v>1</v>
      </c>
      <c r="Y488">
        <v>1</v>
      </c>
      <c r="Z488">
        <v>2281.3120250000002</v>
      </c>
    </row>
    <row r="489" spans="1:26" x14ac:dyDescent="0.25">
      <c r="A489">
        <v>168837</v>
      </c>
      <c r="B489" t="s">
        <v>441</v>
      </c>
      <c r="C489">
        <v>2021</v>
      </c>
      <c r="D489">
        <v>1</v>
      </c>
      <c r="E489" t="s">
        <v>415</v>
      </c>
      <c r="F489" t="s">
        <v>429</v>
      </c>
      <c r="G489" t="s">
        <v>430</v>
      </c>
      <c r="H489" t="s">
        <v>84</v>
      </c>
      <c r="I489" t="s">
        <v>433</v>
      </c>
      <c r="J489" t="s">
        <v>59</v>
      </c>
      <c r="K489">
        <v>-32012.829687869998</v>
      </c>
      <c r="L489" t="s">
        <v>89</v>
      </c>
      <c r="M489" t="s">
        <v>423</v>
      </c>
      <c r="N489">
        <v>0.74738783869542003</v>
      </c>
      <c r="O489">
        <v>23925.999591</v>
      </c>
      <c r="P489" t="s">
        <v>421</v>
      </c>
      <c r="Q489">
        <v>1</v>
      </c>
      <c r="V489">
        <v>1</v>
      </c>
      <c r="W489">
        <v>1</v>
      </c>
      <c r="X489">
        <v>1</v>
      </c>
      <c r="Y489">
        <v>1</v>
      </c>
      <c r="Z489">
        <v>23925.999591</v>
      </c>
    </row>
    <row r="490" spans="1:26" x14ac:dyDescent="0.25">
      <c r="A490">
        <v>168838</v>
      </c>
      <c r="B490" t="s">
        <v>441</v>
      </c>
      <c r="C490">
        <v>2021</v>
      </c>
      <c r="D490">
        <v>1</v>
      </c>
      <c r="E490" t="s">
        <v>415</v>
      </c>
      <c r="F490" t="s">
        <v>429</v>
      </c>
      <c r="G490" t="s">
        <v>430</v>
      </c>
      <c r="H490" t="s">
        <v>84</v>
      </c>
      <c r="I490" t="s">
        <v>433</v>
      </c>
      <c r="J490" t="s">
        <v>59</v>
      </c>
      <c r="K490">
        <v>-32012.829687869998</v>
      </c>
      <c r="L490" t="s">
        <v>89</v>
      </c>
      <c r="M490" t="s">
        <v>424</v>
      </c>
      <c r="N490">
        <v>3.08071516317E-3</v>
      </c>
      <c r="O490">
        <v>98.622410000000002</v>
      </c>
      <c r="P490" t="s">
        <v>421</v>
      </c>
      <c r="Q490">
        <v>1</v>
      </c>
      <c r="V490">
        <v>1</v>
      </c>
      <c r="W490">
        <v>1</v>
      </c>
      <c r="X490">
        <v>1</v>
      </c>
      <c r="Y490">
        <v>1</v>
      </c>
      <c r="Z490">
        <v>98.622410000000002</v>
      </c>
    </row>
    <row r="491" spans="1:26" x14ac:dyDescent="0.25">
      <c r="A491">
        <v>168839</v>
      </c>
      <c r="B491" t="s">
        <v>441</v>
      </c>
      <c r="C491">
        <v>2021</v>
      </c>
      <c r="D491">
        <v>1</v>
      </c>
      <c r="E491" t="s">
        <v>415</v>
      </c>
      <c r="F491" t="s">
        <v>429</v>
      </c>
      <c r="G491" t="s">
        <v>430</v>
      </c>
      <c r="H491" t="s">
        <v>84</v>
      </c>
      <c r="I491" t="s">
        <v>433</v>
      </c>
      <c r="J491" t="s">
        <v>59</v>
      </c>
      <c r="K491">
        <v>-32012.829687869998</v>
      </c>
      <c r="L491" t="s">
        <v>89</v>
      </c>
      <c r="M491" t="s">
        <v>425</v>
      </c>
      <c r="N491">
        <v>2.5360775708E-3</v>
      </c>
      <c r="O491">
        <v>81.187019000000006</v>
      </c>
      <c r="P491" t="s">
        <v>421</v>
      </c>
      <c r="Q491">
        <v>1</v>
      </c>
      <c r="V491">
        <v>1</v>
      </c>
      <c r="W491">
        <v>1</v>
      </c>
      <c r="X491">
        <v>1</v>
      </c>
      <c r="Y491">
        <v>1</v>
      </c>
      <c r="Z491">
        <v>81.187019000000006</v>
      </c>
    </row>
    <row r="492" spans="1:26" x14ac:dyDescent="0.25">
      <c r="A492">
        <v>168840</v>
      </c>
      <c r="B492" t="s">
        <v>441</v>
      </c>
      <c r="C492">
        <v>2021</v>
      </c>
      <c r="D492">
        <v>1</v>
      </c>
      <c r="E492" t="s">
        <v>415</v>
      </c>
      <c r="F492" t="s">
        <v>434</v>
      </c>
      <c r="G492" t="s">
        <v>435</v>
      </c>
      <c r="H492" t="s">
        <v>84</v>
      </c>
      <c r="I492" t="s">
        <v>436</v>
      </c>
      <c r="J492" t="s">
        <v>419</v>
      </c>
      <c r="K492">
        <v>-43453.861546580003</v>
      </c>
      <c r="L492" t="s">
        <v>85</v>
      </c>
      <c r="M492" t="s">
        <v>420</v>
      </c>
      <c r="N492">
        <v>0.24824931095561001</v>
      </c>
      <c r="O492">
        <v>10787.391186999999</v>
      </c>
      <c r="P492" t="s">
        <v>421</v>
      </c>
      <c r="Q492">
        <v>1</v>
      </c>
      <c r="V492">
        <v>1</v>
      </c>
      <c r="W492">
        <v>1</v>
      </c>
      <c r="X492">
        <v>1</v>
      </c>
      <c r="Y492">
        <v>1</v>
      </c>
      <c r="Z492">
        <v>10787.391186999999</v>
      </c>
    </row>
    <row r="493" spans="1:26" x14ac:dyDescent="0.25">
      <c r="A493">
        <v>168841</v>
      </c>
      <c r="B493" t="s">
        <v>441</v>
      </c>
      <c r="C493">
        <v>2021</v>
      </c>
      <c r="D493">
        <v>1</v>
      </c>
      <c r="E493" t="s">
        <v>415</v>
      </c>
      <c r="F493" t="s">
        <v>434</v>
      </c>
      <c r="G493" t="s">
        <v>435</v>
      </c>
      <c r="H493" t="s">
        <v>84</v>
      </c>
      <c r="I493" t="s">
        <v>436</v>
      </c>
      <c r="J493" t="s">
        <v>419</v>
      </c>
      <c r="K493">
        <v>-43453.861546580003</v>
      </c>
      <c r="L493" t="s">
        <v>85</v>
      </c>
      <c r="M493" t="s">
        <v>422</v>
      </c>
      <c r="N493">
        <v>7.7540047892240005E-2</v>
      </c>
      <c r="O493">
        <v>3369.4145050000002</v>
      </c>
      <c r="P493" t="s">
        <v>421</v>
      </c>
      <c r="Q493">
        <v>1</v>
      </c>
      <c r="V493">
        <v>1</v>
      </c>
      <c r="W493">
        <v>1</v>
      </c>
      <c r="X493">
        <v>1</v>
      </c>
      <c r="Y493">
        <v>1</v>
      </c>
      <c r="Z493">
        <v>3369.4145050000002</v>
      </c>
    </row>
    <row r="494" spans="1:26" x14ac:dyDescent="0.25">
      <c r="A494">
        <v>168842</v>
      </c>
      <c r="B494" t="s">
        <v>441</v>
      </c>
      <c r="C494">
        <v>2021</v>
      </c>
      <c r="D494">
        <v>1</v>
      </c>
      <c r="E494" t="s">
        <v>415</v>
      </c>
      <c r="F494" t="s">
        <v>434</v>
      </c>
      <c r="G494" t="s">
        <v>435</v>
      </c>
      <c r="H494" t="s">
        <v>84</v>
      </c>
      <c r="I494" t="s">
        <v>436</v>
      </c>
      <c r="J494" t="s">
        <v>419</v>
      </c>
      <c r="K494">
        <v>-43453.861546580003</v>
      </c>
      <c r="L494" t="s">
        <v>85</v>
      </c>
      <c r="M494" t="s">
        <v>423</v>
      </c>
      <c r="N494">
        <v>0.73979703899049998</v>
      </c>
      <c r="O494">
        <v>32147.038105</v>
      </c>
      <c r="P494" t="s">
        <v>421</v>
      </c>
      <c r="Q494">
        <v>1</v>
      </c>
      <c r="V494">
        <v>1</v>
      </c>
      <c r="W494">
        <v>1</v>
      </c>
      <c r="X494">
        <v>1</v>
      </c>
      <c r="Y494">
        <v>1</v>
      </c>
      <c r="Z494">
        <v>32147.038105</v>
      </c>
    </row>
    <row r="495" spans="1:26" x14ac:dyDescent="0.25">
      <c r="A495">
        <v>168843</v>
      </c>
      <c r="B495" t="s">
        <v>441</v>
      </c>
      <c r="C495">
        <v>2021</v>
      </c>
      <c r="D495">
        <v>1</v>
      </c>
      <c r="E495" t="s">
        <v>415</v>
      </c>
      <c r="F495" t="s">
        <v>434</v>
      </c>
      <c r="G495" t="s">
        <v>435</v>
      </c>
      <c r="H495" t="s">
        <v>84</v>
      </c>
      <c r="I495" t="s">
        <v>436</v>
      </c>
      <c r="J495" t="s">
        <v>419</v>
      </c>
      <c r="K495">
        <v>-43453.861546580003</v>
      </c>
      <c r="L495" t="s">
        <v>85</v>
      </c>
      <c r="M495" t="s">
        <v>424</v>
      </c>
      <c r="N495">
        <v>2.9085775596699999E-3</v>
      </c>
      <c r="O495">
        <v>126.388927</v>
      </c>
      <c r="P495" t="s">
        <v>421</v>
      </c>
      <c r="Q495">
        <v>1</v>
      </c>
      <c r="V495">
        <v>1</v>
      </c>
      <c r="W495">
        <v>1</v>
      </c>
      <c r="X495">
        <v>1</v>
      </c>
      <c r="Y495">
        <v>1</v>
      </c>
      <c r="Z495">
        <v>126.388927</v>
      </c>
    </row>
    <row r="496" spans="1:26" x14ac:dyDescent="0.25">
      <c r="A496">
        <v>168844</v>
      </c>
      <c r="B496" t="s">
        <v>441</v>
      </c>
      <c r="C496">
        <v>2021</v>
      </c>
      <c r="D496">
        <v>1</v>
      </c>
      <c r="E496" t="s">
        <v>415</v>
      </c>
      <c r="F496" t="s">
        <v>434</v>
      </c>
      <c r="G496" t="s">
        <v>435</v>
      </c>
      <c r="H496" t="s">
        <v>84</v>
      </c>
      <c r="I496" t="s">
        <v>436</v>
      </c>
      <c r="J496" t="s">
        <v>419</v>
      </c>
      <c r="K496">
        <v>-43453.861546580003</v>
      </c>
      <c r="L496" t="s">
        <v>85</v>
      </c>
      <c r="M496" t="s">
        <v>425</v>
      </c>
      <c r="N496">
        <v>2.6170694898000001E-3</v>
      </c>
      <c r="O496">
        <v>113.72177499999999</v>
      </c>
      <c r="P496" t="s">
        <v>421</v>
      </c>
      <c r="Q496">
        <v>1</v>
      </c>
      <c r="V496">
        <v>1</v>
      </c>
      <c r="W496">
        <v>1</v>
      </c>
      <c r="X496">
        <v>1</v>
      </c>
      <c r="Y496">
        <v>1</v>
      </c>
      <c r="Z496">
        <v>113.72177499999999</v>
      </c>
    </row>
    <row r="497" spans="1:26" x14ac:dyDescent="0.25">
      <c r="A497">
        <v>168845</v>
      </c>
      <c r="B497" t="s">
        <v>441</v>
      </c>
      <c r="C497">
        <v>2021</v>
      </c>
      <c r="D497">
        <v>1</v>
      </c>
      <c r="E497" t="s">
        <v>415</v>
      </c>
      <c r="F497" t="s">
        <v>434</v>
      </c>
      <c r="G497" t="s">
        <v>435</v>
      </c>
      <c r="H497" t="s">
        <v>84</v>
      </c>
      <c r="I497" t="s">
        <v>437</v>
      </c>
      <c r="J497" t="s">
        <v>87</v>
      </c>
      <c r="K497">
        <v>-9532.5721277800003</v>
      </c>
      <c r="L497" t="s">
        <v>427</v>
      </c>
      <c r="M497" t="s">
        <v>420</v>
      </c>
      <c r="N497">
        <v>0.45523813654234002</v>
      </c>
      <c r="O497">
        <v>4339.5903719999997</v>
      </c>
      <c r="P497" t="s">
        <v>421</v>
      </c>
      <c r="Q497">
        <v>1</v>
      </c>
      <c r="V497">
        <v>1</v>
      </c>
      <c r="W497">
        <v>1</v>
      </c>
      <c r="X497">
        <v>1</v>
      </c>
      <c r="Y497">
        <v>1</v>
      </c>
      <c r="Z497">
        <v>4339.5903719999997</v>
      </c>
    </row>
    <row r="498" spans="1:26" x14ac:dyDescent="0.25">
      <c r="A498">
        <v>168846</v>
      </c>
      <c r="B498" t="s">
        <v>441</v>
      </c>
      <c r="C498">
        <v>2021</v>
      </c>
      <c r="D498">
        <v>1</v>
      </c>
      <c r="E498" t="s">
        <v>415</v>
      </c>
      <c r="F498" t="s">
        <v>434</v>
      </c>
      <c r="G498" t="s">
        <v>435</v>
      </c>
      <c r="H498" t="s">
        <v>84</v>
      </c>
      <c r="I498" t="s">
        <v>437</v>
      </c>
      <c r="J498" t="s">
        <v>87</v>
      </c>
      <c r="K498">
        <v>-9532.5721277800003</v>
      </c>
      <c r="L498" t="s">
        <v>427</v>
      </c>
      <c r="M498" t="s">
        <v>422</v>
      </c>
      <c r="N498">
        <v>6.8896616392329996E-2</v>
      </c>
      <c r="O498">
        <v>656.76196500000003</v>
      </c>
      <c r="P498" t="s">
        <v>421</v>
      </c>
      <c r="Q498">
        <v>1</v>
      </c>
      <c r="V498">
        <v>1</v>
      </c>
      <c r="W498">
        <v>1</v>
      </c>
      <c r="X498">
        <v>1</v>
      </c>
      <c r="Y498">
        <v>1</v>
      </c>
      <c r="Z498">
        <v>656.76196500000003</v>
      </c>
    </row>
    <row r="499" spans="1:26" x14ac:dyDescent="0.25">
      <c r="A499">
        <v>168847</v>
      </c>
      <c r="B499" t="s">
        <v>441</v>
      </c>
      <c r="C499">
        <v>2021</v>
      </c>
      <c r="D499">
        <v>1</v>
      </c>
      <c r="E499" t="s">
        <v>415</v>
      </c>
      <c r="F499" t="s">
        <v>434</v>
      </c>
      <c r="G499" t="s">
        <v>435</v>
      </c>
      <c r="H499" t="s">
        <v>84</v>
      </c>
      <c r="I499" t="s">
        <v>437</v>
      </c>
      <c r="J499" t="s">
        <v>87</v>
      </c>
      <c r="K499">
        <v>-9532.5721277800003</v>
      </c>
      <c r="L499" t="s">
        <v>427</v>
      </c>
      <c r="M499" t="s">
        <v>423</v>
      </c>
      <c r="N499">
        <v>0.70986919705586005</v>
      </c>
      <c r="O499">
        <v>6766.8793219999998</v>
      </c>
      <c r="P499" t="s">
        <v>421</v>
      </c>
      <c r="Q499">
        <v>1</v>
      </c>
      <c r="V499">
        <v>1</v>
      </c>
      <c r="W499">
        <v>1</v>
      </c>
      <c r="X499">
        <v>1</v>
      </c>
      <c r="Y499">
        <v>1</v>
      </c>
      <c r="Z499">
        <v>6766.8793219999998</v>
      </c>
    </row>
    <row r="500" spans="1:26" x14ac:dyDescent="0.25">
      <c r="A500">
        <v>168848</v>
      </c>
      <c r="B500" t="s">
        <v>441</v>
      </c>
      <c r="C500">
        <v>2021</v>
      </c>
      <c r="D500">
        <v>1</v>
      </c>
      <c r="E500" t="s">
        <v>415</v>
      </c>
      <c r="F500" t="s">
        <v>434</v>
      </c>
      <c r="G500" t="s">
        <v>435</v>
      </c>
      <c r="H500" t="s">
        <v>84</v>
      </c>
      <c r="I500" t="s">
        <v>437</v>
      </c>
      <c r="J500" t="s">
        <v>87</v>
      </c>
      <c r="K500">
        <v>-9532.5721277800003</v>
      </c>
      <c r="L500" t="s">
        <v>427</v>
      </c>
      <c r="M500" t="s">
        <v>425</v>
      </c>
      <c r="N500">
        <v>1.4965642882E-3</v>
      </c>
      <c r="O500">
        <v>14.266107</v>
      </c>
      <c r="P500" t="s">
        <v>421</v>
      </c>
      <c r="Q500">
        <v>1</v>
      </c>
      <c r="V500">
        <v>1</v>
      </c>
      <c r="W500">
        <v>1</v>
      </c>
      <c r="X500">
        <v>1</v>
      </c>
      <c r="Y500">
        <v>1</v>
      </c>
      <c r="Z500">
        <v>14.266107</v>
      </c>
    </row>
    <row r="501" spans="1:26" x14ac:dyDescent="0.25">
      <c r="A501">
        <v>168849</v>
      </c>
      <c r="B501" t="s">
        <v>441</v>
      </c>
      <c r="C501">
        <v>2021</v>
      </c>
      <c r="D501">
        <v>1</v>
      </c>
      <c r="E501" t="s">
        <v>415</v>
      </c>
      <c r="F501" t="s">
        <v>434</v>
      </c>
      <c r="G501" t="s">
        <v>435</v>
      </c>
      <c r="H501" t="s">
        <v>84</v>
      </c>
      <c r="I501" t="s">
        <v>438</v>
      </c>
      <c r="J501" t="s">
        <v>59</v>
      </c>
      <c r="K501">
        <v>-15235.754905829999</v>
      </c>
      <c r="L501" t="s">
        <v>89</v>
      </c>
      <c r="M501" t="s">
        <v>420</v>
      </c>
      <c r="N501">
        <v>0.26343870574139999</v>
      </c>
      <c r="O501">
        <v>4013.6875530000002</v>
      </c>
      <c r="P501" t="s">
        <v>421</v>
      </c>
      <c r="Q501">
        <v>1</v>
      </c>
      <c r="V501">
        <v>1</v>
      </c>
      <c r="W501">
        <v>1</v>
      </c>
      <c r="X501">
        <v>1</v>
      </c>
      <c r="Y501">
        <v>1</v>
      </c>
      <c r="Z501">
        <v>4013.6875530000002</v>
      </c>
    </row>
    <row r="502" spans="1:26" x14ac:dyDescent="0.25">
      <c r="A502">
        <v>168850</v>
      </c>
      <c r="B502" t="s">
        <v>441</v>
      </c>
      <c r="C502">
        <v>2021</v>
      </c>
      <c r="D502">
        <v>1</v>
      </c>
      <c r="E502" t="s">
        <v>415</v>
      </c>
      <c r="F502" t="s">
        <v>434</v>
      </c>
      <c r="G502" t="s">
        <v>435</v>
      </c>
      <c r="H502" t="s">
        <v>84</v>
      </c>
      <c r="I502" t="s">
        <v>438</v>
      </c>
      <c r="J502" t="s">
        <v>59</v>
      </c>
      <c r="K502">
        <v>-15235.754905829999</v>
      </c>
      <c r="L502" t="s">
        <v>89</v>
      </c>
      <c r="M502" t="s">
        <v>422</v>
      </c>
      <c r="N502">
        <v>7.1262429683470005E-2</v>
      </c>
      <c r="O502">
        <v>1085.736913</v>
      </c>
      <c r="P502" t="s">
        <v>421</v>
      </c>
      <c r="Q502">
        <v>1</v>
      </c>
      <c r="V502">
        <v>1</v>
      </c>
      <c r="W502">
        <v>1</v>
      </c>
      <c r="X502">
        <v>1</v>
      </c>
      <c r="Y502">
        <v>1</v>
      </c>
      <c r="Z502">
        <v>1085.736913</v>
      </c>
    </row>
    <row r="503" spans="1:26" x14ac:dyDescent="0.25">
      <c r="A503">
        <v>168851</v>
      </c>
      <c r="B503" t="s">
        <v>441</v>
      </c>
      <c r="C503">
        <v>2021</v>
      </c>
      <c r="D503">
        <v>1</v>
      </c>
      <c r="E503" t="s">
        <v>415</v>
      </c>
      <c r="F503" t="s">
        <v>434</v>
      </c>
      <c r="G503" t="s">
        <v>435</v>
      </c>
      <c r="H503" t="s">
        <v>84</v>
      </c>
      <c r="I503" t="s">
        <v>438</v>
      </c>
      <c r="J503" t="s">
        <v>59</v>
      </c>
      <c r="K503">
        <v>-15235.754905829999</v>
      </c>
      <c r="L503" t="s">
        <v>89</v>
      </c>
      <c r="M503" t="s">
        <v>423</v>
      </c>
      <c r="N503">
        <v>0.74738783869542003</v>
      </c>
      <c r="O503">
        <v>11387.01793</v>
      </c>
      <c r="P503" t="s">
        <v>421</v>
      </c>
      <c r="Q503">
        <v>1</v>
      </c>
      <c r="V503">
        <v>1</v>
      </c>
      <c r="W503">
        <v>1</v>
      </c>
      <c r="X503">
        <v>1</v>
      </c>
      <c r="Y503">
        <v>1</v>
      </c>
      <c r="Z503">
        <v>11387.01793</v>
      </c>
    </row>
    <row r="504" spans="1:26" x14ac:dyDescent="0.25">
      <c r="A504">
        <v>168852</v>
      </c>
      <c r="B504" t="s">
        <v>441</v>
      </c>
      <c r="C504">
        <v>2021</v>
      </c>
      <c r="D504">
        <v>1</v>
      </c>
      <c r="E504" t="s">
        <v>415</v>
      </c>
      <c r="F504" t="s">
        <v>434</v>
      </c>
      <c r="G504" t="s">
        <v>435</v>
      </c>
      <c r="H504" t="s">
        <v>84</v>
      </c>
      <c r="I504" t="s">
        <v>438</v>
      </c>
      <c r="J504" t="s">
        <v>59</v>
      </c>
      <c r="K504">
        <v>-15235.754905829999</v>
      </c>
      <c r="L504" t="s">
        <v>89</v>
      </c>
      <c r="M504" t="s">
        <v>424</v>
      </c>
      <c r="N504">
        <v>3.08071516317E-3</v>
      </c>
      <c r="O504">
        <v>46.937021000000001</v>
      </c>
      <c r="P504" t="s">
        <v>421</v>
      </c>
      <c r="Q504">
        <v>1</v>
      </c>
      <c r="V504">
        <v>1</v>
      </c>
      <c r="W504">
        <v>1</v>
      </c>
      <c r="X504">
        <v>1</v>
      </c>
      <c r="Y504">
        <v>1</v>
      </c>
      <c r="Z504">
        <v>46.937021000000001</v>
      </c>
    </row>
    <row r="505" spans="1:26" x14ac:dyDescent="0.25">
      <c r="A505">
        <v>168853</v>
      </c>
      <c r="B505" t="s">
        <v>441</v>
      </c>
      <c r="C505">
        <v>2021</v>
      </c>
      <c r="D505">
        <v>1</v>
      </c>
      <c r="E505" t="s">
        <v>415</v>
      </c>
      <c r="F505" t="s">
        <v>434</v>
      </c>
      <c r="G505" t="s">
        <v>435</v>
      </c>
      <c r="H505" t="s">
        <v>84</v>
      </c>
      <c r="I505" t="s">
        <v>438</v>
      </c>
      <c r="J505" t="s">
        <v>59</v>
      </c>
      <c r="K505">
        <v>-15235.754905829999</v>
      </c>
      <c r="L505" t="s">
        <v>89</v>
      </c>
      <c r="M505" t="s">
        <v>425</v>
      </c>
      <c r="N505">
        <v>2.5360775708E-3</v>
      </c>
      <c r="O505">
        <v>38.639055999999997</v>
      </c>
      <c r="P505" t="s">
        <v>421</v>
      </c>
      <c r="Q505">
        <v>1</v>
      </c>
      <c r="V505">
        <v>1</v>
      </c>
      <c r="W505">
        <v>1</v>
      </c>
      <c r="X505">
        <v>1</v>
      </c>
      <c r="Y505">
        <v>1</v>
      </c>
      <c r="Z505">
        <v>38.639055999999997</v>
      </c>
    </row>
    <row r="506" spans="1:26" x14ac:dyDescent="0.25">
      <c r="A506">
        <v>10072</v>
      </c>
      <c r="B506" t="s">
        <v>112</v>
      </c>
      <c r="C506">
        <v>2018</v>
      </c>
      <c r="D506">
        <v>1</v>
      </c>
      <c r="E506" t="s">
        <v>415</v>
      </c>
      <c r="F506" t="s">
        <v>416</v>
      </c>
      <c r="G506" t="s">
        <v>417</v>
      </c>
      <c r="H506" t="s">
        <v>84</v>
      </c>
      <c r="I506" t="s">
        <v>418</v>
      </c>
      <c r="J506" t="s">
        <v>419</v>
      </c>
      <c r="K506">
        <v>-13307.990221759999</v>
      </c>
      <c r="L506" t="s">
        <v>85</v>
      </c>
      <c r="M506" t="s">
        <v>420</v>
      </c>
      <c r="N506">
        <v>0.24824931095561001</v>
      </c>
      <c r="O506">
        <v>3303.6994030000001</v>
      </c>
      <c r="P506" t="s">
        <v>421</v>
      </c>
      <c r="Q506">
        <v>1</v>
      </c>
      <c r="V506">
        <v>1</v>
      </c>
      <c r="W506">
        <v>1</v>
      </c>
      <c r="X506">
        <v>1</v>
      </c>
      <c r="Y506">
        <v>1</v>
      </c>
      <c r="Z506">
        <v>3303.6994030000001</v>
      </c>
    </row>
    <row r="507" spans="1:26" x14ac:dyDescent="0.25">
      <c r="A507">
        <v>10073</v>
      </c>
      <c r="B507" t="s">
        <v>112</v>
      </c>
      <c r="C507">
        <v>2018</v>
      </c>
      <c r="D507">
        <v>1</v>
      </c>
      <c r="E507" t="s">
        <v>415</v>
      </c>
      <c r="F507" t="s">
        <v>416</v>
      </c>
      <c r="G507" t="s">
        <v>417</v>
      </c>
      <c r="H507" t="s">
        <v>84</v>
      </c>
      <c r="I507" t="s">
        <v>418</v>
      </c>
      <c r="J507" t="s">
        <v>419</v>
      </c>
      <c r="K507">
        <v>-13307.990221759999</v>
      </c>
      <c r="L507" t="s">
        <v>85</v>
      </c>
      <c r="M507" t="s">
        <v>422</v>
      </c>
      <c r="N507">
        <v>7.7540047892240005E-2</v>
      </c>
      <c r="O507">
        <v>1031.9021990000001</v>
      </c>
      <c r="P507" t="s">
        <v>421</v>
      </c>
      <c r="Q507">
        <v>1</v>
      </c>
      <c r="V507">
        <v>1</v>
      </c>
      <c r="W507">
        <v>1</v>
      </c>
      <c r="X507">
        <v>1</v>
      </c>
      <c r="Y507">
        <v>1</v>
      </c>
      <c r="Z507">
        <v>1031.9021990000001</v>
      </c>
    </row>
    <row r="508" spans="1:26" x14ac:dyDescent="0.25">
      <c r="A508">
        <v>10074</v>
      </c>
      <c r="B508" t="s">
        <v>112</v>
      </c>
      <c r="C508">
        <v>2018</v>
      </c>
      <c r="D508">
        <v>1</v>
      </c>
      <c r="E508" t="s">
        <v>415</v>
      </c>
      <c r="F508" t="s">
        <v>416</v>
      </c>
      <c r="G508" t="s">
        <v>417</v>
      </c>
      <c r="H508" t="s">
        <v>84</v>
      </c>
      <c r="I508" t="s">
        <v>418</v>
      </c>
      <c r="J508" t="s">
        <v>419</v>
      </c>
      <c r="K508">
        <v>-13307.990221759999</v>
      </c>
      <c r="L508" t="s">
        <v>85</v>
      </c>
      <c r="M508" t="s">
        <v>423</v>
      </c>
      <c r="N508">
        <v>0.73979703899049998</v>
      </c>
      <c r="O508">
        <v>9845.2117610000005</v>
      </c>
      <c r="P508" t="s">
        <v>421</v>
      </c>
      <c r="Q508">
        <v>1</v>
      </c>
      <c r="V508">
        <v>1</v>
      </c>
      <c r="W508">
        <v>1</v>
      </c>
      <c r="X508">
        <v>1</v>
      </c>
      <c r="Y508">
        <v>1</v>
      </c>
      <c r="Z508">
        <v>9845.2117610000005</v>
      </c>
    </row>
    <row r="509" spans="1:26" x14ac:dyDescent="0.25">
      <c r="A509">
        <v>10075</v>
      </c>
      <c r="B509" t="s">
        <v>112</v>
      </c>
      <c r="C509">
        <v>2018</v>
      </c>
      <c r="D509">
        <v>1</v>
      </c>
      <c r="E509" t="s">
        <v>415</v>
      </c>
      <c r="F509" t="s">
        <v>416</v>
      </c>
      <c r="G509" t="s">
        <v>417</v>
      </c>
      <c r="H509" t="s">
        <v>84</v>
      </c>
      <c r="I509" t="s">
        <v>418</v>
      </c>
      <c r="J509" t="s">
        <v>419</v>
      </c>
      <c r="K509">
        <v>-13307.990221759999</v>
      </c>
      <c r="L509" t="s">
        <v>85</v>
      </c>
      <c r="M509" t="s">
        <v>424</v>
      </c>
      <c r="N509">
        <v>2.9085775596699999E-3</v>
      </c>
      <c r="O509">
        <v>38.707321999999998</v>
      </c>
      <c r="P509" t="s">
        <v>421</v>
      </c>
      <c r="Q509">
        <v>1</v>
      </c>
      <c r="V509">
        <v>1</v>
      </c>
      <c r="W509">
        <v>1</v>
      </c>
      <c r="X509">
        <v>1</v>
      </c>
      <c r="Y509">
        <v>1</v>
      </c>
      <c r="Z509">
        <v>38.707321999999998</v>
      </c>
    </row>
    <row r="510" spans="1:26" x14ac:dyDescent="0.25">
      <c r="A510">
        <v>10076</v>
      </c>
      <c r="B510" t="s">
        <v>112</v>
      </c>
      <c r="C510">
        <v>2018</v>
      </c>
      <c r="D510">
        <v>1</v>
      </c>
      <c r="E510" t="s">
        <v>415</v>
      </c>
      <c r="F510" t="s">
        <v>416</v>
      </c>
      <c r="G510" t="s">
        <v>417</v>
      </c>
      <c r="H510" t="s">
        <v>84</v>
      </c>
      <c r="I510" t="s">
        <v>418</v>
      </c>
      <c r="J510" t="s">
        <v>419</v>
      </c>
      <c r="K510">
        <v>-13307.990221759999</v>
      </c>
      <c r="L510" t="s">
        <v>85</v>
      </c>
      <c r="M510" t="s">
        <v>425</v>
      </c>
      <c r="N510">
        <v>2.6170694898000001E-3</v>
      </c>
      <c r="O510">
        <v>34.827934999999997</v>
      </c>
      <c r="P510" t="s">
        <v>421</v>
      </c>
      <c r="Q510">
        <v>1</v>
      </c>
      <c r="V510">
        <v>1</v>
      </c>
      <c r="W510">
        <v>1</v>
      </c>
      <c r="X510">
        <v>1</v>
      </c>
      <c r="Y510">
        <v>1</v>
      </c>
      <c r="Z510">
        <v>34.827934999999997</v>
      </c>
    </row>
    <row r="511" spans="1:26" x14ac:dyDescent="0.25">
      <c r="A511">
        <v>10077</v>
      </c>
      <c r="B511" t="s">
        <v>112</v>
      </c>
      <c r="C511">
        <v>2018</v>
      </c>
      <c r="D511">
        <v>1</v>
      </c>
      <c r="E511" t="s">
        <v>415</v>
      </c>
      <c r="F511" t="s">
        <v>416</v>
      </c>
      <c r="G511" t="s">
        <v>417</v>
      </c>
      <c r="H511" t="s">
        <v>84</v>
      </c>
      <c r="I511" t="s">
        <v>426</v>
      </c>
      <c r="J511" t="s">
        <v>87</v>
      </c>
      <c r="K511">
        <v>-2374.3821972199999</v>
      </c>
      <c r="L511" t="s">
        <v>427</v>
      </c>
      <c r="M511" t="s">
        <v>420</v>
      </c>
      <c r="N511">
        <v>0.45523813654234002</v>
      </c>
      <c r="O511">
        <v>1080.9093270000001</v>
      </c>
      <c r="P511" t="s">
        <v>421</v>
      </c>
      <c r="Q511">
        <v>1</v>
      </c>
      <c r="V511">
        <v>1</v>
      </c>
      <c r="W511">
        <v>1</v>
      </c>
      <c r="X511">
        <v>1</v>
      </c>
      <c r="Y511">
        <v>1</v>
      </c>
      <c r="Z511">
        <v>1080.9093270000001</v>
      </c>
    </row>
    <row r="512" spans="1:26" x14ac:dyDescent="0.25">
      <c r="A512">
        <v>10078</v>
      </c>
      <c r="B512" t="s">
        <v>112</v>
      </c>
      <c r="C512">
        <v>2018</v>
      </c>
      <c r="D512">
        <v>1</v>
      </c>
      <c r="E512" t="s">
        <v>415</v>
      </c>
      <c r="F512" t="s">
        <v>416</v>
      </c>
      <c r="G512" t="s">
        <v>417</v>
      </c>
      <c r="H512" t="s">
        <v>84</v>
      </c>
      <c r="I512" t="s">
        <v>426</v>
      </c>
      <c r="J512" t="s">
        <v>87</v>
      </c>
      <c r="K512">
        <v>-2374.3821972199999</v>
      </c>
      <c r="L512" t="s">
        <v>427</v>
      </c>
      <c r="M512" t="s">
        <v>422</v>
      </c>
      <c r="N512">
        <v>6.8896616392329996E-2</v>
      </c>
      <c r="O512">
        <v>163.58689899999999</v>
      </c>
      <c r="P512" t="s">
        <v>421</v>
      </c>
      <c r="Q512">
        <v>1</v>
      </c>
      <c r="V512">
        <v>1</v>
      </c>
      <c r="W512">
        <v>1</v>
      </c>
      <c r="X512">
        <v>1</v>
      </c>
      <c r="Y512">
        <v>1</v>
      </c>
      <c r="Z512">
        <v>163.58689899999999</v>
      </c>
    </row>
    <row r="513" spans="1:26" x14ac:dyDescent="0.25">
      <c r="A513">
        <v>10079</v>
      </c>
      <c r="B513" t="s">
        <v>112</v>
      </c>
      <c r="C513">
        <v>2018</v>
      </c>
      <c r="D513">
        <v>1</v>
      </c>
      <c r="E513" t="s">
        <v>415</v>
      </c>
      <c r="F513" t="s">
        <v>416</v>
      </c>
      <c r="G513" t="s">
        <v>417</v>
      </c>
      <c r="H513" t="s">
        <v>84</v>
      </c>
      <c r="I513" t="s">
        <v>426</v>
      </c>
      <c r="J513" t="s">
        <v>87</v>
      </c>
      <c r="K513">
        <v>-2374.3821972199999</v>
      </c>
      <c r="L513" t="s">
        <v>427</v>
      </c>
      <c r="M513" t="s">
        <v>423</v>
      </c>
      <c r="N513">
        <v>0.70986919705586005</v>
      </c>
      <c r="O513">
        <v>1685.5007840000001</v>
      </c>
      <c r="P513" t="s">
        <v>421</v>
      </c>
      <c r="Q513">
        <v>1</v>
      </c>
      <c r="V513">
        <v>1</v>
      </c>
      <c r="W513">
        <v>1</v>
      </c>
      <c r="X513">
        <v>1</v>
      </c>
      <c r="Y513">
        <v>1</v>
      </c>
      <c r="Z513">
        <v>1685.5007840000001</v>
      </c>
    </row>
    <row r="514" spans="1:26" x14ac:dyDescent="0.25">
      <c r="A514">
        <v>10080</v>
      </c>
      <c r="B514" t="s">
        <v>112</v>
      </c>
      <c r="C514">
        <v>2018</v>
      </c>
      <c r="D514">
        <v>1</v>
      </c>
      <c r="E514" t="s">
        <v>415</v>
      </c>
      <c r="F514" t="s">
        <v>416</v>
      </c>
      <c r="G514" t="s">
        <v>417</v>
      </c>
      <c r="H514" t="s">
        <v>84</v>
      </c>
      <c r="I514" t="s">
        <v>426</v>
      </c>
      <c r="J514" t="s">
        <v>87</v>
      </c>
      <c r="K514">
        <v>-2374.3821972199999</v>
      </c>
      <c r="L514" t="s">
        <v>427</v>
      </c>
      <c r="M514" t="s">
        <v>425</v>
      </c>
      <c r="N514">
        <v>1.4965642882E-3</v>
      </c>
      <c r="O514">
        <v>3.5534159999999999</v>
      </c>
      <c r="P514" t="s">
        <v>421</v>
      </c>
      <c r="Q514">
        <v>1</v>
      </c>
      <c r="V514">
        <v>1</v>
      </c>
      <c r="W514">
        <v>1</v>
      </c>
      <c r="X514">
        <v>1</v>
      </c>
      <c r="Y514">
        <v>1</v>
      </c>
      <c r="Z514">
        <v>3.5534159999999999</v>
      </c>
    </row>
    <row r="515" spans="1:26" x14ac:dyDescent="0.25">
      <c r="A515">
        <v>10081</v>
      </c>
      <c r="B515" t="s">
        <v>112</v>
      </c>
      <c r="C515">
        <v>2018</v>
      </c>
      <c r="D515">
        <v>1</v>
      </c>
      <c r="E515" t="s">
        <v>415</v>
      </c>
      <c r="F515" t="s">
        <v>416</v>
      </c>
      <c r="G515" t="s">
        <v>417</v>
      </c>
      <c r="H515" t="s">
        <v>84</v>
      </c>
      <c r="I515" t="s">
        <v>428</v>
      </c>
      <c r="J515" t="s">
        <v>59</v>
      </c>
      <c r="K515">
        <v>-5475.4642963699998</v>
      </c>
      <c r="L515" t="s">
        <v>89</v>
      </c>
      <c r="M515" t="s">
        <v>420</v>
      </c>
      <c r="N515">
        <v>0.26343870574139999</v>
      </c>
      <c r="O515">
        <v>1442.4492279999999</v>
      </c>
      <c r="P515" t="s">
        <v>421</v>
      </c>
      <c r="Q515">
        <v>1</v>
      </c>
      <c r="V515">
        <v>1</v>
      </c>
      <c r="W515">
        <v>1</v>
      </c>
      <c r="X515">
        <v>1</v>
      </c>
      <c r="Y515">
        <v>1</v>
      </c>
      <c r="Z515">
        <v>1442.4492279999999</v>
      </c>
    </row>
    <row r="516" spans="1:26" x14ac:dyDescent="0.25">
      <c r="A516">
        <v>10082</v>
      </c>
      <c r="B516" t="s">
        <v>112</v>
      </c>
      <c r="C516">
        <v>2018</v>
      </c>
      <c r="D516">
        <v>1</v>
      </c>
      <c r="E516" t="s">
        <v>415</v>
      </c>
      <c r="F516" t="s">
        <v>416</v>
      </c>
      <c r="G516" t="s">
        <v>417</v>
      </c>
      <c r="H516" t="s">
        <v>84</v>
      </c>
      <c r="I516" t="s">
        <v>428</v>
      </c>
      <c r="J516" t="s">
        <v>59</v>
      </c>
      <c r="K516">
        <v>-5475.4642963699998</v>
      </c>
      <c r="L516" t="s">
        <v>89</v>
      </c>
      <c r="M516" t="s">
        <v>422</v>
      </c>
      <c r="N516">
        <v>7.1262429683470005E-2</v>
      </c>
      <c r="O516">
        <v>390.19488899999999</v>
      </c>
      <c r="P516" t="s">
        <v>421</v>
      </c>
      <c r="Q516">
        <v>1</v>
      </c>
      <c r="V516">
        <v>1</v>
      </c>
      <c r="W516">
        <v>1</v>
      </c>
      <c r="X516">
        <v>1</v>
      </c>
      <c r="Y516">
        <v>1</v>
      </c>
      <c r="Z516">
        <v>390.19488899999999</v>
      </c>
    </row>
    <row r="517" spans="1:26" x14ac:dyDescent="0.25">
      <c r="A517">
        <v>10083</v>
      </c>
      <c r="B517" t="s">
        <v>112</v>
      </c>
      <c r="C517">
        <v>2018</v>
      </c>
      <c r="D517">
        <v>1</v>
      </c>
      <c r="E517" t="s">
        <v>415</v>
      </c>
      <c r="F517" t="s">
        <v>416</v>
      </c>
      <c r="G517" t="s">
        <v>417</v>
      </c>
      <c r="H517" t="s">
        <v>84</v>
      </c>
      <c r="I517" t="s">
        <v>428</v>
      </c>
      <c r="J517" t="s">
        <v>59</v>
      </c>
      <c r="K517">
        <v>-5475.4642963699998</v>
      </c>
      <c r="L517" t="s">
        <v>89</v>
      </c>
      <c r="M517" t="s">
        <v>423</v>
      </c>
      <c r="N517">
        <v>0.74738783869542003</v>
      </c>
      <c r="O517">
        <v>4092.2954260000001</v>
      </c>
      <c r="P517" t="s">
        <v>421</v>
      </c>
      <c r="Q517">
        <v>1</v>
      </c>
      <c r="V517">
        <v>1</v>
      </c>
      <c r="W517">
        <v>1</v>
      </c>
      <c r="X517">
        <v>1</v>
      </c>
      <c r="Y517">
        <v>1</v>
      </c>
      <c r="Z517">
        <v>4092.2954260000001</v>
      </c>
    </row>
    <row r="518" spans="1:26" x14ac:dyDescent="0.25">
      <c r="A518">
        <v>10084</v>
      </c>
      <c r="B518" t="s">
        <v>112</v>
      </c>
      <c r="C518">
        <v>2018</v>
      </c>
      <c r="D518">
        <v>1</v>
      </c>
      <c r="E518" t="s">
        <v>415</v>
      </c>
      <c r="F518" t="s">
        <v>416</v>
      </c>
      <c r="G518" t="s">
        <v>417</v>
      </c>
      <c r="H518" t="s">
        <v>84</v>
      </c>
      <c r="I518" t="s">
        <v>428</v>
      </c>
      <c r="J518" t="s">
        <v>59</v>
      </c>
      <c r="K518">
        <v>-5475.4642963699998</v>
      </c>
      <c r="L518" t="s">
        <v>89</v>
      </c>
      <c r="M518" t="s">
        <v>424</v>
      </c>
      <c r="N518">
        <v>3.08071516317E-3</v>
      </c>
      <c r="O518">
        <v>16.868345999999999</v>
      </c>
      <c r="P518" t="s">
        <v>421</v>
      </c>
      <c r="Q518">
        <v>1</v>
      </c>
      <c r="V518">
        <v>1</v>
      </c>
      <c r="W518">
        <v>1</v>
      </c>
      <c r="X518">
        <v>1</v>
      </c>
      <c r="Y518">
        <v>1</v>
      </c>
      <c r="Z518">
        <v>16.868345999999999</v>
      </c>
    </row>
    <row r="519" spans="1:26" x14ac:dyDescent="0.25">
      <c r="A519">
        <v>10085</v>
      </c>
      <c r="B519" t="s">
        <v>112</v>
      </c>
      <c r="C519">
        <v>2018</v>
      </c>
      <c r="D519">
        <v>1</v>
      </c>
      <c r="E519" t="s">
        <v>415</v>
      </c>
      <c r="F519" t="s">
        <v>416</v>
      </c>
      <c r="G519" t="s">
        <v>417</v>
      </c>
      <c r="H519" t="s">
        <v>84</v>
      </c>
      <c r="I519" t="s">
        <v>428</v>
      </c>
      <c r="J519" t="s">
        <v>59</v>
      </c>
      <c r="K519">
        <v>-5475.4642963699998</v>
      </c>
      <c r="L519" t="s">
        <v>89</v>
      </c>
      <c r="M519" t="s">
        <v>425</v>
      </c>
      <c r="N519">
        <v>2.5360775708E-3</v>
      </c>
      <c r="O519">
        <v>13.886202000000001</v>
      </c>
      <c r="P519" t="s">
        <v>421</v>
      </c>
      <c r="Q519">
        <v>1</v>
      </c>
      <c r="V519">
        <v>1</v>
      </c>
      <c r="W519">
        <v>1</v>
      </c>
      <c r="X519">
        <v>1</v>
      </c>
      <c r="Y519">
        <v>1</v>
      </c>
      <c r="Z519">
        <v>13.886202000000001</v>
      </c>
    </row>
    <row r="520" spans="1:26" x14ac:dyDescent="0.25">
      <c r="A520">
        <v>10086</v>
      </c>
      <c r="B520" t="s">
        <v>112</v>
      </c>
      <c r="C520">
        <v>2018</v>
      </c>
      <c r="D520">
        <v>1</v>
      </c>
      <c r="E520" t="s">
        <v>415</v>
      </c>
      <c r="F520" t="s">
        <v>429</v>
      </c>
      <c r="G520" t="s">
        <v>430</v>
      </c>
      <c r="H520" t="s">
        <v>84</v>
      </c>
      <c r="I520" t="s">
        <v>431</v>
      </c>
      <c r="J520" t="s">
        <v>419</v>
      </c>
      <c r="K520">
        <v>-19702.941894380001</v>
      </c>
      <c r="L520" t="s">
        <v>85</v>
      </c>
      <c r="M520" t="s">
        <v>420</v>
      </c>
      <c r="N520">
        <v>0.24824931095561001</v>
      </c>
      <c r="O520">
        <v>4891.2417489999998</v>
      </c>
      <c r="P520" t="s">
        <v>421</v>
      </c>
      <c r="Q520">
        <v>1</v>
      </c>
      <c r="V520">
        <v>1</v>
      </c>
      <c r="W520">
        <v>1</v>
      </c>
      <c r="X520">
        <v>1</v>
      </c>
      <c r="Y520">
        <v>1</v>
      </c>
      <c r="Z520">
        <v>4891.2417489999998</v>
      </c>
    </row>
    <row r="521" spans="1:26" x14ac:dyDescent="0.25">
      <c r="A521">
        <v>10087</v>
      </c>
      <c r="B521" t="s">
        <v>112</v>
      </c>
      <c r="C521">
        <v>2018</v>
      </c>
      <c r="D521">
        <v>1</v>
      </c>
      <c r="E521" t="s">
        <v>415</v>
      </c>
      <c r="F521" t="s">
        <v>429</v>
      </c>
      <c r="G521" t="s">
        <v>430</v>
      </c>
      <c r="H521" t="s">
        <v>84</v>
      </c>
      <c r="I521" t="s">
        <v>431</v>
      </c>
      <c r="J521" t="s">
        <v>419</v>
      </c>
      <c r="K521">
        <v>-19702.941894380001</v>
      </c>
      <c r="L521" t="s">
        <v>85</v>
      </c>
      <c r="M521" t="s">
        <v>422</v>
      </c>
      <c r="N521">
        <v>7.7540047892240005E-2</v>
      </c>
      <c r="O521">
        <v>1527.7670579999999</v>
      </c>
      <c r="P521" t="s">
        <v>421</v>
      </c>
      <c r="Q521">
        <v>1</v>
      </c>
      <c r="V521">
        <v>1</v>
      </c>
      <c r="W521">
        <v>1</v>
      </c>
      <c r="X521">
        <v>1</v>
      </c>
      <c r="Y521">
        <v>1</v>
      </c>
      <c r="Z521">
        <v>1527.7670579999999</v>
      </c>
    </row>
    <row r="522" spans="1:26" x14ac:dyDescent="0.25">
      <c r="A522">
        <v>10088</v>
      </c>
      <c r="B522" t="s">
        <v>112</v>
      </c>
      <c r="C522">
        <v>2018</v>
      </c>
      <c r="D522">
        <v>1</v>
      </c>
      <c r="E522" t="s">
        <v>415</v>
      </c>
      <c r="F522" t="s">
        <v>429</v>
      </c>
      <c r="G522" t="s">
        <v>430</v>
      </c>
      <c r="H522" t="s">
        <v>84</v>
      </c>
      <c r="I522" t="s">
        <v>431</v>
      </c>
      <c r="J522" t="s">
        <v>419</v>
      </c>
      <c r="K522">
        <v>-19702.941894380001</v>
      </c>
      <c r="L522" t="s">
        <v>85</v>
      </c>
      <c r="M522" t="s">
        <v>423</v>
      </c>
      <c r="N522">
        <v>0.73979703899049998</v>
      </c>
      <c r="O522">
        <v>14576.178072999999</v>
      </c>
      <c r="P522" t="s">
        <v>421</v>
      </c>
      <c r="Q522">
        <v>1</v>
      </c>
      <c r="V522">
        <v>1</v>
      </c>
      <c r="W522">
        <v>1</v>
      </c>
      <c r="X522">
        <v>1</v>
      </c>
      <c r="Y522">
        <v>1</v>
      </c>
      <c r="Z522">
        <v>14576.178072999999</v>
      </c>
    </row>
    <row r="523" spans="1:26" x14ac:dyDescent="0.25">
      <c r="A523">
        <v>10089</v>
      </c>
      <c r="B523" t="s">
        <v>112</v>
      </c>
      <c r="C523">
        <v>2018</v>
      </c>
      <c r="D523">
        <v>1</v>
      </c>
      <c r="E523" t="s">
        <v>415</v>
      </c>
      <c r="F523" t="s">
        <v>429</v>
      </c>
      <c r="G523" t="s">
        <v>430</v>
      </c>
      <c r="H523" t="s">
        <v>84</v>
      </c>
      <c r="I523" t="s">
        <v>431</v>
      </c>
      <c r="J523" t="s">
        <v>419</v>
      </c>
      <c r="K523">
        <v>-19702.941894380001</v>
      </c>
      <c r="L523" t="s">
        <v>85</v>
      </c>
      <c r="M523" t="s">
        <v>424</v>
      </c>
      <c r="N523">
        <v>2.9085775596699999E-3</v>
      </c>
      <c r="O523">
        <v>57.307535000000001</v>
      </c>
      <c r="P523" t="s">
        <v>421</v>
      </c>
      <c r="Q523">
        <v>1</v>
      </c>
      <c r="V523">
        <v>1</v>
      </c>
      <c r="W523">
        <v>1</v>
      </c>
      <c r="X523">
        <v>1</v>
      </c>
      <c r="Y523">
        <v>1</v>
      </c>
      <c r="Z523">
        <v>57.307535000000001</v>
      </c>
    </row>
    <row r="524" spans="1:26" x14ac:dyDescent="0.25">
      <c r="A524">
        <v>10090</v>
      </c>
      <c r="B524" t="s">
        <v>112</v>
      </c>
      <c r="C524">
        <v>2018</v>
      </c>
      <c r="D524">
        <v>1</v>
      </c>
      <c r="E524" t="s">
        <v>415</v>
      </c>
      <c r="F524" t="s">
        <v>429</v>
      </c>
      <c r="G524" t="s">
        <v>430</v>
      </c>
      <c r="H524" t="s">
        <v>84</v>
      </c>
      <c r="I524" t="s">
        <v>431</v>
      </c>
      <c r="J524" t="s">
        <v>419</v>
      </c>
      <c r="K524">
        <v>-19702.941894380001</v>
      </c>
      <c r="L524" t="s">
        <v>85</v>
      </c>
      <c r="M524" t="s">
        <v>425</v>
      </c>
      <c r="N524">
        <v>2.6170694898000001E-3</v>
      </c>
      <c r="O524">
        <v>51.563968000000003</v>
      </c>
      <c r="P524" t="s">
        <v>421</v>
      </c>
      <c r="Q524">
        <v>1</v>
      </c>
      <c r="V524">
        <v>1</v>
      </c>
      <c r="W524">
        <v>1</v>
      </c>
      <c r="X524">
        <v>1</v>
      </c>
      <c r="Y524">
        <v>1</v>
      </c>
      <c r="Z524">
        <v>51.563968000000003</v>
      </c>
    </row>
    <row r="525" spans="1:26" x14ac:dyDescent="0.25">
      <c r="A525">
        <v>10091</v>
      </c>
      <c r="B525" t="s">
        <v>112</v>
      </c>
      <c r="C525">
        <v>2018</v>
      </c>
      <c r="D525">
        <v>1</v>
      </c>
      <c r="E525" t="s">
        <v>415</v>
      </c>
      <c r="F525" t="s">
        <v>429</v>
      </c>
      <c r="G525" t="s">
        <v>430</v>
      </c>
      <c r="H525" t="s">
        <v>84</v>
      </c>
      <c r="I525" t="s">
        <v>432</v>
      </c>
      <c r="J525" t="s">
        <v>87</v>
      </c>
      <c r="K525">
        <v>-3736.3369003600001</v>
      </c>
      <c r="L525" t="s">
        <v>427</v>
      </c>
      <c r="M525" t="s">
        <v>420</v>
      </c>
      <c r="N525">
        <v>0.45523813654234002</v>
      </c>
      <c r="O525">
        <v>1700.9230480000001</v>
      </c>
      <c r="P525" t="s">
        <v>421</v>
      </c>
      <c r="Q525">
        <v>1</v>
      </c>
      <c r="V525">
        <v>1</v>
      </c>
      <c r="W525">
        <v>1</v>
      </c>
      <c r="X525">
        <v>1</v>
      </c>
      <c r="Y525">
        <v>1</v>
      </c>
      <c r="Z525">
        <v>1700.9230480000001</v>
      </c>
    </row>
    <row r="526" spans="1:26" x14ac:dyDescent="0.25">
      <c r="A526">
        <v>10092</v>
      </c>
      <c r="B526" t="s">
        <v>112</v>
      </c>
      <c r="C526">
        <v>2018</v>
      </c>
      <c r="D526">
        <v>1</v>
      </c>
      <c r="E526" t="s">
        <v>415</v>
      </c>
      <c r="F526" t="s">
        <v>429</v>
      </c>
      <c r="G526" t="s">
        <v>430</v>
      </c>
      <c r="H526" t="s">
        <v>84</v>
      </c>
      <c r="I526" t="s">
        <v>432</v>
      </c>
      <c r="J526" t="s">
        <v>87</v>
      </c>
      <c r="K526">
        <v>-3736.3369003600001</v>
      </c>
      <c r="L526" t="s">
        <v>427</v>
      </c>
      <c r="M526" t="s">
        <v>422</v>
      </c>
      <c r="N526">
        <v>6.8896616392329996E-2</v>
      </c>
      <c r="O526">
        <v>257.42097000000001</v>
      </c>
      <c r="P526" t="s">
        <v>421</v>
      </c>
      <c r="Q526">
        <v>1</v>
      </c>
      <c r="V526">
        <v>1</v>
      </c>
      <c r="W526">
        <v>1</v>
      </c>
      <c r="X526">
        <v>1</v>
      </c>
      <c r="Y526">
        <v>1</v>
      </c>
      <c r="Z526">
        <v>257.42097000000001</v>
      </c>
    </row>
    <row r="527" spans="1:26" x14ac:dyDescent="0.25">
      <c r="A527">
        <v>10093</v>
      </c>
      <c r="B527" t="s">
        <v>112</v>
      </c>
      <c r="C527">
        <v>2018</v>
      </c>
      <c r="D527">
        <v>1</v>
      </c>
      <c r="E527" t="s">
        <v>415</v>
      </c>
      <c r="F527" t="s">
        <v>429</v>
      </c>
      <c r="G527" t="s">
        <v>430</v>
      </c>
      <c r="H527" t="s">
        <v>84</v>
      </c>
      <c r="I527" t="s">
        <v>432</v>
      </c>
      <c r="J527" t="s">
        <v>87</v>
      </c>
      <c r="K527">
        <v>-3736.3369003600001</v>
      </c>
      <c r="L527" t="s">
        <v>427</v>
      </c>
      <c r="M527" t="s">
        <v>423</v>
      </c>
      <c r="N527">
        <v>0.70986919705586005</v>
      </c>
      <c r="O527">
        <v>2652.3104750000002</v>
      </c>
      <c r="P527" t="s">
        <v>421</v>
      </c>
      <c r="Q527">
        <v>1</v>
      </c>
      <c r="V527">
        <v>1</v>
      </c>
      <c r="W527">
        <v>1</v>
      </c>
      <c r="X527">
        <v>1</v>
      </c>
      <c r="Y527">
        <v>1</v>
      </c>
      <c r="Z527">
        <v>2652.3104750000002</v>
      </c>
    </row>
    <row r="528" spans="1:26" x14ac:dyDescent="0.25">
      <c r="A528">
        <v>10094</v>
      </c>
      <c r="B528" t="s">
        <v>112</v>
      </c>
      <c r="C528">
        <v>2018</v>
      </c>
      <c r="D528">
        <v>1</v>
      </c>
      <c r="E528" t="s">
        <v>415</v>
      </c>
      <c r="F528" t="s">
        <v>429</v>
      </c>
      <c r="G528" t="s">
        <v>430</v>
      </c>
      <c r="H528" t="s">
        <v>84</v>
      </c>
      <c r="I528" t="s">
        <v>432</v>
      </c>
      <c r="J528" t="s">
        <v>87</v>
      </c>
      <c r="K528">
        <v>-3736.3369003600001</v>
      </c>
      <c r="L528" t="s">
        <v>427</v>
      </c>
      <c r="M528" t="s">
        <v>425</v>
      </c>
      <c r="N528">
        <v>1.4965642882E-3</v>
      </c>
      <c r="O528">
        <v>5.5916680000000003</v>
      </c>
      <c r="P528" t="s">
        <v>421</v>
      </c>
      <c r="Q528">
        <v>1</v>
      </c>
      <c r="V528">
        <v>1</v>
      </c>
      <c r="W528">
        <v>1</v>
      </c>
      <c r="X528">
        <v>1</v>
      </c>
      <c r="Y528">
        <v>1</v>
      </c>
      <c r="Z528">
        <v>5.5916680000000003</v>
      </c>
    </row>
    <row r="529" spans="1:26" x14ac:dyDescent="0.25">
      <c r="A529">
        <v>10095</v>
      </c>
      <c r="B529" t="s">
        <v>112</v>
      </c>
      <c r="C529">
        <v>2018</v>
      </c>
      <c r="D529">
        <v>1</v>
      </c>
      <c r="E529" t="s">
        <v>415</v>
      </c>
      <c r="F529" t="s">
        <v>429</v>
      </c>
      <c r="G529" t="s">
        <v>430</v>
      </c>
      <c r="H529" t="s">
        <v>84</v>
      </c>
      <c r="I529" t="s">
        <v>433</v>
      </c>
      <c r="J529" t="s">
        <v>59</v>
      </c>
      <c r="K529">
        <v>-7022.5717074499998</v>
      </c>
      <c r="L529" t="s">
        <v>89</v>
      </c>
      <c r="M529" t="s">
        <v>420</v>
      </c>
      <c r="N529">
        <v>0.26343870574139999</v>
      </c>
      <c r="O529">
        <v>1850.017202</v>
      </c>
      <c r="P529" t="s">
        <v>421</v>
      </c>
      <c r="Q529">
        <v>1</v>
      </c>
      <c r="V529">
        <v>1</v>
      </c>
      <c r="W529">
        <v>1</v>
      </c>
      <c r="X529">
        <v>1</v>
      </c>
      <c r="Y529">
        <v>1</v>
      </c>
      <c r="Z529">
        <v>1850.017202</v>
      </c>
    </row>
    <row r="530" spans="1:26" x14ac:dyDescent="0.25">
      <c r="A530">
        <v>10096</v>
      </c>
      <c r="B530" t="s">
        <v>112</v>
      </c>
      <c r="C530">
        <v>2018</v>
      </c>
      <c r="D530">
        <v>1</v>
      </c>
      <c r="E530" t="s">
        <v>415</v>
      </c>
      <c r="F530" t="s">
        <v>429</v>
      </c>
      <c r="G530" t="s">
        <v>430</v>
      </c>
      <c r="H530" t="s">
        <v>84</v>
      </c>
      <c r="I530" t="s">
        <v>433</v>
      </c>
      <c r="J530" t="s">
        <v>59</v>
      </c>
      <c r="K530">
        <v>-7022.5717074499998</v>
      </c>
      <c r="L530" t="s">
        <v>89</v>
      </c>
      <c r="M530" t="s">
        <v>422</v>
      </c>
      <c r="N530">
        <v>7.1262429683470005E-2</v>
      </c>
      <c r="O530">
        <v>500.44552199999998</v>
      </c>
      <c r="P530" t="s">
        <v>421</v>
      </c>
      <c r="Q530">
        <v>1</v>
      </c>
      <c r="V530">
        <v>1</v>
      </c>
      <c r="W530">
        <v>1</v>
      </c>
      <c r="X530">
        <v>1</v>
      </c>
      <c r="Y530">
        <v>1</v>
      </c>
      <c r="Z530">
        <v>500.44552199999998</v>
      </c>
    </row>
    <row r="531" spans="1:26" x14ac:dyDescent="0.25">
      <c r="A531">
        <v>10097</v>
      </c>
      <c r="B531" t="s">
        <v>112</v>
      </c>
      <c r="C531">
        <v>2018</v>
      </c>
      <c r="D531">
        <v>1</v>
      </c>
      <c r="E531" t="s">
        <v>415</v>
      </c>
      <c r="F531" t="s">
        <v>429</v>
      </c>
      <c r="G531" t="s">
        <v>430</v>
      </c>
      <c r="H531" t="s">
        <v>84</v>
      </c>
      <c r="I531" t="s">
        <v>433</v>
      </c>
      <c r="J531" t="s">
        <v>59</v>
      </c>
      <c r="K531">
        <v>-7022.5717074499998</v>
      </c>
      <c r="L531" t="s">
        <v>89</v>
      </c>
      <c r="M531" t="s">
        <v>423</v>
      </c>
      <c r="N531">
        <v>0.74738783869542003</v>
      </c>
      <c r="O531">
        <v>5248.584691</v>
      </c>
      <c r="P531" t="s">
        <v>421</v>
      </c>
      <c r="Q531">
        <v>1</v>
      </c>
      <c r="V531">
        <v>1</v>
      </c>
      <c r="W531">
        <v>1</v>
      </c>
      <c r="X531">
        <v>1</v>
      </c>
      <c r="Y531">
        <v>1</v>
      </c>
      <c r="Z531">
        <v>5248.584691</v>
      </c>
    </row>
    <row r="532" spans="1:26" x14ac:dyDescent="0.25">
      <c r="A532">
        <v>10098</v>
      </c>
      <c r="B532" t="s">
        <v>112</v>
      </c>
      <c r="C532">
        <v>2018</v>
      </c>
      <c r="D532">
        <v>1</v>
      </c>
      <c r="E532" t="s">
        <v>415</v>
      </c>
      <c r="F532" t="s">
        <v>429</v>
      </c>
      <c r="G532" t="s">
        <v>430</v>
      </c>
      <c r="H532" t="s">
        <v>84</v>
      </c>
      <c r="I532" t="s">
        <v>433</v>
      </c>
      <c r="J532" t="s">
        <v>59</v>
      </c>
      <c r="K532">
        <v>-7022.5717074499998</v>
      </c>
      <c r="L532" t="s">
        <v>89</v>
      </c>
      <c r="M532" t="s">
        <v>424</v>
      </c>
      <c r="N532">
        <v>3.08071516317E-3</v>
      </c>
      <c r="O532">
        <v>21.634543000000001</v>
      </c>
      <c r="P532" t="s">
        <v>421</v>
      </c>
      <c r="Q532">
        <v>1</v>
      </c>
      <c r="V532">
        <v>1</v>
      </c>
      <c r="W532">
        <v>1</v>
      </c>
      <c r="X532">
        <v>1</v>
      </c>
      <c r="Y532">
        <v>1</v>
      </c>
      <c r="Z532">
        <v>21.634543000000001</v>
      </c>
    </row>
    <row r="533" spans="1:26" x14ac:dyDescent="0.25">
      <c r="A533">
        <v>10099</v>
      </c>
      <c r="B533" t="s">
        <v>112</v>
      </c>
      <c r="C533">
        <v>2018</v>
      </c>
      <c r="D533">
        <v>1</v>
      </c>
      <c r="E533" t="s">
        <v>415</v>
      </c>
      <c r="F533" t="s">
        <v>429</v>
      </c>
      <c r="G533" t="s">
        <v>430</v>
      </c>
      <c r="H533" t="s">
        <v>84</v>
      </c>
      <c r="I533" t="s">
        <v>433</v>
      </c>
      <c r="J533" t="s">
        <v>59</v>
      </c>
      <c r="K533">
        <v>-7022.5717074499998</v>
      </c>
      <c r="L533" t="s">
        <v>89</v>
      </c>
      <c r="M533" t="s">
        <v>425</v>
      </c>
      <c r="N533">
        <v>2.5360775708E-3</v>
      </c>
      <c r="O533">
        <v>17.809787</v>
      </c>
      <c r="P533" t="s">
        <v>421</v>
      </c>
      <c r="Q533">
        <v>1</v>
      </c>
      <c r="V533">
        <v>1</v>
      </c>
      <c r="W533">
        <v>1</v>
      </c>
      <c r="X533">
        <v>1</v>
      </c>
      <c r="Y533">
        <v>1</v>
      </c>
      <c r="Z533">
        <v>17.809787</v>
      </c>
    </row>
    <row r="534" spans="1:26" x14ac:dyDescent="0.25">
      <c r="A534">
        <v>10100</v>
      </c>
      <c r="B534" t="s">
        <v>112</v>
      </c>
      <c r="C534">
        <v>2018</v>
      </c>
      <c r="D534">
        <v>1</v>
      </c>
      <c r="E534" t="s">
        <v>415</v>
      </c>
      <c r="F534" t="s">
        <v>434</v>
      </c>
      <c r="G534" t="s">
        <v>435</v>
      </c>
      <c r="H534" t="s">
        <v>84</v>
      </c>
      <c r="I534" t="s">
        <v>436</v>
      </c>
      <c r="J534" t="s">
        <v>419</v>
      </c>
      <c r="K534">
        <v>-5899.6516596700003</v>
      </c>
      <c r="L534" t="s">
        <v>85</v>
      </c>
      <c r="M534" t="s">
        <v>420</v>
      </c>
      <c r="N534">
        <v>0.24824931095561001</v>
      </c>
      <c r="O534">
        <v>1464.5844589999999</v>
      </c>
      <c r="P534" t="s">
        <v>421</v>
      </c>
      <c r="Q534">
        <v>1</v>
      </c>
      <c r="V534">
        <v>1</v>
      </c>
      <c r="W534">
        <v>1</v>
      </c>
      <c r="X534">
        <v>1</v>
      </c>
      <c r="Y534">
        <v>1</v>
      </c>
      <c r="Z534">
        <v>1464.5844589999999</v>
      </c>
    </row>
    <row r="535" spans="1:26" x14ac:dyDescent="0.25">
      <c r="A535">
        <v>10101</v>
      </c>
      <c r="B535" t="s">
        <v>112</v>
      </c>
      <c r="C535">
        <v>2018</v>
      </c>
      <c r="D535">
        <v>1</v>
      </c>
      <c r="E535" t="s">
        <v>415</v>
      </c>
      <c r="F535" t="s">
        <v>434</v>
      </c>
      <c r="G535" t="s">
        <v>435</v>
      </c>
      <c r="H535" t="s">
        <v>84</v>
      </c>
      <c r="I535" t="s">
        <v>436</v>
      </c>
      <c r="J535" t="s">
        <v>419</v>
      </c>
      <c r="K535">
        <v>-5899.6516596700003</v>
      </c>
      <c r="L535" t="s">
        <v>85</v>
      </c>
      <c r="M535" t="s">
        <v>422</v>
      </c>
      <c r="N535">
        <v>7.7540047892240005E-2</v>
      </c>
      <c r="O535">
        <v>457.459272</v>
      </c>
      <c r="P535" t="s">
        <v>421</v>
      </c>
      <c r="Q535">
        <v>1</v>
      </c>
      <c r="V535">
        <v>1</v>
      </c>
      <c r="W535">
        <v>1</v>
      </c>
      <c r="X535">
        <v>1</v>
      </c>
      <c r="Y535">
        <v>1</v>
      </c>
      <c r="Z535">
        <v>457.459272</v>
      </c>
    </row>
    <row r="536" spans="1:26" x14ac:dyDescent="0.25">
      <c r="A536">
        <v>10102</v>
      </c>
      <c r="B536" t="s">
        <v>112</v>
      </c>
      <c r="C536">
        <v>2018</v>
      </c>
      <c r="D536">
        <v>1</v>
      </c>
      <c r="E536" t="s">
        <v>415</v>
      </c>
      <c r="F536" t="s">
        <v>434</v>
      </c>
      <c r="G536" t="s">
        <v>435</v>
      </c>
      <c r="H536" t="s">
        <v>84</v>
      </c>
      <c r="I536" t="s">
        <v>436</v>
      </c>
      <c r="J536" t="s">
        <v>419</v>
      </c>
      <c r="K536">
        <v>-5899.6516596700003</v>
      </c>
      <c r="L536" t="s">
        <v>85</v>
      </c>
      <c r="M536" t="s">
        <v>423</v>
      </c>
      <c r="N536">
        <v>0.73979703899049998</v>
      </c>
      <c r="O536">
        <v>4364.5448290000004</v>
      </c>
      <c r="P536" t="s">
        <v>421</v>
      </c>
      <c r="Q536">
        <v>1</v>
      </c>
      <c r="V536">
        <v>1</v>
      </c>
      <c r="W536">
        <v>1</v>
      </c>
      <c r="X536">
        <v>1</v>
      </c>
      <c r="Y536">
        <v>1</v>
      </c>
      <c r="Z536">
        <v>4364.5448290000004</v>
      </c>
    </row>
    <row r="537" spans="1:26" x14ac:dyDescent="0.25">
      <c r="A537">
        <v>10103</v>
      </c>
      <c r="B537" t="s">
        <v>112</v>
      </c>
      <c r="C537">
        <v>2018</v>
      </c>
      <c r="D537">
        <v>1</v>
      </c>
      <c r="E537" t="s">
        <v>415</v>
      </c>
      <c r="F537" t="s">
        <v>434</v>
      </c>
      <c r="G537" t="s">
        <v>435</v>
      </c>
      <c r="H537" t="s">
        <v>84</v>
      </c>
      <c r="I537" t="s">
        <v>436</v>
      </c>
      <c r="J537" t="s">
        <v>419</v>
      </c>
      <c r="K537">
        <v>-5899.6516596700003</v>
      </c>
      <c r="L537" t="s">
        <v>85</v>
      </c>
      <c r="M537" t="s">
        <v>424</v>
      </c>
      <c r="N537">
        <v>2.9085775596699999E-3</v>
      </c>
      <c r="O537">
        <v>17.159593999999998</v>
      </c>
      <c r="P537" t="s">
        <v>421</v>
      </c>
      <c r="Q537">
        <v>1</v>
      </c>
      <c r="V537">
        <v>1</v>
      </c>
      <c r="W537">
        <v>1</v>
      </c>
      <c r="X537">
        <v>1</v>
      </c>
      <c r="Y537">
        <v>1</v>
      </c>
      <c r="Z537">
        <v>17.159593999999998</v>
      </c>
    </row>
    <row r="538" spans="1:26" x14ac:dyDescent="0.25">
      <c r="A538">
        <v>10104</v>
      </c>
      <c r="B538" t="s">
        <v>112</v>
      </c>
      <c r="C538">
        <v>2018</v>
      </c>
      <c r="D538">
        <v>1</v>
      </c>
      <c r="E538" t="s">
        <v>415</v>
      </c>
      <c r="F538" t="s">
        <v>434</v>
      </c>
      <c r="G538" t="s">
        <v>435</v>
      </c>
      <c r="H538" t="s">
        <v>84</v>
      </c>
      <c r="I538" t="s">
        <v>436</v>
      </c>
      <c r="J538" t="s">
        <v>419</v>
      </c>
      <c r="K538">
        <v>-5899.6516596700003</v>
      </c>
      <c r="L538" t="s">
        <v>85</v>
      </c>
      <c r="M538" t="s">
        <v>425</v>
      </c>
      <c r="N538">
        <v>2.6170694898000001E-3</v>
      </c>
      <c r="O538">
        <v>15.439798</v>
      </c>
      <c r="P538" t="s">
        <v>421</v>
      </c>
      <c r="Q538">
        <v>1</v>
      </c>
      <c r="V538">
        <v>1</v>
      </c>
      <c r="W538">
        <v>1</v>
      </c>
      <c r="X538">
        <v>1</v>
      </c>
      <c r="Y538">
        <v>1</v>
      </c>
      <c r="Z538">
        <v>15.439798</v>
      </c>
    </row>
    <row r="539" spans="1:26" x14ac:dyDescent="0.25">
      <c r="A539">
        <v>10105</v>
      </c>
      <c r="B539" t="s">
        <v>112</v>
      </c>
      <c r="C539">
        <v>2018</v>
      </c>
      <c r="D539">
        <v>1</v>
      </c>
      <c r="E539" t="s">
        <v>415</v>
      </c>
      <c r="F539" t="s">
        <v>434</v>
      </c>
      <c r="G539" t="s">
        <v>435</v>
      </c>
      <c r="H539" t="s">
        <v>84</v>
      </c>
      <c r="I539" t="s">
        <v>437</v>
      </c>
      <c r="J539" t="s">
        <v>87</v>
      </c>
      <c r="K539">
        <v>-1210.2621379699999</v>
      </c>
      <c r="L539" t="s">
        <v>427</v>
      </c>
      <c r="M539" t="s">
        <v>420</v>
      </c>
      <c r="N539">
        <v>0.45523813654234002</v>
      </c>
      <c r="O539">
        <v>550.95748000000003</v>
      </c>
      <c r="P539" t="s">
        <v>421</v>
      </c>
      <c r="Q539">
        <v>1</v>
      </c>
      <c r="V539">
        <v>1</v>
      </c>
      <c r="W539">
        <v>1</v>
      </c>
      <c r="X539">
        <v>1</v>
      </c>
      <c r="Y539">
        <v>1</v>
      </c>
      <c r="Z539">
        <v>550.95748000000003</v>
      </c>
    </row>
    <row r="540" spans="1:26" x14ac:dyDescent="0.25">
      <c r="A540">
        <v>10106</v>
      </c>
      <c r="B540" t="s">
        <v>112</v>
      </c>
      <c r="C540">
        <v>2018</v>
      </c>
      <c r="D540">
        <v>1</v>
      </c>
      <c r="E540" t="s">
        <v>415</v>
      </c>
      <c r="F540" t="s">
        <v>434</v>
      </c>
      <c r="G540" t="s">
        <v>435</v>
      </c>
      <c r="H540" t="s">
        <v>84</v>
      </c>
      <c r="I540" t="s">
        <v>437</v>
      </c>
      <c r="J540" t="s">
        <v>87</v>
      </c>
      <c r="K540">
        <v>-1210.2621379699999</v>
      </c>
      <c r="L540" t="s">
        <v>427</v>
      </c>
      <c r="M540" t="s">
        <v>422</v>
      </c>
      <c r="N540">
        <v>6.8896616392329996E-2</v>
      </c>
      <c r="O540">
        <v>83.382965999999996</v>
      </c>
      <c r="P540" t="s">
        <v>421</v>
      </c>
      <c r="Q540">
        <v>1</v>
      </c>
      <c r="V540">
        <v>1</v>
      </c>
      <c r="W540">
        <v>1</v>
      </c>
      <c r="X540">
        <v>1</v>
      </c>
      <c r="Y540">
        <v>1</v>
      </c>
      <c r="Z540">
        <v>83.382965999999996</v>
      </c>
    </row>
    <row r="541" spans="1:26" x14ac:dyDescent="0.25">
      <c r="A541">
        <v>10107</v>
      </c>
      <c r="B541" t="s">
        <v>112</v>
      </c>
      <c r="C541">
        <v>2018</v>
      </c>
      <c r="D541">
        <v>1</v>
      </c>
      <c r="E541" t="s">
        <v>415</v>
      </c>
      <c r="F541" t="s">
        <v>434</v>
      </c>
      <c r="G541" t="s">
        <v>435</v>
      </c>
      <c r="H541" t="s">
        <v>84</v>
      </c>
      <c r="I541" t="s">
        <v>437</v>
      </c>
      <c r="J541" t="s">
        <v>87</v>
      </c>
      <c r="K541">
        <v>-1210.2621379699999</v>
      </c>
      <c r="L541" t="s">
        <v>427</v>
      </c>
      <c r="M541" t="s">
        <v>423</v>
      </c>
      <c r="N541">
        <v>0.70986919705586005</v>
      </c>
      <c r="O541">
        <v>859.12781199999995</v>
      </c>
      <c r="P541" t="s">
        <v>421</v>
      </c>
      <c r="Q541">
        <v>1</v>
      </c>
      <c r="V541">
        <v>1</v>
      </c>
      <c r="W541">
        <v>1</v>
      </c>
      <c r="X541">
        <v>1</v>
      </c>
      <c r="Y541">
        <v>1</v>
      </c>
      <c r="Z541">
        <v>859.12781199999995</v>
      </c>
    </row>
    <row r="542" spans="1:26" x14ac:dyDescent="0.25">
      <c r="A542">
        <v>10108</v>
      </c>
      <c r="B542" t="s">
        <v>112</v>
      </c>
      <c r="C542">
        <v>2018</v>
      </c>
      <c r="D542">
        <v>1</v>
      </c>
      <c r="E542" t="s">
        <v>415</v>
      </c>
      <c r="F542" t="s">
        <v>434</v>
      </c>
      <c r="G542" t="s">
        <v>435</v>
      </c>
      <c r="H542" t="s">
        <v>84</v>
      </c>
      <c r="I542" t="s">
        <v>437</v>
      </c>
      <c r="J542" t="s">
        <v>87</v>
      </c>
      <c r="K542">
        <v>-1210.2621379699999</v>
      </c>
      <c r="L542" t="s">
        <v>427</v>
      </c>
      <c r="M542" t="s">
        <v>425</v>
      </c>
      <c r="N542">
        <v>1.4965642882E-3</v>
      </c>
      <c r="O542">
        <v>1.8112349999999999</v>
      </c>
      <c r="P542" t="s">
        <v>421</v>
      </c>
      <c r="Q542">
        <v>1</v>
      </c>
      <c r="V542">
        <v>1</v>
      </c>
      <c r="W542">
        <v>1</v>
      </c>
      <c r="X542">
        <v>1</v>
      </c>
      <c r="Y542">
        <v>1</v>
      </c>
      <c r="Z542">
        <v>1.8112349999999999</v>
      </c>
    </row>
    <row r="543" spans="1:26" x14ac:dyDescent="0.25">
      <c r="A543">
        <v>10109</v>
      </c>
      <c r="B543" t="s">
        <v>112</v>
      </c>
      <c r="C543">
        <v>2018</v>
      </c>
      <c r="D543">
        <v>1</v>
      </c>
      <c r="E543" t="s">
        <v>415</v>
      </c>
      <c r="F543" t="s">
        <v>434</v>
      </c>
      <c r="G543" t="s">
        <v>435</v>
      </c>
      <c r="H543" t="s">
        <v>84</v>
      </c>
      <c r="I543" t="s">
        <v>438</v>
      </c>
      <c r="J543" t="s">
        <v>59</v>
      </c>
      <c r="K543">
        <v>-3168.2080827999998</v>
      </c>
      <c r="L543" t="s">
        <v>89</v>
      </c>
      <c r="M543" t="s">
        <v>420</v>
      </c>
      <c r="N543">
        <v>0.26343870574139999</v>
      </c>
      <c r="O543">
        <v>834.62863700000003</v>
      </c>
      <c r="P543" t="s">
        <v>421</v>
      </c>
      <c r="Q543">
        <v>1</v>
      </c>
      <c r="V543">
        <v>1</v>
      </c>
      <c r="W543">
        <v>1</v>
      </c>
      <c r="X543">
        <v>1</v>
      </c>
      <c r="Y543">
        <v>1</v>
      </c>
      <c r="Z543">
        <v>834.62863700000003</v>
      </c>
    </row>
    <row r="544" spans="1:26" x14ac:dyDescent="0.25">
      <c r="A544">
        <v>10110</v>
      </c>
      <c r="B544" t="s">
        <v>112</v>
      </c>
      <c r="C544">
        <v>2018</v>
      </c>
      <c r="D544">
        <v>1</v>
      </c>
      <c r="E544" t="s">
        <v>415</v>
      </c>
      <c r="F544" t="s">
        <v>434</v>
      </c>
      <c r="G544" t="s">
        <v>435</v>
      </c>
      <c r="H544" t="s">
        <v>84</v>
      </c>
      <c r="I544" t="s">
        <v>438</v>
      </c>
      <c r="J544" t="s">
        <v>59</v>
      </c>
      <c r="K544">
        <v>-3168.2080827999998</v>
      </c>
      <c r="L544" t="s">
        <v>89</v>
      </c>
      <c r="M544" t="s">
        <v>422</v>
      </c>
      <c r="N544">
        <v>7.1262429683470005E-2</v>
      </c>
      <c r="O544">
        <v>225.77420599999999</v>
      </c>
      <c r="P544" t="s">
        <v>421</v>
      </c>
      <c r="Q544">
        <v>1</v>
      </c>
      <c r="V544">
        <v>1</v>
      </c>
      <c r="W544">
        <v>1</v>
      </c>
      <c r="X544">
        <v>1</v>
      </c>
      <c r="Y544">
        <v>1</v>
      </c>
      <c r="Z544">
        <v>225.77420599999999</v>
      </c>
    </row>
    <row r="545" spans="1:26" x14ac:dyDescent="0.25">
      <c r="A545">
        <v>10111</v>
      </c>
      <c r="B545" t="s">
        <v>112</v>
      </c>
      <c r="C545">
        <v>2018</v>
      </c>
      <c r="D545">
        <v>1</v>
      </c>
      <c r="E545" t="s">
        <v>415</v>
      </c>
      <c r="F545" t="s">
        <v>434</v>
      </c>
      <c r="G545" t="s">
        <v>435</v>
      </c>
      <c r="H545" t="s">
        <v>84</v>
      </c>
      <c r="I545" t="s">
        <v>438</v>
      </c>
      <c r="J545" t="s">
        <v>59</v>
      </c>
      <c r="K545">
        <v>-3168.2080827999998</v>
      </c>
      <c r="L545" t="s">
        <v>89</v>
      </c>
      <c r="M545" t="s">
        <v>423</v>
      </c>
      <c r="N545">
        <v>0.74738783869542003</v>
      </c>
      <c r="O545">
        <v>2367.8801920000001</v>
      </c>
      <c r="P545" t="s">
        <v>421</v>
      </c>
      <c r="Q545">
        <v>1</v>
      </c>
      <c r="V545">
        <v>1</v>
      </c>
      <c r="W545">
        <v>1</v>
      </c>
      <c r="X545">
        <v>1</v>
      </c>
      <c r="Y545">
        <v>1</v>
      </c>
      <c r="Z545">
        <v>2367.8801920000001</v>
      </c>
    </row>
    <row r="546" spans="1:26" x14ac:dyDescent="0.25">
      <c r="A546">
        <v>10112</v>
      </c>
      <c r="B546" t="s">
        <v>112</v>
      </c>
      <c r="C546">
        <v>2018</v>
      </c>
      <c r="D546">
        <v>1</v>
      </c>
      <c r="E546" t="s">
        <v>415</v>
      </c>
      <c r="F546" t="s">
        <v>434</v>
      </c>
      <c r="G546" t="s">
        <v>435</v>
      </c>
      <c r="H546" t="s">
        <v>84</v>
      </c>
      <c r="I546" t="s">
        <v>438</v>
      </c>
      <c r="J546" t="s">
        <v>59</v>
      </c>
      <c r="K546">
        <v>-3168.2080827999998</v>
      </c>
      <c r="L546" t="s">
        <v>89</v>
      </c>
      <c r="M546" t="s">
        <v>424</v>
      </c>
      <c r="N546">
        <v>3.08071516317E-3</v>
      </c>
      <c r="O546">
        <v>9.7603469999999994</v>
      </c>
      <c r="P546" t="s">
        <v>421</v>
      </c>
      <c r="Q546">
        <v>1</v>
      </c>
      <c r="V546">
        <v>1</v>
      </c>
      <c r="W546">
        <v>1</v>
      </c>
      <c r="X546">
        <v>1</v>
      </c>
      <c r="Y546">
        <v>1</v>
      </c>
      <c r="Z546">
        <v>9.7603469999999994</v>
      </c>
    </row>
    <row r="547" spans="1:26" x14ac:dyDescent="0.25">
      <c r="A547">
        <v>10113</v>
      </c>
      <c r="B547" t="s">
        <v>112</v>
      </c>
      <c r="C547">
        <v>2018</v>
      </c>
      <c r="D547">
        <v>1</v>
      </c>
      <c r="E547" t="s">
        <v>415</v>
      </c>
      <c r="F547" t="s">
        <v>434</v>
      </c>
      <c r="G547" t="s">
        <v>435</v>
      </c>
      <c r="H547" t="s">
        <v>84</v>
      </c>
      <c r="I547" t="s">
        <v>438</v>
      </c>
      <c r="J547" t="s">
        <v>59</v>
      </c>
      <c r="K547">
        <v>-3168.2080827999998</v>
      </c>
      <c r="L547" t="s">
        <v>89</v>
      </c>
      <c r="M547" t="s">
        <v>425</v>
      </c>
      <c r="N547">
        <v>2.5360775708E-3</v>
      </c>
      <c r="O547">
        <v>8.0348210000000009</v>
      </c>
      <c r="P547" t="s">
        <v>421</v>
      </c>
      <c r="Q547">
        <v>1</v>
      </c>
      <c r="V547">
        <v>1</v>
      </c>
      <c r="W547">
        <v>1</v>
      </c>
      <c r="X547">
        <v>1</v>
      </c>
      <c r="Y547">
        <v>1</v>
      </c>
      <c r="Z547">
        <v>8.0348210000000009</v>
      </c>
    </row>
    <row r="548" spans="1:26" x14ac:dyDescent="0.25">
      <c r="A548">
        <v>63823</v>
      </c>
      <c r="B548" t="s">
        <v>150</v>
      </c>
      <c r="C548">
        <v>2019</v>
      </c>
      <c r="D548">
        <v>1</v>
      </c>
      <c r="E548" t="s">
        <v>415</v>
      </c>
      <c r="F548" t="s">
        <v>416</v>
      </c>
      <c r="G548" t="s">
        <v>417</v>
      </c>
      <c r="H548" t="s">
        <v>84</v>
      </c>
      <c r="I548" t="s">
        <v>418</v>
      </c>
      <c r="J548" t="s">
        <v>419</v>
      </c>
      <c r="K548">
        <v>-20761.19812225</v>
      </c>
      <c r="L548" t="s">
        <v>85</v>
      </c>
      <c r="M548" t="s">
        <v>420</v>
      </c>
      <c r="N548">
        <v>0.24824931095561001</v>
      </c>
      <c r="O548">
        <v>5153.9531280000001</v>
      </c>
      <c r="P548" t="s">
        <v>421</v>
      </c>
      <c r="Q548">
        <v>1</v>
      </c>
      <c r="V548">
        <v>1</v>
      </c>
      <c r="W548">
        <v>1</v>
      </c>
      <c r="X548">
        <v>1</v>
      </c>
      <c r="Y548">
        <v>1</v>
      </c>
      <c r="Z548">
        <v>5153.9531280000001</v>
      </c>
    </row>
    <row r="549" spans="1:26" x14ac:dyDescent="0.25">
      <c r="A549">
        <v>63824</v>
      </c>
      <c r="B549" t="s">
        <v>150</v>
      </c>
      <c r="C549">
        <v>2019</v>
      </c>
      <c r="D549">
        <v>1</v>
      </c>
      <c r="E549" t="s">
        <v>415</v>
      </c>
      <c r="F549" t="s">
        <v>416</v>
      </c>
      <c r="G549" t="s">
        <v>417</v>
      </c>
      <c r="H549" t="s">
        <v>84</v>
      </c>
      <c r="I549" t="s">
        <v>418</v>
      </c>
      <c r="J549" t="s">
        <v>419</v>
      </c>
      <c r="K549">
        <v>-20761.19812225</v>
      </c>
      <c r="L549" t="s">
        <v>85</v>
      </c>
      <c r="M549" t="s">
        <v>422</v>
      </c>
      <c r="N549">
        <v>7.7540047892240005E-2</v>
      </c>
      <c r="O549">
        <v>1609.8242969999999</v>
      </c>
      <c r="P549" t="s">
        <v>421</v>
      </c>
      <c r="Q549">
        <v>1</v>
      </c>
      <c r="V549">
        <v>1</v>
      </c>
      <c r="W549">
        <v>1</v>
      </c>
      <c r="X549">
        <v>1</v>
      </c>
      <c r="Y549">
        <v>1</v>
      </c>
      <c r="Z549">
        <v>1609.8242969999999</v>
      </c>
    </row>
    <row r="550" spans="1:26" x14ac:dyDescent="0.25">
      <c r="A550">
        <v>63825</v>
      </c>
      <c r="B550" t="s">
        <v>150</v>
      </c>
      <c r="C550">
        <v>2019</v>
      </c>
      <c r="D550">
        <v>1</v>
      </c>
      <c r="E550" t="s">
        <v>415</v>
      </c>
      <c r="F550" t="s">
        <v>416</v>
      </c>
      <c r="G550" t="s">
        <v>417</v>
      </c>
      <c r="H550" t="s">
        <v>84</v>
      </c>
      <c r="I550" t="s">
        <v>418</v>
      </c>
      <c r="J550" t="s">
        <v>419</v>
      </c>
      <c r="K550">
        <v>-20761.19812225</v>
      </c>
      <c r="L550" t="s">
        <v>85</v>
      </c>
      <c r="M550" t="s">
        <v>423</v>
      </c>
      <c r="N550">
        <v>0.73979703899049998</v>
      </c>
      <c r="O550">
        <v>15359.072897</v>
      </c>
      <c r="P550" t="s">
        <v>421</v>
      </c>
      <c r="Q550">
        <v>1</v>
      </c>
      <c r="V550">
        <v>1</v>
      </c>
      <c r="W550">
        <v>1</v>
      </c>
      <c r="X550">
        <v>1</v>
      </c>
      <c r="Y550">
        <v>1</v>
      </c>
      <c r="Z550">
        <v>15359.072897</v>
      </c>
    </row>
    <row r="551" spans="1:26" x14ac:dyDescent="0.25">
      <c r="A551">
        <v>63826</v>
      </c>
      <c r="B551" t="s">
        <v>150</v>
      </c>
      <c r="C551">
        <v>2019</v>
      </c>
      <c r="D551">
        <v>1</v>
      </c>
      <c r="E551" t="s">
        <v>415</v>
      </c>
      <c r="F551" t="s">
        <v>416</v>
      </c>
      <c r="G551" t="s">
        <v>417</v>
      </c>
      <c r="H551" t="s">
        <v>84</v>
      </c>
      <c r="I551" t="s">
        <v>418</v>
      </c>
      <c r="J551" t="s">
        <v>419</v>
      </c>
      <c r="K551">
        <v>-20761.19812225</v>
      </c>
      <c r="L551" t="s">
        <v>85</v>
      </c>
      <c r="M551" t="s">
        <v>424</v>
      </c>
      <c r="N551">
        <v>2.9085775596699999E-3</v>
      </c>
      <c r="O551">
        <v>60.385554999999997</v>
      </c>
      <c r="P551" t="s">
        <v>421</v>
      </c>
      <c r="Q551">
        <v>1</v>
      </c>
      <c r="V551">
        <v>1</v>
      </c>
      <c r="W551">
        <v>1</v>
      </c>
      <c r="X551">
        <v>1</v>
      </c>
      <c r="Y551">
        <v>1</v>
      </c>
      <c r="Z551">
        <v>60.385554999999997</v>
      </c>
    </row>
    <row r="552" spans="1:26" x14ac:dyDescent="0.25">
      <c r="A552">
        <v>63827</v>
      </c>
      <c r="B552" t="s">
        <v>150</v>
      </c>
      <c r="C552">
        <v>2019</v>
      </c>
      <c r="D552">
        <v>1</v>
      </c>
      <c r="E552" t="s">
        <v>415</v>
      </c>
      <c r="F552" t="s">
        <v>416</v>
      </c>
      <c r="G552" t="s">
        <v>417</v>
      </c>
      <c r="H552" t="s">
        <v>84</v>
      </c>
      <c r="I552" t="s">
        <v>418</v>
      </c>
      <c r="J552" t="s">
        <v>419</v>
      </c>
      <c r="K552">
        <v>-20761.19812225</v>
      </c>
      <c r="L552" t="s">
        <v>85</v>
      </c>
      <c r="M552" t="s">
        <v>425</v>
      </c>
      <c r="N552">
        <v>2.6170694898000001E-3</v>
      </c>
      <c r="O552">
        <v>54.333497999999999</v>
      </c>
      <c r="P552" t="s">
        <v>421</v>
      </c>
      <c r="Q552">
        <v>1</v>
      </c>
      <c r="V552">
        <v>1</v>
      </c>
      <c r="W552">
        <v>1</v>
      </c>
      <c r="X552">
        <v>1</v>
      </c>
      <c r="Y552">
        <v>1</v>
      </c>
      <c r="Z552">
        <v>54.333497999999999</v>
      </c>
    </row>
    <row r="553" spans="1:26" x14ac:dyDescent="0.25">
      <c r="A553">
        <v>63828</v>
      </c>
      <c r="B553" t="s">
        <v>150</v>
      </c>
      <c r="C553">
        <v>2019</v>
      </c>
      <c r="D553">
        <v>1</v>
      </c>
      <c r="E553" t="s">
        <v>415</v>
      </c>
      <c r="F553" t="s">
        <v>416</v>
      </c>
      <c r="G553" t="s">
        <v>417</v>
      </c>
      <c r="H553" t="s">
        <v>84</v>
      </c>
      <c r="I553" t="s">
        <v>426</v>
      </c>
      <c r="J553" t="s">
        <v>87</v>
      </c>
      <c r="K553">
        <v>-4156.7076047999999</v>
      </c>
      <c r="L553" t="s">
        <v>427</v>
      </c>
      <c r="M553" t="s">
        <v>420</v>
      </c>
      <c r="N553">
        <v>0.45523813654234002</v>
      </c>
      <c r="O553">
        <v>1892.2918239999999</v>
      </c>
      <c r="P553" t="s">
        <v>421</v>
      </c>
      <c r="Q553">
        <v>1</v>
      </c>
      <c r="V553">
        <v>1</v>
      </c>
      <c r="W553">
        <v>1</v>
      </c>
      <c r="X553">
        <v>1</v>
      </c>
      <c r="Y553">
        <v>1</v>
      </c>
      <c r="Z553">
        <v>1892.2918239999999</v>
      </c>
    </row>
    <row r="554" spans="1:26" x14ac:dyDescent="0.25">
      <c r="A554">
        <v>63829</v>
      </c>
      <c r="B554" t="s">
        <v>150</v>
      </c>
      <c r="C554">
        <v>2019</v>
      </c>
      <c r="D554">
        <v>1</v>
      </c>
      <c r="E554" t="s">
        <v>415</v>
      </c>
      <c r="F554" t="s">
        <v>416</v>
      </c>
      <c r="G554" t="s">
        <v>417</v>
      </c>
      <c r="H554" t="s">
        <v>84</v>
      </c>
      <c r="I554" t="s">
        <v>426</v>
      </c>
      <c r="J554" t="s">
        <v>87</v>
      </c>
      <c r="K554">
        <v>-4156.7076047999999</v>
      </c>
      <c r="L554" t="s">
        <v>427</v>
      </c>
      <c r="M554" t="s">
        <v>422</v>
      </c>
      <c r="N554">
        <v>6.8896616392329996E-2</v>
      </c>
      <c r="O554">
        <v>286.38308899999998</v>
      </c>
      <c r="P554" t="s">
        <v>421</v>
      </c>
      <c r="Q554">
        <v>1</v>
      </c>
      <c r="V554">
        <v>1</v>
      </c>
      <c r="W554">
        <v>1</v>
      </c>
      <c r="X554">
        <v>1</v>
      </c>
      <c r="Y554">
        <v>1</v>
      </c>
      <c r="Z554">
        <v>286.38308899999998</v>
      </c>
    </row>
    <row r="555" spans="1:26" x14ac:dyDescent="0.25">
      <c r="A555">
        <v>63830</v>
      </c>
      <c r="B555" t="s">
        <v>150</v>
      </c>
      <c r="C555">
        <v>2019</v>
      </c>
      <c r="D555">
        <v>1</v>
      </c>
      <c r="E555" t="s">
        <v>415</v>
      </c>
      <c r="F555" t="s">
        <v>416</v>
      </c>
      <c r="G555" t="s">
        <v>417</v>
      </c>
      <c r="H555" t="s">
        <v>84</v>
      </c>
      <c r="I555" t="s">
        <v>426</v>
      </c>
      <c r="J555" t="s">
        <v>87</v>
      </c>
      <c r="K555">
        <v>-4156.7076047999999</v>
      </c>
      <c r="L555" t="s">
        <v>427</v>
      </c>
      <c r="M555" t="s">
        <v>423</v>
      </c>
      <c r="N555">
        <v>0.70986919705586005</v>
      </c>
      <c r="O555">
        <v>2950.7186900000002</v>
      </c>
      <c r="P555" t="s">
        <v>421</v>
      </c>
      <c r="Q555">
        <v>1</v>
      </c>
      <c r="V555">
        <v>1</v>
      </c>
      <c r="W555">
        <v>1</v>
      </c>
      <c r="X555">
        <v>1</v>
      </c>
      <c r="Y555">
        <v>1</v>
      </c>
      <c r="Z555">
        <v>2950.7186900000002</v>
      </c>
    </row>
    <row r="556" spans="1:26" x14ac:dyDescent="0.25">
      <c r="A556">
        <v>63831</v>
      </c>
      <c r="B556" t="s">
        <v>150</v>
      </c>
      <c r="C556">
        <v>2019</v>
      </c>
      <c r="D556">
        <v>1</v>
      </c>
      <c r="E556" t="s">
        <v>415</v>
      </c>
      <c r="F556" t="s">
        <v>416</v>
      </c>
      <c r="G556" t="s">
        <v>417</v>
      </c>
      <c r="H556" t="s">
        <v>84</v>
      </c>
      <c r="I556" t="s">
        <v>426</v>
      </c>
      <c r="J556" t="s">
        <v>87</v>
      </c>
      <c r="K556">
        <v>-4156.7076047999999</v>
      </c>
      <c r="L556" t="s">
        <v>427</v>
      </c>
      <c r="M556" t="s">
        <v>425</v>
      </c>
      <c r="N556">
        <v>1.4965642882E-3</v>
      </c>
      <c r="O556">
        <v>6.2207800000000004</v>
      </c>
      <c r="P556" t="s">
        <v>421</v>
      </c>
      <c r="Q556">
        <v>1</v>
      </c>
      <c r="V556">
        <v>1</v>
      </c>
      <c r="W556">
        <v>1</v>
      </c>
      <c r="X556">
        <v>1</v>
      </c>
      <c r="Y556">
        <v>1</v>
      </c>
      <c r="Z556">
        <v>6.2207800000000004</v>
      </c>
    </row>
    <row r="557" spans="1:26" x14ac:dyDescent="0.25">
      <c r="A557">
        <v>63832</v>
      </c>
      <c r="B557" t="s">
        <v>150</v>
      </c>
      <c r="C557">
        <v>2019</v>
      </c>
      <c r="D557">
        <v>1</v>
      </c>
      <c r="E557" t="s">
        <v>415</v>
      </c>
      <c r="F557" t="s">
        <v>416</v>
      </c>
      <c r="G557" t="s">
        <v>417</v>
      </c>
      <c r="H557" t="s">
        <v>84</v>
      </c>
      <c r="I557" t="s">
        <v>428</v>
      </c>
      <c r="J557" t="s">
        <v>59</v>
      </c>
      <c r="K557">
        <v>-12080.468163899999</v>
      </c>
      <c r="L557" t="s">
        <v>89</v>
      </c>
      <c r="M557" t="s">
        <v>420</v>
      </c>
      <c r="N557">
        <v>0.26343870574139999</v>
      </c>
      <c r="O557">
        <v>3182.4628980000002</v>
      </c>
      <c r="P557" t="s">
        <v>421</v>
      </c>
      <c r="Q557">
        <v>1</v>
      </c>
      <c r="V557">
        <v>1</v>
      </c>
      <c r="W557">
        <v>1</v>
      </c>
      <c r="X557">
        <v>1</v>
      </c>
      <c r="Y557">
        <v>1</v>
      </c>
      <c r="Z557">
        <v>3182.4628980000002</v>
      </c>
    </row>
    <row r="558" spans="1:26" x14ac:dyDescent="0.25">
      <c r="A558">
        <v>63833</v>
      </c>
      <c r="B558" t="s">
        <v>150</v>
      </c>
      <c r="C558">
        <v>2019</v>
      </c>
      <c r="D558">
        <v>1</v>
      </c>
      <c r="E558" t="s">
        <v>415</v>
      </c>
      <c r="F558" t="s">
        <v>416</v>
      </c>
      <c r="G558" t="s">
        <v>417</v>
      </c>
      <c r="H558" t="s">
        <v>84</v>
      </c>
      <c r="I558" t="s">
        <v>428</v>
      </c>
      <c r="J558" t="s">
        <v>59</v>
      </c>
      <c r="K558">
        <v>-12080.468163899999</v>
      </c>
      <c r="L558" t="s">
        <v>89</v>
      </c>
      <c r="M558" t="s">
        <v>422</v>
      </c>
      <c r="N558">
        <v>7.1262429683470005E-2</v>
      </c>
      <c r="O558">
        <v>860.88351299999999</v>
      </c>
      <c r="P558" t="s">
        <v>421</v>
      </c>
      <c r="Q558">
        <v>1</v>
      </c>
      <c r="V558">
        <v>1</v>
      </c>
      <c r="W558">
        <v>1</v>
      </c>
      <c r="X558">
        <v>1</v>
      </c>
      <c r="Y558">
        <v>1</v>
      </c>
      <c r="Z558">
        <v>860.88351299999999</v>
      </c>
    </row>
    <row r="559" spans="1:26" x14ac:dyDescent="0.25">
      <c r="A559">
        <v>63834</v>
      </c>
      <c r="B559" t="s">
        <v>150</v>
      </c>
      <c r="C559">
        <v>2019</v>
      </c>
      <c r="D559">
        <v>1</v>
      </c>
      <c r="E559" t="s">
        <v>415</v>
      </c>
      <c r="F559" t="s">
        <v>416</v>
      </c>
      <c r="G559" t="s">
        <v>417</v>
      </c>
      <c r="H559" t="s">
        <v>84</v>
      </c>
      <c r="I559" t="s">
        <v>428</v>
      </c>
      <c r="J559" t="s">
        <v>59</v>
      </c>
      <c r="K559">
        <v>-12080.468163899999</v>
      </c>
      <c r="L559" t="s">
        <v>89</v>
      </c>
      <c r="M559" t="s">
        <v>423</v>
      </c>
      <c r="N559">
        <v>0.74738783869542003</v>
      </c>
      <c r="O559">
        <v>9028.7949910000007</v>
      </c>
      <c r="P559" t="s">
        <v>421</v>
      </c>
      <c r="Q559">
        <v>1</v>
      </c>
      <c r="V559">
        <v>1</v>
      </c>
      <c r="W559">
        <v>1</v>
      </c>
      <c r="X559">
        <v>1</v>
      </c>
      <c r="Y559">
        <v>1</v>
      </c>
      <c r="Z559">
        <v>9028.7949910000007</v>
      </c>
    </row>
    <row r="560" spans="1:26" x14ac:dyDescent="0.25">
      <c r="A560">
        <v>63835</v>
      </c>
      <c r="B560" t="s">
        <v>150</v>
      </c>
      <c r="C560">
        <v>2019</v>
      </c>
      <c r="D560">
        <v>1</v>
      </c>
      <c r="E560" t="s">
        <v>415</v>
      </c>
      <c r="F560" t="s">
        <v>416</v>
      </c>
      <c r="G560" t="s">
        <v>417</v>
      </c>
      <c r="H560" t="s">
        <v>84</v>
      </c>
      <c r="I560" t="s">
        <v>428</v>
      </c>
      <c r="J560" t="s">
        <v>59</v>
      </c>
      <c r="K560">
        <v>-12080.468163899999</v>
      </c>
      <c r="L560" t="s">
        <v>89</v>
      </c>
      <c r="M560" t="s">
        <v>424</v>
      </c>
      <c r="N560">
        <v>3.08071516317E-3</v>
      </c>
      <c r="O560">
        <v>37.216481000000002</v>
      </c>
      <c r="P560" t="s">
        <v>421</v>
      </c>
      <c r="Q560">
        <v>1</v>
      </c>
      <c r="V560">
        <v>1</v>
      </c>
      <c r="W560">
        <v>1</v>
      </c>
      <c r="X560">
        <v>1</v>
      </c>
      <c r="Y560">
        <v>1</v>
      </c>
      <c r="Z560">
        <v>37.216481000000002</v>
      </c>
    </row>
    <row r="561" spans="1:26" x14ac:dyDescent="0.25">
      <c r="A561">
        <v>63836</v>
      </c>
      <c r="B561" t="s">
        <v>150</v>
      </c>
      <c r="C561">
        <v>2019</v>
      </c>
      <c r="D561">
        <v>1</v>
      </c>
      <c r="E561" t="s">
        <v>415</v>
      </c>
      <c r="F561" t="s">
        <v>416</v>
      </c>
      <c r="G561" t="s">
        <v>417</v>
      </c>
      <c r="H561" t="s">
        <v>84</v>
      </c>
      <c r="I561" t="s">
        <v>428</v>
      </c>
      <c r="J561" t="s">
        <v>59</v>
      </c>
      <c r="K561">
        <v>-12080.468163899999</v>
      </c>
      <c r="L561" t="s">
        <v>89</v>
      </c>
      <c r="M561" t="s">
        <v>425</v>
      </c>
      <c r="N561">
        <v>2.5360775708E-3</v>
      </c>
      <c r="O561">
        <v>30.637004000000001</v>
      </c>
      <c r="P561" t="s">
        <v>421</v>
      </c>
      <c r="Q561">
        <v>1</v>
      </c>
      <c r="V561">
        <v>1</v>
      </c>
      <c r="W561">
        <v>1</v>
      </c>
      <c r="X561">
        <v>1</v>
      </c>
      <c r="Y561">
        <v>1</v>
      </c>
      <c r="Z561">
        <v>30.637004000000001</v>
      </c>
    </row>
    <row r="562" spans="1:26" x14ac:dyDescent="0.25">
      <c r="A562">
        <v>63837</v>
      </c>
      <c r="B562" t="s">
        <v>150</v>
      </c>
      <c r="C562">
        <v>2019</v>
      </c>
      <c r="D562">
        <v>1</v>
      </c>
      <c r="E562" t="s">
        <v>415</v>
      </c>
      <c r="F562" t="s">
        <v>429</v>
      </c>
      <c r="G562" t="s">
        <v>430</v>
      </c>
      <c r="H562" t="s">
        <v>84</v>
      </c>
      <c r="I562" t="s">
        <v>431</v>
      </c>
      <c r="J562" t="s">
        <v>419</v>
      </c>
      <c r="K562">
        <v>-35452.910450609997</v>
      </c>
      <c r="L562" t="s">
        <v>85</v>
      </c>
      <c r="M562" t="s">
        <v>420</v>
      </c>
      <c r="N562">
        <v>0.24824931095561001</v>
      </c>
      <c r="O562">
        <v>8801.1605909999998</v>
      </c>
      <c r="P562" t="s">
        <v>421</v>
      </c>
      <c r="Q562">
        <v>1</v>
      </c>
      <c r="V562">
        <v>1</v>
      </c>
      <c r="W562">
        <v>1</v>
      </c>
      <c r="X562">
        <v>1</v>
      </c>
      <c r="Y562">
        <v>1</v>
      </c>
      <c r="Z562">
        <v>8801.1605909999998</v>
      </c>
    </row>
    <row r="563" spans="1:26" x14ac:dyDescent="0.25">
      <c r="A563">
        <v>63838</v>
      </c>
      <c r="B563" t="s">
        <v>150</v>
      </c>
      <c r="C563">
        <v>2019</v>
      </c>
      <c r="D563">
        <v>1</v>
      </c>
      <c r="E563" t="s">
        <v>415</v>
      </c>
      <c r="F563" t="s">
        <v>429</v>
      </c>
      <c r="G563" t="s">
        <v>430</v>
      </c>
      <c r="H563" t="s">
        <v>84</v>
      </c>
      <c r="I563" t="s">
        <v>431</v>
      </c>
      <c r="J563" t="s">
        <v>419</v>
      </c>
      <c r="K563">
        <v>-35452.910450609997</v>
      </c>
      <c r="L563" t="s">
        <v>85</v>
      </c>
      <c r="M563" t="s">
        <v>422</v>
      </c>
      <c r="N563">
        <v>7.7540047892240005E-2</v>
      </c>
      <c r="O563">
        <v>2749.0203740000002</v>
      </c>
      <c r="P563" t="s">
        <v>421</v>
      </c>
      <c r="Q563">
        <v>1</v>
      </c>
      <c r="V563">
        <v>1</v>
      </c>
      <c r="W563">
        <v>1</v>
      </c>
      <c r="X563">
        <v>1</v>
      </c>
      <c r="Y563">
        <v>1</v>
      </c>
      <c r="Z563">
        <v>2749.0203740000002</v>
      </c>
    </row>
    <row r="564" spans="1:26" x14ac:dyDescent="0.25">
      <c r="A564">
        <v>63839</v>
      </c>
      <c r="B564" t="s">
        <v>150</v>
      </c>
      <c r="C564">
        <v>2019</v>
      </c>
      <c r="D564">
        <v>1</v>
      </c>
      <c r="E564" t="s">
        <v>415</v>
      </c>
      <c r="F564" t="s">
        <v>429</v>
      </c>
      <c r="G564" t="s">
        <v>430</v>
      </c>
      <c r="H564" t="s">
        <v>84</v>
      </c>
      <c r="I564" t="s">
        <v>431</v>
      </c>
      <c r="J564" t="s">
        <v>419</v>
      </c>
      <c r="K564">
        <v>-35452.910450609997</v>
      </c>
      <c r="L564" t="s">
        <v>85</v>
      </c>
      <c r="M564" t="s">
        <v>423</v>
      </c>
      <c r="N564">
        <v>0.73979703899049998</v>
      </c>
      <c r="O564">
        <v>26227.958175</v>
      </c>
      <c r="P564" t="s">
        <v>421</v>
      </c>
      <c r="Q564">
        <v>1</v>
      </c>
      <c r="V564">
        <v>1</v>
      </c>
      <c r="W564">
        <v>1</v>
      </c>
      <c r="X564">
        <v>1</v>
      </c>
      <c r="Y564">
        <v>1</v>
      </c>
      <c r="Z564">
        <v>26227.958175</v>
      </c>
    </row>
    <row r="565" spans="1:26" x14ac:dyDescent="0.25">
      <c r="A565">
        <v>63840</v>
      </c>
      <c r="B565" t="s">
        <v>150</v>
      </c>
      <c r="C565">
        <v>2019</v>
      </c>
      <c r="D565">
        <v>1</v>
      </c>
      <c r="E565" t="s">
        <v>415</v>
      </c>
      <c r="F565" t="s">
        <v>429</v>
      </c>
      <c r="G565" t="s">
        <v>430</v>
      </c>
      <c r="H565" t="s">
        <v>84</v>
      </c>
      <c r="I565" t="s">
        <v>431</v>
      </c>
      <c r="J565" t="s">
        <v>419</v>
      </c>
      <c r="K565">
        <v>-35452.910450609997</v>
      </c>
      <c r="L565" t="s">
        <v>85</v>
      </c>
      <c r="M565" t="s">
        <v>424</v>
      </c>
      <c r="N565">
        <v>2.9085775596699999E-3</v>
      </c>
      <c r="O565">
        <v>103.11754000000001</v>
      </c>
      <c r="P565" t="s">
        <v>421</v>
      </c>
      <c r="Q565">
        <v>1</v>
      </c>
      <c r="V565">
        <v>1</v>
      </c>
      <c r="W565">
        <v>1</v>
      </c>
      <c r="X565">
        <v>1</v>
      </c>
      <c r="Y565">
        <v>1</v>
      </c>
      <c r="Z565">
        <v>103.11754000000001</v>
      </c>
    </row>
    <row r="566" spans="1:26" x14ac:dyDescent="0.25">
      <c r="A566">
        <v>63841</v>
      </c>
      <c r="B566" t="s">
        <v>150</v>
      </c>
      <c r="C566">
        <v>2019</v>
      </c>
      <c r="D566">
        <v>1</v>
      </c>
      <c r="E566" t="s">
        <v>415</v>
      </c>
      <c r="F566" t="s">
        <v>429</v>
      </c>
      <c r="G566" t="s">
        <v>430</v>
      </c>
      <c r="H566" t="s">
        <v>84</v>
      </c>
      <c r="I566" t="s">
        <v>431</v>
      </c>
      <c r="J566" t="s">
        <v>419</v>
      </c>
      <c r="K566">
        <v>-35452.910450609997</v>
      </c>
      <c r="L566" t="s">
        <v>85</v>
      </c>
      <c r="M566" t="s">
        <v>425</v>
      </c>
      <c r="N566">
        <v>2.6170694898000001E-3</v>
      </c>
      <c r="O566">
        <v>92.782730000000001</v>
      </c>
      <c r="P566" t="s">
        <v>421</v>
      </c>
      <c r="Q566">
        <v>1</v>
      </c>
      <c r="V566">
        <v>1</v>
      </c>
      <c r="W566">
        <v>1</v>
      </c>
      <c r="X566">
        <v>1</v>
      </c>
      <c r="Y566">
        <v>1</v>
      </c>
      <c r="Z566">
        <v>92.782730000000001</v>
      </c>
    </row>
    <row r="567" spans="1:26" x14ac:dyDescent="0.25">
      <c r="A567">
        <v>63842</v>
      </c>
      <c r="B567" t="s">
        <v>150</v>
      </c>
      <c r="C567">
        <v>2019</v>
      </c>
      <c r="D567">
        <v>1</v>
      </c>
      <c r="E567" t="s">
        <v>415</v>
      </c>
      <c r="F567" t="s">
        <v>429</v>
      </c>
      <c r="G567" t="s">
        <v>430</v>
      </c>
      <c r="H567" t="s">
        <v>84</v>
      </c>
      <c r="I567" t="s">
        <v>432</v>
      </c>
      <c r="J567" t="s">
        <v>87</v>
      </c>
      <c r="K567">
        <v>-6855.7305068200003</v>
      </c>
      <c r="L567" t="s">
        <v>427</v>
      </c>
      <c r="M567" t="s">
        <v>420</v>
      </c>
      <c r="N567">
        <v>0.45523813654234002</v>
      </c>
      <c r="O567">
        <v>3120.9899810000002</v>
      </c>
      <c r="P567" t="s">
        <v>421</v>
      </c>
      <c r="Q567">
        <v>1</v>
      </c>
      <c r="V567">
        <v>1</v>
      </c>
      <c r="W567">
        <v>1</v>
      </c>
      <c r="X567">
        <v>1</v>
      </c>
      <c r="Y567">
        <v>1</v>
      </c>
      <c r="Z567">
        <v>3120.9899810000002</v>
      </c>
    </row>
    <row r="568" spans="1:26" x14ac:dyDescent="0.25">
      <c r="A568">
        <v>63843</v>
      </c>
      <c r="B568" t="s">
        <v>150</v>
      </c>
      <c r="C568">
        <v>2019</v>
      </c>
      <c r="D568">
        <v>1</v>
      </c>
      <c r="E568" t="s">
        <v>415</v>
      </c>
      <c r="F568" t="s">
        <v>429</v>
      </c>
      <c r="G568" t="s">
        <v>430</v>
      </c>
      <c r="H568" t="s">
        <v>84</v>
      </c>
      <c r="I568" t="s">
        <v>432</v>
      </c>
      <c r="J568" t="s">
        <v>87</v>
      </c>
      <c r="K568">
        <v>-6855.7305068200003</v>
      </c>
      <c r="L568" t="s">
        <v>427</v>
      </c>
      <c r="M568" t="s">
        <v>422</v>
      </c>
      <c r="N568">
        <v>6.8896616392329996E-2</v>
      </c>
      <c r="O568">
        <v>472.336635</v>
      </c>
      <c r="P568" t="s">
        <v>421</v>
      </c>
      <c r="Q568">
        <v>1</v>
      </c>
      <c r="V568">
        <v>1</v>
      </c>
      <c r="W568">
        <v>1</v>
      </c>
      <c r="X568">
        <v>1</v>
      </c>
      <c r="Y568">
        <v>1</v>
      </c>
      <c r="Z568">
        <v>472.336635</v>
      </c>
    </row>
    <row r="569" spans="1:26" x14ac:dyDescent="0.25">
      <c r="A569">
        <v>63844</v>
      </c>
      <c r="B569" t="s">
        <v>150</v>
      </c>
      <c r="C569">
        <v>2019</v>
      </c>
      <c r="D569">
        <v>1</v>
      </c>
      <c r="E569" t="s">
        <v>415</v>
      </c>
      <c r="F569" t="s">
        <v>429</v>
      </c>
      <c r="G569" t="s">
        <v>430</v>
      </c>
      <c r="H569" t="s">
        <v>84</v>
      </c>
      <c r="I569" t="s">
        <v>432</v>
      </c>
      <c r="J569" t="s">
        <v>87</v>
      </c>
      <c r="K569">
        <v>-6855.7305068200003</v>
      </c>
      <c r="L569" t="s">
        <v>427</v>
      </c>
      <c r="M569" t="s">
        <v>423</v>
      </c>
      <c r="N569">
        <v>0.70986919705586005</v>
      </c>
      <c r="O569">
        <v>4866.67191</v>
      </c>
      <c r="P569" t="s">
        <v>421</v>
      </c>
      <c r="Q569">
        <v>1</v>
      </c>
      <c r="V569">
        <v>1</v>
      </c>
      <c r="W569">
        <v>1</v>
      </c>
      <c r="X569">
        <v>1</v>
      </c>
      <c r="Y569">
        <v>1</v>
      </c>
      <c r="Z569">
        <v>4866.67191</v>
      </c>
    </row>
    <row r="570" spans="1:26" x14ac:dyDescent="0.25">
      <c r="A570">
        <v>63845</v>
      </c>
      <c r="B570" t="s">
        <v>150</v>
      </c>
      <c r="C570">
        <v>2019</v>
      </c>
      <c r="D570">
        <v>1</v>
      </c>
      <c r="E570" t="s">
        <v>415</v>
      </c>
      <c r="F570" t="s">
        <v>429</v>
      </c>
      <c r="G570" t="s">
        <v>430</v>
      </c>
      <c r="H570" t="s">
        <v>84</v>
      </c>
      <c r="I570" t="s">
        <v>432</v>
      </c>
      <c r="J570" t="s">
        <v>87</v>
      </c>
      <c r="K570">
        <v>-6855.7305068200003</v>
      </c>
      <c r="L570" t="s">
        <v>427</v>
      </c>
      <c r="M570" t="s">
        <v>425</v>
      </c>
      <c r="N570">
        <v>1.4965642882E-3</v>
      </c>
      <c r="O570">
        <v>10.260040999999999</v>
      </c>
      <c r="P570" t="s">
        <v>421</v>
      </c>
      <c r="Q570">
        <v>1</v>
      </c>
      <c r="V570">
        <v>1</v>
      </c>
      <c r="W570">
        <v>1</v>
      </c>
      <c r="X570">
        <v>1</v>
      </c>
      <c r="Y570">
        <v>1</v>
      </c>
      <c r="Z570">
        <v>10.260040999999999</v>
      </c>
    </row>
    <row r="571" spans="1:26" x14ac:dyDescent="0.25">
      <c r="A571">
        <v>63846</v>
      </c>
      <c r="B571" t="s">
        <v>150</v>
      </c>
      <c r="C571">
        <v>2019</v>
      </c>
      <c r="D571">
        <v>1</v>
      </c>
      <c r="E571" t="s">
        <v>415</v>
      </c>
      <c r="F571" t="s">
        <v>429</v>
      </c>
      <c r="G571" t="s">
        <v>430</v>
      </c>
      <c r="H571" t="s">
        <v>84</v>
      </c>
      <c r="I571" t="s">
        <v>433</v>
      </c>
      <c r="J571" t="s">
        <v>59</v>
      </c>
      <c r="K571">
        <v>-16275.671669339999</v>
      </c>
      <c r="L571" t="s">
        <v>89</v>
      </c>
      <c r="M571" t="s">
        <v>420</v>
      </c>
      <c r="N571">
        <v>0.26343870574139999</v>
      </c>
      <c r="O571">
        <v>4287.6418800000001</v>
      </c>
      <c r="P571" t="s">
        <v>421</v>
      </c>
      <c r="Q571">
        <v>1</v>
      </c>
      <c r="V571">
        <v>1</v>
      </c>
      <c r="W571">
        <v>1</v>
      </c>
      <c r="X571">
        <v>1</v>
      </c>
      <c r="Y571">
        <v>1</v>
      </c>
      <c r="Z571">
        <v>4287.6418800000001</v>
      </c>
    </row>
    <row r="572" spans="1:26" x14ac:dyDescent="0.25">
      <c r="A572">
        <v>63847</v>
      </c>
      <c r="B572" t="s">
        <v>150</v>
      </c>
      <c r="C572">
        <v>2019</v>
      </c>
      <c r="D572">
        <v>1</v>
      </c>
      <c r="E572" t="s">
        <v>415</v>
      </c>
      <c r="F572" t="s">
        <v>429</v>
      </c>
      <c r="G572" t="s">
        <v>430</v>
      </c>
      <c r="H572" t="s">
        <v>84</v>
      </c>
      <c r="I572" t="s">
        <v>433</v>
      </c>
      <c r="J572" t="s">
        <v>59</v>
      </c>
      <c r="K572">
        <v>-16275.671669339999</v>
      </c>
      <c r="L572" t="s">
        <v>89</v>
      </c>
      <c r="M572" t="s">
        <v>422</v>
      </c>
      <c r="N572">
        <v>7.1262429683470005E-2</v>
      </c>
      <c r="O572">
        <v>1159.8439080000001</v>
      </c>
      <c r="P572" t="s">
        <v>421</v>
      </c>
      <c r="Q572">
        <v>1</v>
      </c>
      <c r="V572">
        <v>1</v>
      </c>
      <c r="W572">
        <v>1</v>
      </c>
      <c r="X572">
        <v>1</v>
      </c>
      <c r="Y572">
        <v>1</v>
      </c>
      <c r="Z572">
        <v>1159.8439080000001</v>
      </c>
    </row>
    <row r="573" spans="1:26" x14ac:dyDescent="0.25">
      <c r="A573">
        <v>63848</v>
      </c>
      <c r="B573" t="s">
        <v>150</v>
      </c>
      <c r="C573">
        <v>2019</v>
      </c>
      <c r="D573">
        <v>1</v>
      </c>
      <c r="E573" t="s">
        <v>415</v>
      </c>
      <c r="F573" t="s">
        <v>429</v>
      </c>
      <c r="G573" t="s">
        <v>430</v>
      </c>
      <c r="H573" t="s">
        <v>84</v>
      </c>
      <c r="I573" t="s">
        <v>433</v>
      </c>
      <c r="J573" t="s">
        <v>59</v>
      </c>
      <c r="K573">
        <v>-16275.671669339999</v>
      </c>
      <c r="L573" t="s">
        <v>89</v>
      </c>
      <c r="M573" t="s">
        <v>423</v>
      </c>
      <c r="N573">
        <v>0.74738783869542003</v>
      </c>
      <c r="O573">
        <v>12164.239072</v>
      </c>
      <c r="P573" t="s">
        <v>421</v>
      </c>
      <c r="Q573">
        <v>1</v>
      </c>
      <c r="V573">
        <v>1</v>
      </c>
      <c r="W573">
        <v>1</v>
      </c>
      <c r="X573">
        <v>1</v>
      </c>
      <c r="Y573">
        <v>1</v>
      </c>
      <c r="Z573">
        <v>12164.239072</v>
      </c>
    </row>
    <row r="574" spans="1:26" x14ac:dyDescent="0.25">
      <c r="A574">
        <v>63849</v>
      </c>
      <c r="B574" t="s">
        <v>150</v>
      </c>
      <c r="C574">
        <v>2019</v>
      </c>
      <c r="D574">
        <v>1</v>
      </c>
      <c r="E574" t="s">
        <v>415</v>
      </c>
      <c r="F574" t="s">
        <v>429</v>
      </c>
      <c r="G574" t="s">
        <v>430</v>
      </c>
      <c r="H574" t="s">
        <v>84</v>
      </c>
      <c r="I574" t="s">
        <v>433</v>
      </c>
      <c r="J574" t="s">
        <v>59</v>
      </c>
      <c r="K574">
        <v>-16275.671669339999</v>
      </c>
      <c r="L574" t="s">
        <v>89</v>
      </c>
      <c r="M574" t="s">
        <v>424</v>
      </c>
      <c r="N574">
        <v>3.08071516317E-3</v>
      </c>
      <c r="O574">
        <v>50.140709000000001</v>
      </c>
      <c r="P574" t="s">
        <v>421</v>
      </c>
      <c r="Q574">
        <v>1</v>
      </c>
      <c r="V574">
        <v>1</v>
      </c>
      <c r="W574">
        <v>1</v>
      </c>
      <c r="X574">
        <v>1</v>
      </c>
      <c r="Y574">
        <v>1</v>
      </c>
      <c r="Z574">
        <v>50.140709000000001</v>
      </c>
    </row>
    <row r="575" spans="1:26" x14ac:dyDescent="0.25">
      <c r="A575">
        <v>63850</v>
      </c>
      <c r="B575" t="s">
        <v>150</v>
      </c>
      <c r="C575">
        <v>2019</v>
      </c>
      <c r="D575">
        <v>1</v>
      </c>
      <c r="E575" t="s">
        <v>415</v>
      </c>
      <c r="F575" t="s">
        <v>429</v>
      </c>
      <c r="G575" t="s">
        <v>430</v>
      </c>
      <c r="H575" t="s">
        <v>84</v>
      </c>
      <c r="I575" t="s">
        <v>433</v>
      </c>
      <c r="J575" t="s">
        <v>59</v>
      </c>
      <c r="K575">
        <v>-16275.671669339999</v>
      </c>
      <c r="L575" t="s">
        <v>89</v>
      </c>
      <c r="M575" t="s">
        <v>425</v>
      </c>
      <c r="N575">
        <v>2.5360775708E-3</v>
      </c>
      <c r="O575">
        <v>41.276366000000003</v>
      </c>
      <c r="P575" t="s">
        <v>421</v>
      </c>
      <c r="Q575">
        <v>1</v>
      </c>
      <c r="V575">
        <v>1</v>
      </c>
      <c r="W575">
        <v>1</v>
      </c>
      <c r="X575">
        <v>1</v>
      </c>
      <c r="Y575">
        <v>1</v>
      </c>
      <c r="Z575">
        <v>41.276366000000003</v>
      </c>
    </row>
    <row r="576" spans="1:26" x14ac:dyDescent="0.25">
      <c r="A576">
        <v>63851</v>
      </c>
      <c r="B576" t="s">
        <v>150</v>
      </c>
      <c r="C576">
        <v>2019</v>
      </c>
      <c r="D576">
        <v>1</v>
      </c>
      <c r="E576" t="s">
        <v>415</v>
      </c>
      <c r="F576" t="s">
        <v>434</v>
      </c>
      <c r="G576" t="s">
        <v>435</v>
      </c>
      <c r="H576" t="s">
        <v>84</v>
      </c>
      <c r="I576" t="s">
        <v>436</v>
      </c>
      <c r="J576" t="s">
        <v>419</v>
      </c>
      <c r="K576">
        <v>-11717.99169099</v>
      </c>
      <c r="L576" t="s">
        <v>85</v>
      </c>
      <c r="M576" t="s">
        <v>420</v>
      </c>
      <c r="N576">
        <v>0.24824931095561001</v>
      </c>
      <c r="O576">
        <v>2908.9833629999998</v>
      </c>
      <c r="P576" t="s">
        <v>421</v>
      </c>
      <c r="Q576">
        <v>1</v>
      </c>
      <c r="V576">
        <v>1</v>
      </c>
      <c r="W576">
        <v>1</v>
      </c>
      <c r="X576">
        <v>1</v>
      </c>
      <c r="Y576">
        <v>1</v>
      </c>
      <c r="Z576">
        <v>2908.9833629999998</v>
      </c>
    </row>
    <row r="577" spans="1:26" x14ac:dyDescent="0.25">
      <c r="A577">
        <v>63852</v>
      </c>
      <c r="B577" t="s">
        <v>150</v>
      </c>
      <c r="C577">
        <v>2019</v>
      </c>
      <c r="D577">
        <v>1</v>
      </c>
      <c r="E577" t="s">
        <v>415</v>
      </c>
      <c r="F577" t="s">
        <v>434</v>
      </c>
      <c r="G577" t="s">
        <v>435</v>
      </c>
      <c r="H577" t="s">
        <v>84</v>
      </c>
      <c r="I577" t="s">
        <v>436</v>
      </c>
      <c r="J577" t="s">
        <v>419</v>
      </c>
      <c r="K577">
        <v>-11717.99169099</v>
      </c>
      <c r="L577" t="s">
        <v>85</v>
      </c>
      <c r="M577" t="s">
        <v>422</v>
      </c>
      <c r="N577">
        <v>7.7540047892240005E-2</v>
      </c>
      <c r="O577">
        <v>908.61363700000004</v>
      </c>
      <c r="P577" t="s">
        <v>421</v>
      </c>
      <c r="Q577">
        <v>1</v>
      </c>
      <c r="V577">
        <v>1</v>
      </c>
      <c r="W577">
        <v>1</v>
      </c>
      <c r="X577">
        <v>1</v>
      </c>
      <c r="Y577">
        <v>1</v>
      </c>
      <c r="Z577">
        <v>908.61363700000004</v>
      </c>
    </row>
    <row r="578" spans="1:26" x14ac:dyDescent="0.25">
      <c r="A578">
        <v>63853</v>
      </c>
      <c r="B578" t="s">
        <v>150</v>
      </c>
      <c r="C578">
        <v>2019</v>
      </c>
      <c r="D578">
        <v>1</v>
      </c>
      <c r="E578" t="s">
        <v>415</v>
      </c>
      <c r="F578" t="s">
        <v>434</v>
      </c>
      <c r="G578" t="s">
        <v>435</v>
      </c>
      <c r="H578" t="s">
        <v>84</v>
      </c>
      <c r="I578" t="s">
        <v>436</v>
      </c>
      <c r="J578" t="s">
        <v>419</v>
      </c>
      <c r="K578">
        <v>-11717.99169099</v>
      </c>
      <c r="L578" t="s">
        <v>85</v>
      </c>
      <c r="M578" t="s">
        <v>423</v>
      </c>
      <c r="N578">
        <v>0.73979703899049998</v>
      </c>
      <c r="O578">
        <v>8668.9355560000004</v>
      </c>
      <c r="P578" t="s">
        <v>421</v>
      </c>
      <c r="Q578">
        <v>1</v>
      </c>
      <c r="V578">
        <v>1</v>
      </c>
      <c r="W578">
        <v>1</v>
      </c>
      <c r="X578">
        <v>1</v>
      </c>
      <c r="Y578">
        <v>1</v>
      </c>
      <c r="Z578">
        <v>8668.9355560000004</v>
      </c>
    </row>
    <row r="579" spans="1:26" x14ac:dyDescent="0.25">
      <c r="A579">
        <v>63854</v>
      </c>
      <c r="B579" t="s">
        <v>150</v>
      </c>
      <c r="C579">
        <v>2019</v>
      </c>
      <c r="D579">
        <v>1</v>
      </c>
      <c r="E579" t="s">
        <v>415</v>
      </c>
      <c r="F579" t="s">
        <v>434</v>
      </c>
      <c r="G579" t="s">
        <v>435</v>
      </c>
      <c r="H579" t="s">
        <v>84</v>
      </c>
      <c r="I579" t="s">
        <v>436</v>
      </c>
      <c r="J579" t="s">
        <v>419</v>
      </c>
      <c r="K579">
        <v>-11717.99169099</v>
      </c>
      <c r="L579" t="s">
        <v>85</v>
      </c>
      <c r="M579" t="s">
        <v>424</v>
      </c>
      <c r="N579">
        <v>2.9085775596699999E-3</v>
      </c>
      <c r="O579">
        <v>34.082687999999997</v>
      </c>
      <c r="P579" t="s">
        <v>421</v>
      </c>
      <c r="Q579">
        <v>1</v>
      </c>
      <c r="V579">
        <v>1</v>
      </c>
      <c r="W579">
        <v>1</v>
      </c>
      <c r="X579">
        <v>1</v>
      </c>
      <c r="Y579">
        <v>1</v>
      </c>
      <c r="Z579">
        <v>34.082687999999997</v>
      </c>
    </row>
    <row r="580" spans="1:26" x14ac:dyDescent="0.25">
      <c r="A580">
        <v>63855</v>
      </c>
      <c r="B580" t="s">
        <v>150</v>
      </c>
      <c r="C580">
        <v>2019</v>
      </c>
      <c r="D580">
        <v>1</v>
      </c>
      <c r="E580" t="s">
        <v>415</v>
      </c>
      <c r="F580" t="s">
        <v>434</v>
      </c>
      <c r="G580" t="s">
        <v>435</v>
      </c>
      <c r="H580" t="s">
        <v>84</v>
      </c>
      <c r="I580" t="s">
        <v>436</v>
      </c>
      <c r="J580" t="s">
        <v>419</v>
      </c>
      <c r="K580">
        <v>-11717.99169099</v>
      </c>
      <c r="L580" t="s">
        <v>85</v>
      </c>
      <c r="M580" t="s">
        <v>425</v>
      </c>
      <c r="N580">
        <v>2.6170694898000001E-3</v>
      </c>
      <c r="O580">
        <v>30.666799000000001</v>
      </c>
      <c r="P580" t="s">
        <v>421</v>
      </c>
      <c r="Q580">
        <v>1</v>
      </c>
      <c r="V580">
        <v>1</v>
      </c>
      <c r="W580">
        <v>1</v>
      </c>
      <c r="X580">
        <v>1</v>
      </c>
      <c r="Y580">
        <v>1</v>
      </c>
      <c r="Z580">
        <v>30.666799000000001</v>
      </c>
    </row>
    <row r="581" spans="1:26" x14ac:dyDescent="0.25">
      <c r="A581">
        <v>63856</v>
      </c>
      <c r="B581" t="s">
        <v>150</v>
      </c>
      <c r="C581">
        <v>2019</v>
      </c>
      <c r="D581">
        <v>1</v>
      </c>
      <c r="E581" t="s">
        <v>415</v>
      </c>
      <c r="F581" t="s">
        <v>434</v>
      </c>
      <c r="G581" t="s">
        <v>435</v>
      </c>
      <c r="H581" t="s">
        <v>84</v>
      </c>
      <c r="I581" t="s">
        <v>437</v>
      </c>
      <c r="J581" t="s">
        <v>87</v>
      </c>
      <c r="K581">
        <v>-2278.2855849500002</v>
      </c>
      <c r="L581" t="s">
        <v>427</v>
      </c>
      <c r="M581" t="s">
        <v>420</v>
      </c>
      <c r="N581">
        <v>0.45523813654234002</v>
      </c>
      <c r="O581">
        <v>1037.1624839999999</v>
      </c>
      <c r="P581" t="s">
        <v>421</v>
      </c>
      <c r="Q581">
        <v>1</v>
      </c>
      <c r="V581">
        <v>1</v>
      </c>
      <c r="W581">
        <v>1</v>
      </c>
      <c r="X581">
        <v>1</v>
      </c>
      <c r="Y581">
        <v>1</v>
      </c>
      <c r="Z581">
        <v>1037.1624839999999</v>
      </c>
    </row>
    <row r="582" spans="1:26" x14ac:dyDescent="0.25">
      <c r="A582">
        <v>63857</v>
      </c>
      <c r="B582" t="s">
        <v>150</v>
      </c>
      <c r="C582">
        <v>2019</v>
      </c>
      <c r="D582">
        <v>1</v>
      </c>
      <c r="E582" t="s">
        <v>415</v>
      </c>
      <c r="F582" t="s">
        <v>434</v>
      </c>
      <c r="G582" t="s">
        <v>435</v>
      </c>
      <c r="H582" t="s">
        <v>84</v>
      </c>
      <c r="I582" t="s">
        <v>437</v>
      </c>
      <c r="J582" t="s">
        <v>87</v>
      </c>
      <c r="K582">
        <v>-2278.2855849500002</v>
      </c>
      <c r="L582" t="s">
        <v>427</v>
      </c>
      <c r="M582" t="s">
        <v>422</v>
      </c>
      <c r="N582">
        <v>6.8896616392329996E-2</v>
      </c>
      <c r="O582">
        <v>156.96616800000001</v>
      </c>
      <c r="P582" t="s">
        <v>421</v>
      </c>
      <c r="Q582">
        <v>1</v>
      </c>
      <c r="V582">
        <v>1</v>
      </c>
      <c r="W582">
        <v>1</v>
      </c>
      <c r="X582">
        <v>1</v>
      </c>
      <c r="Y582">
        <v>1</v>
      </c>
      <c r="Z582">
        <v>156.96616800000001</v>
      </c>
    </row>
    <row r="583" spans="1:26" x14ac:dyDescent="0.25">
      <c r="A583">
        <v>63858</v>
      </c>
      <c r="B583" t="s">
        <v>150</v>
      </c>
      <c r="C583">
        <v>2019</v>
      </c>
      <c r="D583">
        <v>1</v>
      </c>
      <c r="E583" t="s">
        <v>415</v>
      </c>
      <c r="F583" t="s">
        <v>434</v>
      </c>
      <c r="G583" t="s">
        <v>435</v>
      </c>
      <c r="H583" t="s">
        <v>84</v>
      </c>
      <c r="I583" t="s">
        <v>437</v>
      </c>
      <c r="J583" t="s">
        <v>87</v>
      </c>
      <c r="K583">
        <v>-2278.2855849500002</v>
      </c>
      <c r="L583" t="s">
        <v>427</v>
      </c>
      <c r="M583" t="s">
        <v>423</v>
      </c>
      <c r="N583">
        <v>0.70986919705586005</v>
      </c>
      <c r="O583">
        <v>1617.2847589999999</v>
      </c>
      <c r="P583" t="s">
        <v>421</v>
      </c>
      <c r="Q583">
        <v>1</v>
      </c>
      <c r="V583">
        <v>1</v>
      </c>
      <c r="W583">
        <v>1</v>
      </c>
      <c r="X583">
        <v>1</v>
      </c>
      <c r="Y583">
        <v>1</v>
      </c>
      <c r="Z583">
        <v>1617.2847589999999</v>
      </c>
    </row>
    <row r="584" spans="1:26" x14ac:dyDescent="0.25">
      <c r="A584">
        <v>63859</v>
      </c>
      <c r="B584" t="s">
        <v>150</v>
      </c>
      <c r="C584">
        <v>2019</v>
      </c>
      <c r="D584">
        <v>1</v>
      </c>
      <c r="E584" t="s">
        <v>415</v>
      </c>
      <c r="F584" t="s">
        <v>434</v>
      </c>
      <c r="G584" t="s">
        <v>435</v>
      </c>
      <c r="H584" t="s">
        <v>84</v>
      </c>
      <c r="I584" t="s">
        <v>437</v>
      </c>
      <c r="J584" t="s">
        <v>87</v>
      </c>
      <c r="K584">
        <v>-2278.2855849500002</v>
      </c>
      <c r="L584" t="s">
        <v>427</v>
      </c>
      <c r="M584" t="s">
        <v>425</v>
      </c>
      <c r="N584">
        <v>1.4965642882E-3</v>
      </c>
      <c r="O584">
        <v>3.4096009999999999</v>
      </c>
      <c r="P584" t="s">
        <v>421</v>
      </c>
      <c r="Q584">
        <v>1</v>
      </c>
      <c r="V584">
        <v>1</v>
      </c>
      <c r="W584">
        <v>1</v>
      </c>
      <c r="X584">
        <v>1</v>
      </c>
      <c r="Y584">
        <v>1</v>
      </c>
      <c r="Z584">
        <v>3.4096009999999999</v>
      </c>
    </row>
    <row r="585" spans="1:26" x14ac:dyDescent="0.25">
      <c r="A585">
        <v>63860</v>
      </c>
      <c r="B585" t="s">
        <v>150</v>
      </c>
      <c r="C585">
        <v>2019</v>
      </c>
      <c r="D585">
        <v>1</v>
      </c>
      <c r="E585" t="s">
        <v>415</v>
      </c>
      <c r="F585" t="s">
        <v>434</v>
      </c>
      <c r="G585" t="s">
        <v>435</v>
      </c>
      <c r="H585" t="s">
        <v>84</v>
      </c>
      <c r="I585" t="s">
        <v>438</v>
      </c>
      <c r="J585" t="s">
        <v>59</v>
      </c>
      <c r="K585">
        <v>-6726.7522196700002</v>
      </c>
      <c r="L585" t="s">
        <v>89</v>
      </c>
      <c r="M585" t="s">
        <v>420</v>
      </c>
      <c r="N585">
        <v>0.26343870574139999</v>
      </c>
      <c r="O585">
        <v>1772.0868989999999</v>
      </c>
      <c r="P585" t="s">
        <v>421</v>
      </c>
      <c r="Q585">
        <v>1</v>
      </c>
      <c r="V585">
        <v>1</v>
      </c>
      <c r="W585">
        <v>1</v>
      </c>
      <c r="X585">
        <v>1</v>
      </c>
      <c r="Y585">
        <v>1</v>
      </c>
      <c r="Z585">
        <v>1772.0868989999999</v>
      </c>
    </row>
    <row r="586" spans="1:26" x14ac:dyDescent="0.25">
      <c r="A586">
        <v>63861</v>
      </c>
      <c r="B586" t="s">
        <v>150</v>
      </c>
      <c r="C586">
        <v>2019</v>
      </c>
      <c r="D586">
        <v>1</v>
      </c>
      <c r="E586" t="s">
        <v>415</v>
      </c>
      <c r="F586" t="s">
        <v>434</v>
      </c>
      <c r="G586" t="s">
        <v>435</v>
      </c>
      <c r="H586" t="s">
        <v>84</v>
      </c>
      <c r="I586" t="s">
        <v>438</v>
      </c>
      <c r="J586" t="s">
        <v>59</v>
      </c>
      <c r="K586">
        <v>-6726.7522196700002</v>
      </c>
      <c r="L586" t="s">
        <v>89</v>
      </c>
      <c r="M586" t="s">
        <v>422</v>
      </c>
      <c r="N586">
        <v>7.1262429683470005E-2</v>
      </c>
      <c r="O586">
        <v>479.36470700000001</v>
      </c>
      <c r="P586" t="s">
        <v>421</v>
      </c>
      <c r="Q586">
        <v>1</v>
      </c>
      <c r="V586">
        <v>1</v>
      </c>
      <c r="W586">
        <v>1</v>
      </c>
      <c r="X586">
        <v>1</v>
      </c>
      <c r="Y586">
        <v>1</v>
      </c>
      <c r="Z586">
        <v>479.36470700000001</v>
      </c>
    </row>
    <row r="587" spans="1:26" x14ac:dyDescent="0.25">
      <c r="A587">
        <v>63862</v>
      </c>
      <c r="B587" t="s">
        <v>150</v>
      </c>
      <c r="C587">
        <v>2019</v>
      </c>
      <c r="D587">
        <v>1</v>
      </c>
      <c r="E587" t="s">
        <v>415</v>
      </c>
      <c r="F587" t="s">
        <v>434</v>
      </c>
      <c r="G587" t="s">
        <v>435</v>
      </c>
      <c r="H587" t="s">
        <v>84</v>
      </c>
      <c r="I587" t="s">
        <v>438</v>
      </c>
      <c r="J587" t="s">
        <v>59</v>
      </c>
      <c r="K587">
        <v>-6726.7522196700002</v>
      </c>
      <c r="L587" t="s">
        <v>89</v>
      </c>
      <c r="M587" t="s">
        <v>423</v>
      </c>
      <c r="N587">
        <v>0.74738783869542003</v>
      </c>
      <c r="O587">
        <v>5027.4928030000001</v>
      </c>
      <c r="P587" t="s">
        <v>421</v>
      </c>
      <c r="Q587">
        <v>1</v>
      </c>
      <c r="V587">
        <v>1</v>
      </c>
      <c r="W587">
        <v>1</v>
      </c>
      <c r="X587">
        <v>1</v>
      </c>
      <c r="Y587">
        <v>1</v>
      </c>
      <c r="Z587">
        <v>5027.4928030000001</v>
      </c>
    </row>
    <row r="588" spans="1:26" x14ac:dyDescent="0.25">
      <c r="A588">
        <v>63863</v>
      </c>
      <c r="B588" t="s">
        <v>150</v>
      </c>
      <c r="C588">
        <v>2019</v>
      </c>
      <c r="D588">
        <v>1</v>
      </c>
      <c r="E588" t="s">
        <v>415</v>
      </c>
      <c r="F588" t="s">
        <v>434</v>
      </c>
      <c r="G588" t="s">
        <v>435</v>
      </c>
      <c r="H588" t="s">
        <v>84</v>
      </c>
      <c r="I588" t="s">
        <v>438</v>
      </c>
      <c r="J588" t="s">
        <v>59</v>
      </c>
      <c r="K588">
        <v>-6726.7522196700002</v>
      </c>
      <c r="L588" t="s">
        <v>89</v>
      </c>
      <c r="M588" t="s">
        <v>424</v>
      </c>
      <c r="N588">
        <v>3.08071516317E-3</v>
      </c>
      <c r="O588">
        <v>20.723208</v>
      </c>
      <c r="P588" t="s">
        <v>421</v>
      </c>
      <c r="Q588">
        <v>1</v>
      </c>
      <c r="V588">
        <v>1</v>
      </c>
      <c r="W588">
        <v>1</v>
      </c>
      <c r="X588">
        <v>1</v>
      </c>
      <c r="Y588">
        <v>1</v>
      </c>
      <c r="Z588">
        <v>20.723208</v>
      </c>
    </row>
    <row r="589" spans="1:26" x14ac:dyDescent="0.25">
      <c r="A589">
        <v>63864</v>
      </c>
      <c r="B589" t="s">
        <v>150</v>
      </c>
      <c r="C589">
        <v>2019</v>
      </c>
      <c r="D589">
        <v>1</v>
      </c>
      <c r="E589" t="s">
        <v>415</v>
      </c>
      <c r="F589" t="s">
        <v>434</v>
      </c>
      <c r="G589" t="s">
        <v>435</v>
      </c>
      <c r="H589" t="s">
        <v>84</v>
      </c>
      <c r="I589" t="s">
        <v>438</v>
      </c>
      <c r="J589" t="s">
        <v>59</v>
      </c>
      <c r="K589">
        <v>-6726.7522196700002</v>
      </c>
      <c r="L589" t="s">
        <v>89</v>
      </c>
      <c r="M589" t="s">
        <v>425</v>
      </c>
      <c r="N589">
        <v>2.5360775708E-3</v>
      </c>
      <c r="O589">
        <v>17.059564999999999</v>
      </c>
      <c r="P589" t="s">
        <v>421</v>
      </c>
      <c r="Q589">
        <v>1</v>
      </c>
      <c r="V589">
        <v>1</v>
      </c>
      <c r="W589">
        <v>1</v>
      </c>
      <c r="X589">
        <v>1</v>
      </c>
      <c r="Y589">
        <v>1</v>
      </c>
      <c r="Z589">
        <v>17.059564999999999</v>
      </c>
    </row>
    <row r="590" spans="1:26" x14ac:dyDescent="0.25">
      <c r="A590">
        <v>118366</v>
      </c>
      <c r="B590" t="s">
        <v>209</v>
      </c>
      <c r="C590">
        <v>2020</v>
      </c>
      <c r="D590">
        <v>1</v>
      </c>
      <c r="E590" t="s">
        <v>415</v>
      </c>
      <c r="F590" t="s">
        <v>416</v>
      </c>
      <c r="G590" t="s">
        <v>417</v>
      </c>
      <c r="H590" t="s">
        <v>84</v>
      </c>
      <c r="I590" t="s">
        <v>418</v>
      </c>
      <c r="J590" t="s">
        <v>419</v>
      </c>
      <c r="K590">
        <v>-51812.257102659998</v>
      </c>
      <c r="L590" t="s">
        <v>85</v>
      </c>
      <c r="M590" t="s">
        <v>420</v>
      </c>
      <c r="N590">
        <v>0.24824931095561001</v>
      </c>
      <c r="O590">
        <v>12862.357125</v>
      </c>
      <c r="P590" t="s">
        <v>421</v>
      </c>
      <c r="Q590">
        <v>1</v>
      </c>
      <c r="V590">
        <v>1</v>
      </c>
      <c r="W590">
        <v>1</v>
      </c>
      <c r="X590">
        <v>1</v>
      </c>
      <c r="Y590">
        <v>1</v>
      </c>
      <c r="Z590">
        <v>12862.357125</v>
      </c>
    </row>
    <row r="591" spans="1:26" x14ac:dyDescent="0.25">
      <c r="A591">
        <v>118367</v>
      </c>
      <c r="B591" t="s">
        <v>209</v>
      </c>
      <c r="C591">
        <v>2020</v>
      </c>
      <c r="D591">
        <v>1</v>
      </c>
      <c r="E591" t="s">
        <v>415</v>
      </c>
      <c r="F591" t="s">
        <v>416</v>
      </c>
      <c r="G591" t="s">
        <v>417</v>
      </c>
      <c r="H591" t="s">
        <v>84</v>
      </c>
      <c r="I591" t="s">
        <v>418</v>
      </c>
      <c r="J591" t="s">
        <v>419</v>
      </c>
      <c r="K591">
        <v>-51812.257102659998</v>
      </c>
      <c r="L591" t="s">
        <v>85</v>
      </c>
      <c r="M591" t="s">
        <v>422</v>
      </c>
      <c r="N591">
        <v>7.7540047892240005E-2</v>
      </c>
      <c r="O591">
        <v>4017.5248969999998</v>
      </c>
      <c r="P591" t="s">
        <v>421</v>
      </c>
      <c r="Q591">
        <v>1</v>
      </c>
      <c r="V591">
        <v>1</v>
      </c>
      <c r="W591">
        <v>1</v>
      </c>
      <c r="X591">
        <v>1</v>
      </c>
      <c r="Y591">
        <v>1</v>
      </c>
      <c r="Z591">
        <v>4017.5248969999998</v>
      </c>
    </row>
    <row r="592" spans="1:26" x14ac:dyDescent="0.25">
      <c r="A592">
        <v>118368</v>
      </c>
      <c r="B592" t="s">
        <v>209</v>
      </c>
      <c r="C592">
        <v>2020</v>
      </c>
      <c r="D592">
        <v>1</v>
      </c>
      <c r="E592" t="s">
        <v>415</v>
      </c>
      <c r="F592" t="s">
        <v>416</v>
      </c>
      <c r="G592" t="s">
        <v>417</v>
      </c>
      <c r="H592" t="s">
        <v>84</v>
      </c>
      <c r="I592" t="s">
        <v>418</v>
      </c>
      <c r="J592" t="s">
        <v>419</v>
      </c>
      <c r="K592">
        <v>-51812.257102659998</v>
      </c>
      <c r="L592" t="s">
        <v>85</v>
      </c>
      <c r="M592" t="s">
        <v>423</v>
      </c>
      <c r="N592">
        <v>0.73979703899049998</v>
      </c>
      <c r="O592">
        <v>38330.554387999997</v>
      </c>
      <c r="P592" t="s">
        <v>421</v>
      </c>
      <c r="Q592">
        <v>1</v>
      </c>
      <c r="V592">
        <v>1</v>
      </c>
      <c r="W592">
        <v>1</v>
      </c>
      <c r="X592">
        <v>1</v>
      </c>
      <c r="Y592">
        <v>1</v>
      </c>
      <c r="Z592">
        <v>38330.554387999997</v>
      </c>
    </row>
    <row r="593" spans="1:26" x14ac:dyDescent="0.25">
      <c r="A593">
        <v>118369</v>
      </c>
      <c r="B593" t="s">
        <v>209</v>
      </c>
      <c r="C593">
        <v>2020</v>
      </c>
      <c r="D593">
        <v>1</v>
      </c>
      <c r="E593" t="s">
        <v>415</v>
      </c>
      <c r="F593" t="s">
        <v>416</v>
      </c>
      <c r="G593" t="s">
        <v>417</v>
      </c>
      <c r="H593" t="s">
        <v>84</v>
      </c>
      <c r="I593" t="s">
        <v>418</v>
      </c>
      <c r="J593" t="s">
        <v>419</v>
      </c>
      <c r="K593">
        <v>-51812.257102659998</v>
      </c>
      <c r="L593" t="s">
        <v>85</v>
      </c>
      <c r="M593" t="s">
        <v>424</v>
      </c>
      <c r="N593">
        <v>2.9085775596699999E-3</v>
      </c>
      <c r="O593">
        <v>150.69996800000001</v>
      </c>
      <c r="P593" t="s">
        <v>421</v>
      </c>
      <c r="Q593">
        <v>1</v>
      </c>
      <c r="V593">
        <v>1</v>
      </c>
      <c r="W593">
        <v>1</v>
      </c>
      <c r="X593">
        <v>1</v>
      </c>
      <c r="Y593">
        <v>1</v>
      </c>
      <c r="Z593">
        <v>150.69996800000001</v>
      </c>
    </row>
    <row r="594" spans="1:26" x14ac:dyDescent="0.25">
      <c r="A594">
        <v>118370</v>
      </c>
      <c r="B594" t="s">
        <v>209</v>
      </c>
      <c r="C594">
        <v>2020</v>
      </c>
      <c r="D594">
        <v>1</v>
      </c>
      <c r="E594" t="s">
        <v>415</v>
      </c>
      <c r="F594" t="s">
        <v>416</v>
      </c>
      <c r="G594" t="s">
        <v>417</v>
      </c>
      <c r="H594" t="s">
        <v>84</v>
      </c>
      <c r="I594" t="s">
        <v>418</v>
      </c>
      <c r="J594" t="s">
        <v>419</v>
      </c>
      <c r="K594">
        <v>-51812.257102659998</v>
      </c>
      <c r="L594" t="s">
        <v>85</v>
      </c>
      <c r="M594" t="s">
        <v>425</v>
      </c>
      <c r="N594">
        <v>2.6170694898000001E-3</v>
      </c>
      <c r="O594">
        <v>135.59627699999999</v>
      </c>
      <c r="P594" t="s">
        <v>421</v>
      </c>
      <c r="Q594">
        <v>1</v>
      </c>
      <c r="V594">
        <v>1</v>
      </c>
      <c r="W594">
        <v>1</v>
      </c>
      <c r="X594">
        <v>1</v>
      </c>
      <c r="Y594">
        <v>1</v>
      </c>
      <c r="Z594">
        <v>135.59627699999999</v>
      </c>
    </row>
    <row r="595" spans="1:26" x14ac:dyDescent="0.25">
      <c r="A595">
        <v>118371</v>
      </c>
      <c r="B595" t="s">
        <v>209</v>
      </c>
      <c r="C595">
        <v>2020</v>
      </c>
      <c r="D595">
        <v>1</v>
      </c>
      <c r="E595" t="s">
        <v>415</v>
      </c>
      <c r="F595" t="s">
        <v>416</v>
      </c>
      <c r="G595" t="s">
        <v>417</v>
      </c>
      <c r="H595" t="s">
        <v>84</v>
      </c>
      <c r="I595" t="s">
        <v>426</v>
      </c>
      <c r="J595" t="s">
        <v>87</v>
      </c>
      <c r="K595">
        <v>-22043.377499769998</v>
      </c>
      <c r="L595" t="s">
        <v>427</v>
      </c>
      <c r="M595" t="s">
        <v>420</v>
      </c>
      <c r="N595">
        <v>0.45523813654234002</v>
      </c>
      <c r="O595">
        <v>10034.986096000001</v>
      </c>
      <c r="P595" t="s">
        <v>421</v>
      </c>
      <c r="Q595">
        <v>1</v>
      </c>
      <c r="V595">
        <v>1</v>
      </c>
      <c r="W595">
        <v>1</v>
      </c>
      <c r="X595">
        <v>1</v>
      </c>
      <c r="Y595">
        <v>1</v>
      </c>
      <c r="Z595">
        <v>10034.986096000001</v>
      </c>
    </row>
    <row r="596" spans="1:26" x14ac:dyDescent="0.25">
      <c r="A596">
        <v>118372</v>
      </c>
      <c r="B596" t="s">
        <v>209</v>
      </c>
      <c r="C596">
        <v>2020</v>
      </c>
      <c r="D596">
        <v>1</v>
      </c>
      <c r="E596" t="s">
        <v>415</v>
      </c>
      <c r="F596" t="s">
        <v>416</v>
      </c>
      <c r="G596" t="s">
        <v>417</v>
      </c>
      <c r="H596" t="s">
        <v>84</v>
      </c>
      <c r="I596" t="s">
        <v>426</v>
      </c>
      <c r="J596" t="s">
        <v>87</v>
      </c>
      <c r="K596">
        <v>-22043.377499769998</v>
      </c>
      <c r="L596" t="s">
        <v>427</v>
      </c>
      <c r="M596" t="s">
        <v>422</v>
      </c>
      <c r="N596">
        <v>6.8896616392329996E-2</v>
      </c>
      <c r="O596">
        <v>1518.7141240000001</v>
      </c>
      <c r="P596" t="s">
        <v>421</v>
      </c>
      <c r="Q596">
        <v>1</v>
      </c>
      <c r="V596">
        <v>1</v>
      </c>
      <c r="W596">
        <v>1</v>
      </c>
      <c r="X596">
        <v>1</v>
      </c>
      <c r="Y596">
        <v>1</v>
      </c>
      <c r="Z596">
        <v>1518.7141240000001</v>
      </c>
    </row>
    <row r="597" spans="1:26" x14ac:dyDescent="0.25">
      <c r="A597">
        <v>118373</v>
      </c>
      <c r="B597" t="s">
        <v>209</v>
      </c>
      <c r="C597">
        <v>2020</v>
      </c>
      <c r="D597">
        <v>1</v>
      </c>
      <c r="E597" t="s">
        <v>415</v>
      </c>
      <c r="F597" t="s">
        <v>416</v>
      </c>
      <c r="G597" t="s">
        <v>417</v>
      </c>
      <c r="H597" t="s">
        <v>84</v>
      </c>
      <c r="I597" t="s">
        <v>426</v>
      </c>
      <c r="J597" t="s">
        <v>87</v>
      </c>
      <c r="K597">
        <v>-22043.377499769998</v>
      </c>
      <c r="L597" t="s">
        <v>427</v>
      </c>
      <c r="M597" t="s">
        <v>423</v>
      </c>
      <c r="N597">
        <v>0.70986919705586005</v>
      </c>
      <c r="O597">
        <v>15647.914686</v>
      </c>
      <c r="P597" t="s">
        <v>421</v>
      </c>
      <c r="Q597">
        <v>1</v>
      </c>
      <c r="V597">
        <v>1</v>
      </c>
      <c r="W597">
        <v>1</v>
      </c>
      <c r="X597">
        <v>1</v>
      </c>
      <c r="Y597">
        <v>1</v>
      </c>
      <c r="Z597">
        <v>15647.914686</v>
      </c>
    </row>
    <row r="598" spans="1:26" x14ac:dyDescent="0.25">
      <c r="A598">
        <v>118374</v>
      </c>
      <c r="B598" t="s">
        <v>209</v>
      </c>
      <c r="C598">
        <v>2020</v>
      </c>
      <c r="D598">
        <v>1</v>
      </c>
      <c r="E598" t="s">
        <v>415</v>
      </c>
      <c r="F598" t="s">
        <v>416</v>
      </c>
      <c r="G598" t="s">
        <v>417</v>
      </c>
      <c r="H598" t="s">
        <v>84</v>
      </c>
      <c r="I598" t="s">
        <v>426</v>
      </c>
      <c r="J598" t="s">
        <v>87</v>
      </c>
      <c r="K598">
        <v>-22043.377499769998</v>
      </c>
      <c r="L598" t="s">
        <v>427</v>
      </c>
      <c r="M598" t="s">
        <v>425</v>
      </c>
      <c r="N598">
        <v>1.4965642882E-3</v>
      </c>
      <c r="O598">
        <v>32.989331999999997</v>
      </c>
      <c r="P598" t="s">
        <v>421</v>
      </c>
      <c r="Q598">
        <v>1</v>
      </c>
      <c r="V598">
        <v>1</v>
      </c>
      <c r="W598">
        <v>1</v>
      </c>
      <c r="X598">
        <v>1</v>
      </c>
      <c r="Y598">
        <v>1</v>
      </c>
      <c r="Z598">
        <v>32.989331999999997</v>
      </c>
    </row>
    <row r="599" spans="1:26" x14ac:dyDescent="0.25">
      <c r="A599">
        <v>118375</v>
      </c>
      <c r="B599" t="s">
        <v>209</v>
      </c>
      <c r="C599">
        <v>2020</v>
      </c>
      <c r="D599">
        <v>1</v>
      </c>
      <c r="E599" t="s">
        <v>415</v>
      </c>
      <c r="F599" t="s">
        <v>416</v>
      </c>
      <c r="G599" t="s">
        <v>417</v>
      </c>
      <c r="H599" t="s">
        <v>84</v>
      </c>
      <c r="I599" t="s">
        <v>428</v>
      </c>
      <c r="J599" t="s">
        <v>59</v>
      </c>
      <c r="K599">
        <v>-23798.281638920002</v>
      </c>
      <c r="L599" t="s">
        <v>89</v>
      </c>
      <c r="M599" t="s">
        <v>420</v>
      </c>
      <c r="N599">
        <v>0.26343870574139999</v>
      </c>
      <c r="O599">
        <v>6269.3885140000002</v>
      </c>
      <c r="P599" t="s">
        <v>421</v>
      </c>
      <c r="Q599">
        <v>1</v>
      </c>
      <c r="V599">
        <v>1</v>
      </c>
      <c r="W599">
        <v>1</v>
      </c>
      <c r="X599">
        <v>1</v>
      </c>
      <c r="Y599">
        <v>1</v>
      </c>
      <c r="Z599">
        <v>6269.3885140000002</v>
      </c>
    </row>
    <row r="600" spans="1:26" x14ac:dyDescent="0.25">
      <c r="A600">
        <v>118376</v>
      </c>
      <c r="B600" t="s">
        <v>209</v>
      </c>
      <c r="C600">
        <v>2020</v>
      </c>
      <c r="D600">
        <v>1</v>
      </c>
      <c r="E600" t="s">
        <v>415</v>
      </c>
      <c r="F600" t="s">
        <v>416</v>
      </c>
      <c r="G600" t="s">
        <v>417</v>
      </c>
      <c r="H600" t="s">
        <v>84</v>
      </c>
      <c r="I600" t="s">
        <v>428</v>
      </c>
      <c r="J600" t="s">
        <v>59</v>
      </c>
      <c r="K600">
        <v>-23798.281638920002</v>
      </c>
      <c r="L600" t="s">
        <v>89</v>
      </c>
      <c r="M600" t="s">
        <v>422</v>
      </c>
      <c r="N600">
        <v>7.1262429683470005E-2</v>
      </c>
      <c r="O600">
        <v>1695.923372</v>
      </c>
      <c r="P600" t="s">
        <v>421</v>
      </c>
      <c r="Q600">
        <v>1</v>
      </c>
      <c r="V600">
        <v>1</v>
      </c>
      <c r="W600">
        <v>1</v>
      </c>
      <c r="X600">
        <v>1</v>
      </c>
      <c r="Y600">
        <v>1</v>
      </c>
      <c r="Z600">
        <v>1695.923372</v>
      </c>
    </row>
    <row r="601" spans="1:26" x14ac:dyDescent="0.25">
      <c r="A601">
        <v>118377</v>
      </c>
      <c r="B601" t="s">
        <v>209</v>
      </c>
      <c r="C601">
        <v>2020</v>
      </c>
      <c r="D601">
        <v>1</v>
      </c>
      <c r="E601" t="s">
        <v>415</v>
      </c>
      <c r="F601" t="s">
        <v>416</v>
      </c>
      <c r="G601" t="s">
        <v>417</v>
      </c>
      <c r="H601" t="s">
        <v>84</v>
      </c>
      <c r="I601" t="s">
        <v>428</v>
      </c>
      <c r="J601" t="s">
        <v>59</v>
      </c>
      <c r="K601">
        <v>-23798.281638920002</v>
      </c>
      <c r="L601" t="s">
        <v>89</v>
      </c>
      <c r="M601" t="s">
        <v>423</v>
      </c>
      <c r="N601">
        <v>0.74738783869542003</v>
      </c>
      <c r="O601">
        <v>17786.546278999998</v>
      </c>
      <c r="P601" t="s">
        <v>421</v>
      </c>
      <c r="Q601">
        <v>1</v>
      </c>
      <c r="V601">
        <v>1</v>
      </c>
      <c r="W601">
        <v>1</v>
      </c>
      <c r="X601">
        <v>1</v>
      </c>
      <c r="Y601">
        <v>1</v>
      </c>
      <c r="Z601">
        <v>17786.546278999998</v>
      </c>
    </row>
    <row r="602" spans="1:26" x14ac:dyDescent="0.25">
      <c r="A602">
        <v>118378</v>
      </c>
      <c r="B602" t="s">
        <v>209</v>
      </c>
      <c r="C602">
        <v>2020</v>
      </c>
      <c r="D602">
        <v>1</v>
      </c>
      <c r="E602" t="s">
        <v>415</v>
      </c>
      <c r="F602" t="s">
        <v>416</v>
      </c>
      <c r="G602" t="s">
        <v>417</v>
      </c>
      <c r="H602" t="s">
        <v>84</v>
      </c>
      <c r="I602" t="s">
        <v>428</v>
      </c>
      <c r="J602" t="s">
        <v>59</v>
      </c>
      <c r="K602">
        <v>-23798.281638920002</v>
      </c>
      <c r="L602" t="s">
        <v>89</v>
      </c>
      <c r="M602" t="s">
        <v>424</v>
      </c>
      <c r="N602">
        <v>3.08071516317E-3</v>
      </c>
      <c r="O602">
        <v>73.315726999999995</v>
      </c>
      <c r="P602" t="s">
        <v>421</v>
      </c>
      <c r="Q602">
        <v>1</v>
      </c>
      <c r="V602">
        <v>1</v>
      </c>
      <c r="W602">
        <v>1</v>
      </c>
      <c r="X602">
        <v>1</v>
      </c>
      <c r="Y602">
        <v>1</v>
      </c>
      <c r="Z602">
        <v>73.315726999999995</v>
      </c>
    </row>
    <row r="603" spans="1:26" x14ac:dyDescent="0.25">
      <c r="A603">
        <v>118379</v>
      </c>
      <c r="B603" t="s">
        <v>209</v>
      </c>
      <c r="C603">
        <v>2020</v>
      </c>
      <c r="D603">
        <v>1</v>
      </c>
      <c r="E603" t="s">
        <v>415</v>
      </c>
      <c r="F603" t="s">
        <v>416</v>
      </c>
      <c r="G603" t="s">
        <v>417</v>
      </c>
      <c r="H603" t="s">
        <v>84</v>
      </c>
      <c r="I603" t="s">
        <v>428</v>
      </c>
      <c r="J603" t="s">
        <v>59</v>
      </c>
      <c r="K603">
        <v>-23798.281638920002</v>
      </c>
      <c r="L603" t="s">
        <v>89</v>
      </c>
      <c r="M603" t="s">
        <v>425</v>
      </c>
      <c r="N603">
        <v>2.5360775708E-3</v>
      </c>
      <c r="O603">
        <v>60.354287999999997</v>
      </c>
      <c r="P603" t="s">
        <v>421</v>
      </c>
      <c r="Q603">
        <v>1</v>
      </c>
      <c r="V603">
        <v>1</v>
      </c>
      <c r="W603">
        <v>1</v>
      </c>
      <c r="X603">
        <v>1</v>
      </c>
      <c r="Y603">
        <v>1</v>
      </c>
      <c r="Z603">
        <v>60.354287999999997</v>
      </c>
    </row>
    <row r="604" spans="1:26" x14ac:dyDescent="0.25">
      <c r="A604">
        <v>118380</v>
      </c>
      <c r="B604" t="s">
        <v>209</v>
      </c>
      <c r="C604">
        <v>2020</v>
      </c>
      <c r="D604">
        <v>1</v>
      </c>
      <c r="E604" t="s">
        <v>415</v>
      </c>
      <c r="F604" t="s">
        <v>429</v>
      </c>
      <c r="G604" t="s">
        <v>430</v>
      </c>
      <c r="H604" t="s">
        <v>84</v>
      </c>
      <c r="I604" t="s">
        <v>431</v>
      </c>
      <c r="J604" t="s">
        <v>419</v>
      </c>
      <c r="K604">
        <v>-82306.441339259996</v>
      </c>
      <c r="L604" t="s">
        <v>85</v>
      </c>
      <c r="M604" t="s">
        <v>420</v>
      </c>
      <c r="N604">
        <v>0.24824931095561001</v>
      </c>
      <c r="O604">
        <v>20432.517349999998</v>
      </c>
      <c r="P604" t="s">
        <v>421</v>
      </c>
      <c r="Q604">
        <v>1</v>
      </c>
      <c r="V604">
        <v>1</v>
      </c>
      <c r="W604">
        <v>1</v>
      </c>
      <c r="X604">
        <v>1</v>
      </c>
      <c r="Y604">
        <v>1</v>
      </c>
      <c r="Z604">
        <v>20432.517349999998</v>
      </c>
    </row>
    <row r="605" spans="1:26" x14ac:dyDescent="0.25">
      <c r="A605">
        <v>118381</v>
      </c>
      <c r="B605" t="s">
        <v>209</v>
      </c>
      <c r="C605">
        <v>2020</v>
      </c>
      <c r="D605">
        <v>1</v>
      </c>
      <c r="E605" t="s">
        <v>415</v>
      </c>
      <c r="F605" t="s">
        <v>429</v>
      </c>
      <c r="G605" t="s">
        <v>430</v>
      </c>
      <c r="H605" t="s">
        <v>84</v>
      </c>
      <c r="I605" t="s">
        <v>431</v>
      </c>
      <c r="J605" t="s">
        <v>419</v>
      </c>
      <c r="K605">
        <v>-82306.441339259996</v>
      </c>
      <c r="L605" t="s">
        <v>85</v>
      </c>
      <c r="M605" t="s">
        <v>422</v>
      </c>
      <c r="N605">
        <v>7.7540047892240005E-2</v>
      </c>
      <c r="O605">
        <v>6382.0454030000001</v>
      </c>
      <c r="P605" t="s">
        <v>421</v>
      </c>
      <c r="Q605">
        <v>1</v>
      </c>
      <c r="V605">
        <v>1</v>
      </c>
      <c r="W605">
        <v>1</v>
      </c>
      <c r="X605">
        <v>1</v>
      </c>
      <c r="Y605">
        <v>1</v>
      </c>
      <c r="Z605">
        <v>6382.0454030000001</v>
      </c>
    </row>
    <row r="606" spans="1:26" x14ac:dyDescent="0.25">
      <c r="A606">
        <v>118382</v>
      </c>
      <c r="B606" t="s">
        <v>209</v>
      </c>
      <c r="C606">
        <v>2020</v>
      </c>
      <c r="D606">
        <v>1</v>
      </c>
      <c r="E606" t="s">
        <v>415</v>
      </c>
      <c r="F606" t="s">
        <v>429</v>
      </c>
      <c r="G606" t="s">
        <v>430</v>
      </c>
      <c r="H606" t="s">
        <v>84</v>
      </c>
      <c r="I606" t="s">
        <v>431</v>
      </c>
      <c r="J606" t="s">
        <v>419</v>
      </c>
      <c r="K606">
        <v>-82306.441339259996</v>
      </c>
      <c r="L606" t="s">
        <v>85</v>
      </c>
      <c r="M606" t="s">
        <v>423</v>
      </c>
      <c r="N606">
        <v>0.73979703899049998</v>
      </c>
      <c r="O606">
        <v>60890.061592999999</v>
      </c>
      <c r="P606" t="s">
        <v>421</v>
      </c>
      <c r="Q606">
        <v>1</v>
      </c>
      <c r="V606">
        <v>1</v>
      </c>
      <c r="W606">
        <v>1</v>
      </c>
      <c r="X606">
        <v>1</v>
      </c>
      <c r="Y606">
        <v>1</v>
      </c>
      <c r="Z606">
        <v>60890.061592999999</v>
      </c>
    </row>
    <row r="607" spans="1:26" x14ac:dyDescent="0.25">
      <c r="A607">
        <v>118383</v>
      </c>
      <c r="B607" t="s">
        <v>209</v>
      </c>
      <c r="C607">
        <v>2020</v>
      </c>
      <c r="D607">
        <v>1</v>
      </c>
      <c r="E607" t="s">
        <v>415</v>
      </c>
      <c r="F607" t="s">
        <v>429</v>
      </c>
      <c r="G607" t="s">
        <v>430</v>
      </c>
      <c r="H607" t="s">
        <v>84</v>
      </c>
      <c r="I607" t="s">
        <v>431</v>
      </c>
      <c r="J607" t="s">
        <v>419</v>
      </c>
      <c r="K607">
        <v>-82306.441339259996</v>
      </c>
      <c r="L607" t="s">
        <v>85</v>
      </c>
      <c r="M607" t="s">
        <v>424</v>
      </c>
      <c r="N607">
        <v>2.9085775596699999E-3</v>
      </c>
      <c r="O607">
        <v>239.394668</v>
      </c>
      <c r="P607" t="s">
        <v>421</v>
      </c>
      <c r="Q607">
        <v>1</v>
      </c>
      <c r="V607">
        <v>1</v>
      </c>
      <c r="W607">
        <v>1</v>
      </c>
      <c r="X607">
        <v>1</v>
      </c>
      <c r="Y607">
        <v>1</v>
      </c>
      <c r="Z607">
        <v>239.394668</v>
      </c>
    </row>
    <row r="608" spans="1:26" x14ac:dyDescent="0.25">
      <c r="A608">
        <v>118384</v>
      </c>
      <c r="B608" t="s">
        <v>209</v>
      </c>
      <c r="C608">
        <v>2020</v>
      </c>
      <c r="D608">
        <v>1</v>
      </c>
      <c r="E608" t="s">
        <v>415</v>
      </c>
      <c r="F608" t="s">
        <v>429</v>
      </c>
      <c r="G608" t="s">
        <v>430</v>
      </c>
      <c r="H608" t="s">
        <v>84</v>
      </c>
      <c r="I608" t="s">
        <v>431</v>
      </c>
      <c r="J608" t="s">
        <v>419</v>
      </c>
      <c r="K608">
        <v>-82306.441339259996</v>
      </c>
      <c r="L608" t="s">
        <v>85</v>
      </c>
      <c r="M608" t="s">
        <v>425</v>
      </c>
      <c r="N608">
        <v>2.6170694898000001E-3</v>
      </c>
      <c r="O608">
        <v>215.40167600000001</v>
      </c>
      <c r="P608" t="s">
        <v>421</v>
      </c>
      <c r="Q608">
        <v>1</v>
      </c>
      <c r="V608">
        <v>1</v>
      </c>
      <c r="W608">
        <v>1</v>
      </c>
      <c r="X608">
        <v>1</v>
      </c>
      <c r="Y608">
        <v>1</v>
      </c>
      <c r="Z608">
        <v>215.40167600000001</v>
      </c>
    </row>
    <row r="609" spans="1:26" x14ac:dyDescent="0.25">
      <c r="A609">
        <v>118385</v>
      </c>
      <c r="B609" t="s">
        <v>209</v>
      </c>
      <c r="C609">
        <v>2020</v>
      </c>
      <c r="D609">
        <v>1</v>
      </c>
      <c r="E609" t="s">
        <v>415</v>
      </c>
      <c r="F609" t="s">
        <v>429</v>
      </c>
      <c r="G609" t="s">
        <v>430</v>
      </c>
      <c r="H609" t="s">
        <v>84</v>
      </c>
      <c r="I609" t="s">
        <v>432</v>
      </c>
      <c r="J609" t="s">
        <v>87</v>
      </c>
      <c r="K609">
        <v>-31158.782876649999</v>
      </c>
      <c r="L609" t="s">
        <v>427</v>
      </c>
      <c r="M609" t="s">
        <v>420</v>
      </c>
      <c r="N609">
        <v>0.45523813654234002</v>
      </c>
      <c r="O609">
        <v>14184.666254</v>
      </c>
      <c r="P609" t="s">
        <v>421</v>
      </c>
      <c r="Q609">
        <v>1</v>
      </c>
      <c r="V609">
        <v>1</v>
      </c>
      <c r="W609">
        <v>1</v>
      </c>
      <c r="X609">
        <v>1</v>
      </c>
      <c r="Y609">
        <v>1</v>
      </c>
      <c r="Z609">
        <v>14184.666254</v>
      </c>
    </row>
    <row r="610" spans="1:26" x14ac:dyDescent="0.25">
      <c r="A610">
        <v>118386</v>
      </c>
      <c r="B610" t="s">
        <v>209</v>
      </c>
      <c r="C610">
        <v>2020</v>
      </c>
      <c r="D610">
        <v>1</v>
      </c>
      <c r="E610" t="s">
        <v>415</v>
      </c>
      <c r="F610" t="s">
        <v>429</v>
      </c>
      <c r="G610" t="s">
        <v>430</v>
      </c>
      <c r="H610" t="s">
        <v>84</v>
      </c>
      <c r="I610" t="s">
        <v>432</v>
      </c>
      <c r="J610" t="s">
        <v>87</v>
      </c>
      <c r="K610">
        <v>-31158.782876649999</v>
      </c>
      <c r="L610" t="s">
        <v>427</v>
      </c>
      <c r="M610" t="s">
        <v>422</v>
      </c>
      <c r="N610">
        <v>6.8896616392329996E-2</v>
      </c>
      <c r="O610">
        <v>2146.7347110000001</v>
      </c>
      <c r="P610" t="s">
        <v>421</v>
      </c>
      <c r="Q610">
        <v>1</v>
      </c>
      <c r="V610">
        <v>1</v>
      </c>
      <c r="W610">
        <v>1</v>
      </c>
      <c r="X610">
        <v>1</v>
      </c>
      <c r="Y610">
        <v>1</v>
      </c>
      <c r="Z610">
        <v>2146.7347110000001</v>
      </c>
    </row>
    <row r="611" spans="1:26" x14ac:dyDescent="0.25">
      <c r="A611">
        <v>118387</v>
      </c>
      <c r="B611" t="s">
        <v>209</v>
      </c>
      <c r="C611">
        <v>2020</v>
      </c>
      <c r="D611">
        <v>1</v>
      </c>
      <c r="E611" t="s">
        <v>415</v>
      </c>
      <c r="F611" t="s">
        <v>429</v>
      </c>
      <c r="G611" t="s">
        <v>430</v>
      </c>
      <c r="H611" t="s">
        <v>84</v>
      </c>
      <c r="I611" t="s">
        <v>432</v>
      </c>
      <c r="J611" t="s">
        <v>87</v>
      </c>
      <c r="K611">
        <v>-31158.782876649999</v>
      </c>
      <c r="L611" t="s">
        <v>427</v>
      </c>
      <c r="M611" t="s">
        <v>423</v>
      </c>
      <c r="N611">
        <v>0.70986919705586005</v>
      </c>
      <c r="O611">
        <v>22118.660182</v>
      </c>
      <c r="P611" t="s">
        <v>421</v>
      </c>
      <c r="Q611">
        <v>1</v>
      </c>
      <c r="V611">
        <v>1</v>
      </c>
      <c r="W611">
        <v>1</v>
      </c>
      <c r="X611">
        <v>1</v>
      </c>
      <c r="Y611">
        <v>1</v>
      </c>
      <c r="Z611">
        <v>22118.660182</v>
      </c>
    </row>
    <row r="612" spans="1:26" x14ac:dyDescent="0.25">
      <c r="A612">
        <v>118388</v>
      </c>
      <c r="B612" t="s">
        <v>209</v>
      </c>
      <c r="C612">
        <v>2020</v>
      </c>
      <c r="D612">
        <v>1</v>
      </c>
      <c r="E612" t="s">
        <v>415</v>
      </c>
      <c r="F612" t="s">
        <v>429</v>
      </c>
      <c r="G612" t="s">
        <v>430</v>
      </c>
      <c r="H612" t="s">
        <v>84</v>
      </c>
      <c r="I612" t="s">
        <v>432</v>
      </c>
      <c r="J612" t="s">
        <v>87</v>
      </c>
      <c r="K612">
        <v>-31158.782876649999</v>
      </c>
      <c r="L612" t="s">
        <v>427</v>
      </c>
      <c r="M612" t="s">
        <v>425</v>
      </c>
      <c r="N612">
        <v>1.4965642882E-3</v>
      </c>
      <c r="O612">
        <v>46.631121999999998</v>
      </c>
      <c r="P612" t="s">
        <v>421</v>
      </c>
      <c r="Q612">
        <v>1</v>
      </c>
      <c r="V612">
        <v>1</v>
      </c>
      <c r="W612">
        <v>1</v>
      </c>
      <c r="X612">
        <v>1</v>
      </c>
      <c r="Y612">
        <v>1</v>
      </c>
      <c r="Z612">
        <v>46.631121999999998</v>
      </c>
    </row>
    <row r="613" spans="1:26" x14ac:dyDescent="0.25">
      <c r="A613">
        <v>118389</v>
      </c>
      <c r="B613" t="s">
        <v>209</v>
      </c>
      <c r="C613">
        <v>2020</v>
      </c>
      <c r="D613">
        <v>1</v>
      </c>
      <c r="E613" t="s">
        <v>415</v>
      </c>
      <c r="F613" t="s">
        <v>429</v>
      </c>
      <c r="G613" t="s">
        <v>430</v>
      </c>
      <c r="H613" t="s">
        <v>84</v>
      </c>
      <c r="I613" t="s">
        <v>433</v>
      </c>
      <c r="J613" t="s">
        <v>59</v>
      </c>
      <c r="K613">
        <v>-33245.341511430001</v>
      </c>
      <c r="L613" t="s">
        <v>89</v>
      </c>
      <c r="M613" t="s">
        <v>420</v>
      </c>
      <c r="N613">
        <v>0.26343870574139999</v>
      </c>
      <c r="O613">
        <v>8758.1097399999999</v>
      </c>
      <c r="P613" t="s">
        <v>421</v>
      </c>
      <c r="Q613">
        <v>1</v>
      </c>
      <c r="V613">
        <v>1</v>
      </c>
      <c r="W613">
        <v>1</v>
      </c>
      <c r="X613">
        <v>1</v>
      </c>
      <c r="Y613">
        <v>1</v>
      </c>
      <c r="Z613">
        <v>8758.1097399999999</v>
      </c>
    </row>
    <row r="614" spans="1:26" x14ac:dyDescent="0.25">
      <c r="A614">
        <v>118390</v>
      </c>
      <c r="B614" t="s">
        <v>209</v>
      </c>
      <c r="C614">
        <v>2020</v>
      </c>
      <c r="D614">
        <v>1</v>
      </c>
      <c r="E614" t="s">
        <v>415</v>
      </c>
      <c r="F614" t="s">
        <v>429</v>
      </c>
      <c r="G614" t="s">
        <v>430</v>
      </c>
      <c r="H614" t="s">
        <v>84</v>
      </c>
      <c r="I614" t="s">
        <v>433</v>
      </c>
      <c r="J614" t="s">
        <v>59</v>
      </c>
      <c r="K614">
        <v>-33245.341511430001</v>
      </c>
      <c r="L614" t="s">
        <v>89</v>
      </c>
      <c r="M614" t="s">
        <v>422</v>
      </c>
      <c r="N614">
        <v>7.1262429683470005E-2</v>
      </c>
      <c r="O614">
        <v>2369.1438119999998</v>
      </c>
      <c r="P614" t="s">
        <v>421</v>
      </c>
      <c r="Q614">
        <v>1</v>
      </c>
      <c r="V614">
        <v>1</v>
      </c>
      <c r="W614">
        <v>1</v>
      </c>
      <c r="X614">
        <v>1</v>
      </c>
      <c r="Y614">
        <v>1</v>
      </c>
      <c r="Z614">
        <v>2369.1438119999998</v>
      </c>
    </row>
    <row r="615" spans="1:26" x14ac:dyDescent="0.25">
      <c r="A615">
        <v>118391</v>
      </c>
      <c r="B615" t="s">
        <v>209</v>
      </c>
      <c r="C615">
        <v>2020</v>
      </c>
      <c r="D615">
        <v>1</v>
      </c>
      <c r="E615" t="s">
        <v>415</v>
      </c>
      <c r="F615" t="s">
        <v>429</v>
      </c>
      <c r="G615" t="s">
        <v>430</v>
      </c>
      <c r="H615" t="s">
        <v>84</v>
      </c>
      <c r="I615" t="s">
        <v>433</v>
      </c>
      <c r="J615" t="s">
        <v>59</v>
      </c>
      <c r="K615">
        <v>-33245.341511430001</v>
      </c>
      <c r="L615" t="s">
        <v>89</v>
      </c>
      <c r="M615" t="s">
        <v>423</v>
      </c>
      <c r="N615">
        <v>0.74738783869542003</v>
      </c>
      <c r="O615">
        <v>24847.163938999998</v>
      </c>
      <c r="P615" t="s">
        <v>421</v>
      </c>
      <c r="Q615">
        <v>1</v>
      </c>
      <c r="V615">
        <v>1</v>
      </c>
      <c r="W615">
        <v>1</v>
      </c>
      <c r="X615">
        <v>1</v>
      </c>
      <c r="Y615">
        <v>1</v>
      </c>
      <c r="Z615">
        <v>24847.163938999998</v>
      </c>
    </row>
    <row r="616" spans="1:26" x14ac:dyDescent="0.25">
      <c r="A616">
        <v>118392</v>
      </c>
      <c r="B616" t="s">
        <v>209</v>
      </c>
      <c r="C616">
        <v>2020</v>
      </c>
      <c r="D616">
        <v>1</v>
      </c>
      <c r="E616" t="s">
        <v>415</v>
      </c>
      <c r="F616" t="s">
        <v>429</v>
      </c>
      <c r="G616" t="s">
        <v>430</v>
      </c>
      <c r="H616" t="s">
        <v>84</v>
      </c>
      <c r="I616" t="s">
        <v>433</v>
      </c>
      <c r="J616" t="s">
        <v>59</v>
      </c>
      <c r="K616">
        <v>-33245.341511430001</v>
      </c>
      <c r="L616" t="s">
        <v>89</v>
      </c>
      <c r="M616" t="s">
        <v>424</v>
      </c>
      <c r="N616">
        <v>3.08071516317E-3</v>
      </c>
      <c r="O616">
        <v>102.419428</v>
      </c>
      <c r="P616" t="s">
        <v>421</v>
      </c>
      <c r="Q616">
        <v>1</v>
      </c>
      <c r="V616">
        <v>1</v>
      </c>
      <c r="W616">
        <v>1</v>
      </c>
      <c r="X616">
        <v>1</v>
      </c>
      <c r="Y616">
        <v>1</v>
      </c>
      <c r="Z616">
        <v>102.419428</v>
      </c>
    </row>
    <row r="617" spans="1:26" x14ac:dyDescent="0.25">
      <c r="A617">
        <v>118393</v>
      </c>
      <c r="B617" t="s">
        <v>209</v>
      </c>
      <c r="C617">
        <v>2020</v>
      </c>
      <c r="D617">
        <v>1</v>
      </c>
      <c r="E617" t="s">
        <v>415</v>
      </c>
      <c r="F617" t="s">
        <v>429</v>
      </c>
      <c r="G617" t="s">
        <v>430</v>
      </c>
      <c r="H617" t="s">
        <v>84</v>
      </c>
      <c r="I617" t="s">
        <v>433</v>
      </c>
      <c r="J617" t="s">
        <v>59</v>
      </c>
      <c r="K617">
        <v>-33245.341511430001</v>
      </c>
      <c r="L617" t="s">
        <v>89</v>
      </c>
      <c r="M617" t="s">
        <v>425</v>
      </c>
      <c r="N617">
        <v>2.5360775708E-3</v>
      </c>
      <c r="O617">
        <v>84.312764999999999</v>
      </c>
      <c r="P617" t="s">
        <v>421</v>
      </c>
      <c r="Q617">
        <v>1</v>
      </c>
      <c r="V617">
        <v>1</v>
      </c>
      <c r="W617">
        <v>1</v>
      </c>
      <c r="X617">
        <v>1</v>
      </c>
      <c r="Y617">
        <v>1</v>
      </c>
      <c r="Z617">
        <v>84.312764999999999</v>
      </c>
    </row>
    <row r="618" spans="1:26" x14ac:dyDescent="0.25">
      <c r="A618">
        <v>118394</v>
      </c>
      <c r="B618" t="s">
        <v>209</v>
      </c>
      <c r="C618">
        <v>2020</v>
      </c>
      <c r="D618">
        <v>1</v>
      </c>
      <c r="E618" t="s">
        <v>415</v>
      </c>
      <c r="F618" t="s">
        <v>434</v>
      </c>
      <c r="G618" t="s">
        <v>435</v>
      </c>
      <c r="H618" t="s">
        <v>84</v>
      </c>
      <c r="I618" t="s">
        <v>436</v>
      </c>
      <c r="J618" t="s">
        <v>419</v>
      </c>
      <c r="K618">
        <v>-35937.364726129999</v>
      </c>
      <c r="L618" t="s">
        <v>85</v>
      </c>
      <c r="M618" t="s">
        <v>420</v>
      </c>
      <c r="N618">
        <v>0.24824931095561001</v>
      </c>
      <c r="O618">
        <v>8921.4260310000009</v>
      </c>
      <c r="P618" t="s">
        <v>421</v>
      </c>
      <c r="Q618">
        <v>1</v>
      </c>
      <c r="V618">
        <v>1</v>
      </c>
      <c r="W618">
        <v>1</v>
      </c>
      <c r="X618">
        <v>1</v>
      </c>
      <c r="Y618">
        <v>1</v>
      </c>
      <c r="Z618">
        <v>8921.4260310000009</v>
      </c>
    </row>
    <row r="619" spans="1:26" x14ac:dyDescent="0.25">
      <c r="A619">
        <v>118395</v>
      </c>
      <c r="B619" t="s">
        <v>209</v>
      </c>
      <c r="C619">
        <v>2020</v>
      </c>
      <c r="D619">
        <v>1</v>
      </c>
      <c r="E619" t="s">
        <v>415</v>
      </c>
      <c r="F619" t="s">
        <v>434</v>
      </c>
      <c r="G619" t="s">
        <v>435</v>
      </c>
      <c r="H619" t="s">
        <v>84</v>
      </c>
      <c r="I619" t="s">
        <v>436</v>
      </c>
      <c r="J619" t="s">
        <v>419</v>
      </c>
      <c r="K619">
        <v>-35937.364726129999</v>
      </c>
      <c r="L619" t="s">
        <v>85</v>
      </c>
      <c r="M619" t="s">
        <v>422</v>
      </c>
      <c r="N619">
        <v>7.7540047892240005E-2</v>
      </c>
      <c r="O619">
        <v>2786.5849819999999</v>
      </c>
      <c r="P619" t="s">
        <v>421</v>
      </c>
      <c r="Q619">
        <v>1</v>
      </c>
      <c r="V619">
        <v>1</v>
      </c>
      <c r="W619">
        <v>1</v>
      </c>
      <c r="X619">
        <v>1</v>
      </c>
      <c r="Y619">
        <v>1</v>
      </c>
      <c r="Z619">
        <v>2786.5849819999999</v>
      </c>
    </row>
    <row r="620" spans="1:26" x14ac:dyDescent="0.25">
      <c r="A620">
        <v>118396</v>
      </c>
      <c r="B620" t="s">
        <v>209</v>
      </c>
      <c r="C620">
        <v>2020</v>
      </c>
      <c r="D620">
        <v>1</v>
      </c>
      <c r="E620" t="s">
        <v>415</v>
      </c>
      <c r="F620" t="s">
        <v>434</v>
      </c>
      <c r="G620" t="s">
        <v>435</v>
      </c>
      <c r="H620" t="s">
        <v>84</v>
      </c>
      <c r="I620" t="s">
        <v>436</v>
      </c>
      <c r="J620" t="s">
        <v>419</v>
      </c>
      <c r="K620">
        <v>-35937.364726129999</v>
      </c>
      <c r="L620" t="s">
        <v>85</v>
      </c>
      <c r="M620" t="s">
        <v>423</v>
      </c>
      <c r="N620">
        <v>0.73979703899049998</v>
      </c>
      <c r="O620">
        <v>26586.356014000001</v>
      </c>
      <c r="P620" t="s">
        <v>421</v>
      </c>
      <c r="Q620">
        <v>1</v>
      </c>
      <c r="V620">
        <v>1</v>
      </c>
      <c r="W620">
        <v>1</v>
      </c>
      <c r="X620">
        <v>1</v>
      </c>
      <c r="Y620">
        <v>1</v>
      </c>
      <c r="Z620">
        <v>26586.356014000001</v>
      </c>
    </row>
    <row r="621" spans="1:26" x14ac:dyDescent="0.25">
      <c r="A621">
        <v>118397</v>
      </c>
      <c r="B621" t="s">
        <v>209</v>
      </c>
      <c r="C621">
        <v>2020</v>
      </c>
      <c r="D621">
        <v>1</v>
      </c>
      <c r="E621" t="s">
        <v>415</v>
      </c>
      <c r="F621" t="s">
        <v>434</v>
      </c>
      <c r="G621" t="s">
        <v>435</v>
      </c>
      <c r="H621" t="s">
        <v>84</v>
      </c>
      <c r="I621" t="s">
        <v>436</v>
      </c>
      <c r="J621" t="s">
        <v>419</v>
      </c>
      <c r="K621">
        <v>-35937.364726129999</v>
      </c>
      <c r="L621" t="s">
        <v>85</v>
      </c>
      <c r="M621" t="s">
        <v>424</v>
      </c>
      <c r="N621">
        <v>2.9085775596699999E-3</v>
      </c>
      <c r="O621">
        <v>104.526613</v>
      </c>
      <c r="P621" t="s">
        <v>421</v>
      </c>
      <c r="Q621">
        <v>1</v>
      </c>
      <c r="V621">
        <v>1</v>
      </c>
      <c r="W621">
        <v>1</v>
      </c>
      <c r="X621">
        <v>1</v>
      </c>
      <c r="Y621">
        <v>1</v>
      </c>
      <c r="Z621">
        <v>104.526613</v>
      </c>
    </row>
    <row r="622" spans="1:26" x14ac:dyDescent="0.25">
      <c r="A622">
        <v>118398</v>
      </c>
      <c r="B622" t="s">
        <v>209</v>
      </c>
      <c r="C622">
        <v>2020</v>
      </c>
      <c r="D622">
        <v>1</v>
      </c>
      <c r="E622" t="s">
        <v>415</v>
      </c>
      <c r="F622" t="s">
        <v>434</v>
      </c>
      <c r="G622" t="s">
        <v>435</v>
      </c>
      <c r="H622" t="s">
        <v>84</v>
      </c>
      <c r="I622" t="s">
        <v>436</v>
      </c>
      <c r="J622" t="s">
        <v>419</v>
      </c>
      <c r="K622">
        <v>-35937.364726129999</v>
      </c>
      <c r="L622" t="s">
        <v>85</v>
      </c>
      <c r="M622" t="s">
        <v>425</v>
      </c>
      <c r="N622">
        <v>2.6170694898000001E-3</v>
      </c>
      <c r="O622">
        <v>94.050580999999994</v>
      </c>
      <c r="P622" t="s">
        <v>421</v>
      </c>
      <c r="Q622">
        <v>1</v>
      </c>
      <c r="V622">
        <v>1</v>
      </c>
      <c r="W622">
        <v>1</v>
      </c>
      <c r="X622">
        <v>1</v>
      </c>
      <c r="Y622">
        <v>1</v>
      </c>
      <c r="Z622">
        <v>94.050580999999994</v>
      </c>
    </row>
    <row r="623" spans="1:26" x14ac:dyDescent="0.25">
      <c r="A623">
        <v>118399</v>
      </c>
      <c r="B623" t="s">
        <v>209</v>
      </c>
      <c r="C623">
        <v>2020</v>
      </c>
      <c r="D623">
        <v>1</v>
      </c>
      <c r="E623" t="s">
        <v>415</v>
      </c>
      <c r="F623" t="s">
        <v>434</v>
      </c>
      <c r="G623" t="s">
        <v>435</v>
      </c>
      <c r="H623" t="s">
        <v>84</v>
      </c>
      <c r="I623" t="s">
        <v>437</v>
      </c>
      <c r="J623" t="s">
        <v>87</v>
      </c>
      <c r="K623">
        <v>-10070.0506756</v>
      </c>
      <c r="L623" t="s">
        <v>427</v>
      </c>
      <c r="M623" t="s">
        <v>420</v>
      </c>
      <c r="N623">
        <v>0.45523813654234002</v>
      </c>
      <c r="O623">
        <v>4584.2711040000004</v>
      </c>
      <c r="P623" t="s">
        <v>421</v>
      </c>
      <c r="Q623">
        <v>1</v>
      </c>
      <c r="V623">
        <v>1</v>
      </c>
      <c r="W623">
        <v>1</v>
      </c>
      <c r="X623">
        <v>1</v>
      </c>
      <c r="Y623">
        <v>1</v>
      </c>
      <c r="Z623">
        <v>4584.2711040000004</v>
      </c>
    </row>
    <row r="624" spans="1:26" x14ac:dyDescent="0.25">
      <c r="A624">
        <v>118400</v>
      </c>
      <c r="B624" t="s">
        <v>209</v>
      </c>
      <c r="C624">
        <v>2020</v>
      </c>
      <c r="D624">
        <v>1</v>
      </c>
      <c r="E624" t="s">
        <v>415</v>
      </c>
      <c r="F624" t="s">
        <v>434</v>
      </c>
      <c r="G624" t="s">
        <v>435</v>
      </c>
      <c r="H624" t="s">
        <v>84</v>
      </c>
      <c r="I624" t="s">
        <v>437</v>
      </c>
      <c r="J624" t="s">
        <v>87</v>
      </c>
      <c r="K624">
        <v>-10070.0506756</v>
      </c>
      <c r="L624" t="s">
        <v>427</v>
      </c>
      <c r="M624" t="s">
        <v>422</v>
      </c>
      <c r="N624">
        <v>6.8896616392329996E-2</v>
      </c>
      <c r="O624">
        <v>693.792418</v>
      </c>
      <c r="P624" t="s">
        <v>421</v>
      </c>
      <c r="Q624">
        <v>1</v>
      </c>
      <c r="V624">
        <v>1</v>
      </c>
      <c r="W624">
        <v>1</v>
      </c>
      <c r="X624">
        <v>1</v>
      </c>
      <c r="Y624">
        <v>1</v>
      </c>
      <c r="Z624">
        <v>693.792418</v>
      </c>
    </row>
    <row r="625" spans="1:26" x14ac:dyDescent="0.25">
      <c r="A625">
        <v>118401</v>
      </c>
      <c r="B625" t="s">
        <v>209</v>
      </c>
      <c r="C625">
        <v>2020</v>
      </c>
      <c r="D625">
        <v>1</v>
      </c>
      <c r="E625" t="s">
        <v>415</v>
      </c>
      <c r="F625" t="s">
        <v>434</v>
      </c>
      <c r="G625" t="s">
        <v>435</v>
      </c>
      <c r="H625" t="s">
        <v>84</v>
      </c>
      <c r="I625" t="s">
        <v>437</v>
      </c>
      <c r="J625" t="s">
        <v>87</v>
      </c>
      <c r="K625">
        <v>-10070.0506756</v>
      </c>
      <c r="L625" t="s">
        <v>427</v>
      </c>
      <c r="M625" t="s">
        <v>423</v>
      </c>
      <c r="N625">
        <v>0.70986919705586005</v>
      </c>
      <c r="O625">
        <v>7148.4187869999996</v>
      </c>
      <c r="P625" t="s">
        <v>421</v>
      </c>
      <c r="Q625">
        <v>1</v>
      </c>
      <c r="V625">
        <v>1</v>
      </c>
      <c r="W625">
        <v>1</v>
      </c>
      <c r="X625">
        <v>1</v>
      </c>
      <c r="Y625">
        <v>1</v>
      </c>
      <c r="Z625">
        <v>7148.4187869999996</v>
      </c>
    </row>
    <row r="626" spans="1:26" x14ac:dyDescent="0.25">
      <c r="A626">
        <v>118402</v>
      </c>
      <c r="B626" t="s">
        <v>209</v>
      </c>
      <c r="C626">
        <v>2020</v>
      </c>
      <c r="D626">
        <v>1</v>
      </c>
      <c r="E626" t="s">
        <v>415</v>
      </c>
      <c r="F626" t="s">
        <v>434</v>
      </c>
      <c r="G626" t="s">
        <v>435</v>
      </c>
      <c r="H626" t="s">
        <v>84</v>
      </c>
      <c r="I626" t="s">
        <v>437</v>
      </c>
      <c r="J626" t="s">
        <v>87</v>
      </c>
      <c r="K626">
        <v>-10070.0506756</v>
      </c>
      <c r="L626" t="s">
        <v>427</v>
      </c>
      <c r="M626" t="s">
        <v>425</v>
      </c>
      <c r="N626">
        <v>1.4965642882E-3</v>
      </c>
      <c r="O626">
        <v>15.070478</v>
      </c>
      <c r="P626" t="s">
        <v>421</v>
      </c>
      <c r="Q626">
        <v>1</v>
      </c>
      <c r="V626">
        <v>1</v>
      </c>
      <c r="W626">
        <v>1</v>
      </c>
      <c r="X626">
        <v>1</v>
      </c>
      <c r="Y626">
        <v>1</v>
      </c>
      <c r="Z626">
        <v>15.070478</v>
      </c>
    </row>
    <row r="627" spans="1:26" x14ac:dyDescent="0.25">
      <c r="A627">
        <v>118403</v>
      </c>
      <c r="B627" t="s">
        <v>209</v>
      </c>
      <c r="C627">
        <v>2020</v>
      </c>
      <c r="D627">
        <v>1</v>
      </c>
      <c r="E627" t="s">
        <v>415</v>
      </c>
      <c r="F627" t="s">
        <v>434</v>
      </c>
      <c r="G627" t="s">
        <v>435</v>
      </c>
      <c r="H627" t="s">
        <v>84</v>
      </c>
      <c r="I627" t="s">
        <v>438</v>
      </c>
      <c r="J627" t="s">
        <v>59</v>
      </c>
      <c r="K627">
        <v>-16547.407060320002</v>
      </c>
      <c r="L627" t="s">
        <v>89</v>
      </c>
      <c r="M627" t="s">
        <v>420</v>
      </c>
      <c r="N627">
        <v>0.26343870574139999</v>
      </c>
      <c r="O627">
        <v>4359.2274989999996</v>
      </c>
      <c r="P627" t="s">
        <v>421</v>
      </c>
      <c r="Q627">
        <v>1</v>
      </c>
      <c r="V627">
        <v>1</v>
      </c>
      <c r="W627">
        <v>1</v>
      </c>
      <c r="X627">
        <v>1</v>
      </c>
      <c r="Y627">
        <v>1</v>
      </c>
      <c r="Z627">
        <v>4359.2274989999996</v>
      </c>
    </row>
    <row r="628" spans="1:26" x14ac:dyDescent="0.25">
      <c r="A628">
        <v>118404</v>
      </c>
      <c r="B628" t="s">
        <v>209</v>
      </c>
      <c r="C628">
        <v>2020</v>
      </c>
      <c r="D628">
        <v>1</v>
      </c>
      <c r="E628" t="s">
        <v>415</v>
      </c>
      <c r="F628" t="s">
        <v>434</v>
      </c>
      <c r="G628" t="s">
        <v>435</v>
      </c>
      <c r="H628" t="s">
        <v>84</v>
      </c>
      <c r="I628" t="s">
        <v>438</v>
      </c>
      <c r="J628" t="s">
        <v>59</v>
      </c>
      <c r="K628">
        <v>-16547.407060320002</v>
      </c>
      <c r="L628" t="s">
        <v>89</v>
      </c>
      <c r="M628" t="s">
        <v>422</v>
      </c>
      <c r="N628">
        <v>7.1262429683470005E-2</v>
      </c>
      <c r="O628">
        <v>1179.2084319999999</v>
      </c>
      <c r="P628" t="s">
        <v>421</v>
      </c>
      <c r="Q628">
        <v>1</v>
      </c>
      <c r="V628">
        <v>1</v>
      </c>
      <c r="W628">
        <v>1</v>
      </c>
      <c r="X628">
        <v>1</v>
      </c>
      <c r="Y628">
        <v>1</v>
      </c>
      <c r="Z628">
        <v>1179.2084319999999</v>
      </c>
    </row>
    <row r="629" spans="1:26" x14ac:dyDescent="0.25">
      <c r="A629">
        <v>118405</v>
      </c>
      <c r="B629" t="s">
        <v>209</v>
      </c>
      <c r="C629">
        <v>2020</v>
      </c>
      <c r="D629">
        <v>1</v>
      </c>
      <c r="E629" t="s">
        <v>415</v>
      </c>
      <c r="F629" t="s">
        <v>434</v>
      </c>
      <c r="G629" t="s">
        <v>435</v>
      </c>
      <c r="H629" t="s">
        <v>84</v>
      </c>
      <c r="I629" t="s">
        <v>438</v>
      </c>
      <c r="J629" t="s">
        <v>59</v>
      </c>
      <c r="K629">
        <v>-16547.407060320002</v>
      </c>
      <c r="L629" t="s">
        <v>89</v>
      </c>
      <c r="M629" t="s">
        <v>423</v>
      </c>
      <c r="N629">
        <v>0.74738783869542003</v>
      </c>
      <c r="O629">
        <v>12367.330798999999</v>
      </c>
      <c r="P629" t="s">
        <v>421</v>
      </c>
      <c r="Q629">
        <v>1</v>
      </c>
      <c r="V629">
        <v>1</v>
      </c>
      <c r="W629">
        <v>1</v>
      </c>
      <c r="X629">
        <v>1</v>
      </c>
      <c r="Y629">
        <v>1</v>
      </c>
      <c r="Z629">
        <v>12367.330798999999</v>
      </c>
    </row>
    <row r="630" spans="1:26" x14ac:dyDescent="0.25">
      <c r="A630">
        <v>118406</v>
      </c>
      <c r="B630" t="s">
        <v>209</v>
      </c>
      <c r="C630">
        <v>2020</v>
      </c>
      <c r="D630">
        <v>1</v>
      </c>
      <c r="E630" t="s">
        <v>415</v>
      </c>
      <c r="F630" t="s">
        <v>434</v>
      </c>
      <c r="G630" t="s">
        <v>435</v>
      </c>
      <c r="H630" t="s">
        <v>84</v>
      </c>
      <c r="I630" t="s">
        <v>438</v>
      </c>
      <c r="J630" t="s">
        <v>59</v>
      </c>
      <c r="K630">
        <v>-16547.407060320002</v>
      </c>
      <c r="L630" t="s">
        <v>89</v>
      </c>
      <c r="M630" t="s">
        <v>424</v>
      </c>
      <c r="N630">
        <v>3.08071516317E-3</v>
      </c>
      <c r="O630">
        <v>50.977848000000002</v>
      </c>
      <c r="P630" t="s">
        <v>421</v>
      </c>
      <c r="Q630">
        <v>1</v>
      </c>
      <c r="V630">
        <v>1</v>
      </c>
      <c r="W630">
        <v>1</v>
      </c>
      <c r="X630">
        <v>1</v>
      </c>
      <c r="Y630">
        <v>1</v>
      </c>
      <c r="Z630">
        <v>50.977848000000002</v>
      </c>
    </row>
    <row r="631" spans="1:26" x14ac:dyDescent="0.25">
      <c r="A631">
        <v>118407</v>
      </c>
      <c r="B631" t="s">
        <v>209</v>
      </c>
      <c r="C631">
        <v>2020</v>
      </c>
      <c r="D631">
        <v>1</v>
      </c>
      <c r="E631" t="s">
        <v>415</v>
      </c>
      <c r="F631" t="s">
        <v>434</v>
      </c>
      <c r="G631" t="s">
        <v>435</v>
      </c>
      <c r="H631" t="s">
        <v>84</v>
      </c>
      <c r="I631" t="s">
        <v>438</v>
      </c>
      <c r="J631" t="s">
        <v>59</v>
      </c>
      <c r="K631">
        <v>-16547.407060320002</v>
      </c>
      <c r="L631" t="s">
        <v>89</v>
      </c>
      <c r="M631" t="s">
        <v>425</v>
      </c>
      <c r="N631">
        <v>2.5360775708E-3</v>
      </c>
      <c r="O631">
        <v>41.965508</v>
      </c>
      <c r="P631" t="s">
        <v>421</v>
      </c>
      <c r="Q631">
        <v>1</v>
      </c>
      <c r="V631">
        <v>1</v>
      </c>
      <c r="W631">
        <v>1</v>
      </c>
      <c r="X631">
        <v>1</v>
      </c>
      <c r="Y631">
        <v>1</v>
      </c>
      <c r="Z631">
        <v>41.965508</v>
      </c>
    </row>
    <row r="632" spans="1:26" x14ac:dyDescent="0.25">
      <c r="A632">
        <v>14530</v>
      </c>
      <c r="B632" t="s">
        <v>120</v>
      </c>
      <c r="C632">
        <v>2018</v>
      </c>
      <c r="D632">
        <v>1</v>
      </c>
      <c r="E632" t="s">
        <v>415</v>
      </c>
      <c r="F632" t="s">
        <v>416</v>
      </c>
      <c r="G632" t="s">
        <v>417</v>
      </c>
      <c r="H632" t="s">
        <v>84</v>
      </c>
      <c r="I632" t="s">
        <v>418</v>
      </c>
      <c r="J632" t="s">
        <v>419</v>
      </c>
      <c r="K632">
        <v>-12648.473965990001</v>
      </c>
      <c r="L632" t="s">
        <v>85</v>
      </c>
      <c r="M632" t="s">
        <v>420</v>
      </c>
      <c r="N632">
        <v>0.24824931095561001</v>
      </c>
      <c r="O632">
        <v>3139.9749470000002</v>
      </c>
      <c r="P632" t="s">
        <v>421</v>
      </c>
      <c r="Q632">
        <v>1</v>
      </c>
      <c r="V632">
        <v>1</v>
      </c>
      <c r="W632">
        <v>1</v>
      </c>
      <c r="X632">
        <v>1</v>
      </c>
      <c r="Y632">
        <v>1</v>
      </c>
      <c r="Z632">
        <v>3139.9749470000002</v>
      </c>
    </row>
    <row r="633" spans="1:26" x14ac:dyDescent="0.25">
      <c r="A633">
        <v>14531</v>
      </c>
      <c r="B633" t="s">
        <v>120</v>
      </c>
      <c r="C633">
        <v>2018</v>
      </c>
      <c r="D633">
        <v>1</v>
      </c>
      <c r="E633" t="s">
        <v>415</v>
      </c>
      <c r="F633" t="s">
        <v>416</v>
      </c>
      <c r="G633" t="s">
        <v>417</v>
      </c>
      <c r="H633" t="s">
        <v>84</v>
      </c>
      <c r="I633" t="s">
        <v>418</v>
      </c>
      <c r="J633" t="s">
        <v>419</v>
      </c>
      <c r="K633">
        <v>-12648.473965990001</v>
      </c>
      <c r="L633" t="s">
        <v>85</v>
      </c>
      <c r="M633" t="s">
        <v>422</v>
      </c>
      <c r="N633">
        <v>7.7540047892240005E-2</v>
      </c>
      <c r="O633">
        <v>980.76327700000002</v>
      </c>
      <c r="P633" t="s">
        <v>421</v>
      </c>
      <c r="Q633">
        <v>1</v>
      </c>
      <c r="V633">
        <v>1</v>
      </c>
      <c r="W633">
        <v>1</v>
      </c>
      <c r="X633">
        <v>1</v>
      </c>
      <c r="Y633">
        <v>1</v>
      </c>
      <c r="Z633">
        <v>980.76327700000002</v>
      </c>
    </row>
    <row r="634" spans="1:26" x14ac:dyDescent="0.25">
      <c r="A634">
        <v>14532</v>
      </c>
      <c r="B634" t="s">
        <v>120</v>
      </c>
      <c r="C634">
        <v>2018</v>
      </c>
      <c r="D634">
        <v>1</v>
      </c>
      <c r="E634" t="s">
        <v>415</v>
      </c>
      <c r="F634" t="s">
        <v>416</v>
      </c>
      <c r="G634" t="s">
        <v>417</v>
      </c>
      <c r="H634" t="s">
        <v>84</v>
      </c>
      <c r="I634" t="s">
        <v>418</v>
      </c>
      <c r="J634" t="s">
        <v>419</v>
      </c>
      <c r="K634">
        <v>-12648.473965990001</v>
      </c>
      <c r="L634" t="s">
        <v>85</v>
      </c>
      <c r="M634" t="s">
        <v>423</v>
      </c>
      <c r="N634">
        <v>0.73979703899049998</v>
      </c>
      <c r="O634">
        <v>9357.3035880000007</v>
      </c>
      <c r="P634" t="s">
        <v>421</v>
      </c>
      <c r="Q634">
        <v>1</v>
      </c>
      <c r="V634">
        <v>1</v>
      </c>
      <c r="W634">
        <v>1</v>
      </c>
      <c r="X634">
        <v>1</v>
      </c>
      <c r="Y634">
        <v>1</v>
      </c>
      <c r="Z634">
        <v>9357.3035880000007</v>
      </c>
    </row>
    <row r="635" spans="1:26" x14ac:dyDescent="0.25">
      <c r="A635">
        <v>14533</v>
      </c>
      <c r="B635" t="s">
        <v>120</v>
      </c>
      <c r="C635">
        <v>2018</v>
      </c>
      <c r="D635">
        <v>1</v>
      </c>
      <c r="E635" t="s">
        <v>415</v>
      </c>
      <c r="F635" t="s">
        <v>416</v>
      </c>
      <c r="G635" t="s">
        <v>417</v>
      </c>
      <c r="H635" t="s">
        <v>84</v>
      </c>
      <c r="I635" t="s">
        <v>418</v>
      </c>
      <c r="J635" t="s">
        <v>419</v>
      </c>
      <c r="K635">
        <v>-12648.473965990001</v>
      </c>
      <c r="L635" t="s">
        <v>85</v>
      </c>
      <c r="M635" t="s">
        <v>424</v>
      </c>
      <c r="N635">
        <v>2.9085775596699999E-3</v>
      </c>
      <c r="O635">
        <v>36.789068</v>
      </c>
      <c r="P635" t="s">
        <v>421</v>
      </c>
      <c r="Q635">
        <v>1</v>
      </c>
      <c r="V635">
        <v>1</v>
      </c>
      <c r="W635">
        <v>1</v>
      </c>
      <c r="X635">
        <v>1</v>
      </c>
      <c r="Y635">
        <v>1</v>
      </c>
      <c r="Z635">
        <v>36.789068</v>
      </c>
    </row>
    <row r="636" spans="1:26" x14ac:dyDescent="0.25">
      <c r="A636">
        <v>14534</v>
      </c>
      <c r="B636" t="s">
        <v>120</v>
      </c>
      <c r="C636">
        <v>2018</v>
      </c>
      <c r="D636">
        <v>1</v>
      </c>
      <c r="E636" t="s">
        <v>415</v>
      </c>
      <c r="F636" t="s">
        <v>416</v>
      </c>
      <c r="G636" t="s">
        <v>417</v>
      </c>
      <c r="H636" t="s">
        <v>84</v>
      </c>
      <c r="I636" t="s">
        <v>418</v>
      </c>
      <c r="J636" t="s">
        <v>419</v>
      </c>
      <c r="K636">
        <v>-12648.473965990001</v>
      </c>
      <c r="L636" t="s">
        <v>85</v>
      </c>
      <c r="M636" t="s">
        <v>425</v>
      </c>
      <c r="N636">
        <v>2.6170694898000001E-3</v>
      </c>
      <c r="O636">
        <v>33.101934999999997</v>
      </c>
      <c r="P636" t="s">
        <v>421</v>
      </c>
      <c r="Q636">
        <v>1</v>
      </c>
      <c r="V636">
        <v>1</v>
      </c>
      <c r="W636">
        <v>1</v>
      </c>
      <c r="X636">
        <v>1</v>
      </c>
      <c r="Y636">
        <v>1</v>
      </c>
      <c r="Z636">
        <v>33.101934999999997</v>
      </c>
    </row>
    <row r="637" spans="1:26" x14ac:dyDescent="0.25">
      <c r="A637">
        <v>14535</v>
      </c>
      <c r="B637" t="s">
        <v>120</v>
      </c>
      <c r="C637">
        <v>2018</v>
      </c>
      <c r="D637">
        <v>1</v>
      </c>
      <c r="E637" t="s">
        <v>415</v>
      </c>
      <c r="F637" t="s">
        <v>416</v>
      </c>
      <c r="G637" t="s">
        <v>417</v>
      </c>
      <c r="H637" t="s">
        <v>84</v>
      </c>
      <c r="I637" t="s">
        <v>426</v>
      </c>
      <c r="J637" t="s">
        <v>87</v>
      </c>
      <c r="K637">
        <v>-2361.3359233299998</v>
      </c>
      <c r="L637" t="s">
        <v>427</v>
      </c>
      <c r="M637" t="s">
        <v>420</v>
      </c>
      <c r="N637">
        <v>0.45523813654234002</v>
      </c>
      <c r="O637">
        <v>1074.970165</v>
      </c>
      <c r="P637" t="s">
        <v>421</v>
      </c>
      <c r="Q637">
        <v>1</v>
      </c>
      <c r="V637">
        <v>1</v>
      </c>
      <c r="W637">
        <v>1</v>
      </c>
      <c r="X637">
        <v>1</v>
      </c>
      <c r="Y637">
        <v>1</v>
      </c>
      <c r="Z637">
        <v>1074.970165</v>
      </c>
    </row>
    <row r="638" spans="1:26" x14ac:dyDescent="0.25">
      <c r="A638">
        <v>14536</v>
      </c>
      <c r="B638" t="s">
        <v>120</v>
      </c>
      <c r="C638">
        <v>2018</v>
      </c>
      <c r="D638">
        <v>1</v>
      </c>
      <c r="E638" t="s">
        <v>415</v>
      </c>
      <c r="F638" t="s">
        <v>416</v>
      </c>
      <c r="G638" t="s">
        <v>417</v>
      </c>
      <c r="H638" t="s">
        <v>84</v>
      </c>
      <c r="I638" t="s">
        <v>426</v>
      </c>
      <c r="J638" t="s">
        <v>87</v>
      </c>
      <c r="K638">
        <v>-2361.3359233299998</v>
      </c>
      <c r="L638" t="s">
        <v>427</v>
      </c>
      <c r="M638" t="s">
        <v>422</v>
      </c>
      <c r="N638">
        <v>6.8896616392329996E-2</v>
      </c>
      <c r="O638">
        <v>162.68805499999999</v>
      </c>
      <c r="P638" t="s">
        <v>421</v>
      </c>
      <c r="Q638">
        <v>1</v>
      </c>
      <c r="V638">
        <v>1</v>
      </c>
      <c r="W638">
        <v>1</v>
      </c>
      <c r="X638">
        <v>1</v>
      </c>
      <c r="Y638">
        <v>1</v>
      </c>
      <c r="Z638">
        <v>162.68805499999999</v>
      </c>
    </row>
    <row r="639" spans="1:26" x14ac:dyDescent="0.25">
      <c r="A639">
        <v>14537</v>
      </c>
      <c r="B639" t="s">
        <v>120</v>
      </c>
      <c r="C639">
        <v>2018</v>
      </c>
      <c r="D639">
        <v>1</v>
      </c>
      <c r="E639" t="s">
        <v>415</v>
      </c>
      <c r="F639" t="s">
        <v>416</v>
      </c>
      <c r="G639" t="s">
        <v>417</v>
      </c>
      <c r="H639" t="s">
        <v>84</v>
      </c>
      <c r="I639" t="s">
        <v>426</v>
      </c>
      <c r="J639" t="s">
        <v>87</v>
      </c>
      <c r="K639">
        <v>-2361.3359233299998</v>
      </c>
      <c r="L639" t="s">
        <v>427</v>
      </c>
      <c r="M639" t="s">
        <v>423</v>
      </c>
      <c r="N639">
        <v>0.70986919705586005</v>
      </c>
      <c r="O639">
        <v>1676.239636</v>
      </c>
      <c r="P639" t="s">
        <v>421</v>
      </c>
      <c r="Q639">
        <v>1</v>
      </c>
      <c r="V639">
        <v>1</v>
      </c>
      <c r="W639">
        <v>1</v>
      </c>
      <c r="X639">
        <v>1</v>
      </c>
      <c r="Y639">
        <v>1</v>
      </c>
      <c r="Z639">
        <v>1676.239636</v>
      </c>
    </row>
    <row r="640" spans="1:26" x14ac:dyDescent="0.25">
      <c r="A640">
        <v>14538</v>
      </c>
      <c r="B640" t="s">
        <v>120</v>
      </c>
      <c r="C640">
        <v>2018</v>
      </c>
      <c r="D640">
        <v>1</v>
      </c>
      <c r="E640" t="s">
        <v>415</v>
      </c>
      <c r="F640" t="s">
        <v>416</v>
      </c>
      <c r="G640" t="s">
        <v>417</v>
      </c>
      <c r="H640" t="s">
        <v>84</v>
      </c>
      <c r="I640" t="s">
        <v>426</v>
      </c>
      <c r="J640" t="s">
        <v>87</v>
      </c>
      <c r="K640">
        <v>-2361.3359233299998</v>
      </c>
      <c r="L640" t="s">
        <v>427</v>
      </c>
      <c r="M640" t="s">
        <v>425</v>
      </c>
      <c r="N640">
        <v>1.4965642882E-3</v>
      </c>
      <c r="O640">
        <v>3.5338910000000001</v>
      </c>
      <c r="P640" t="s">
        <v>421</v>
      </c>
      <c r="Q640">
        <v>1</v>
      </c>
      <c r="V640">
        <v>1</v>
      </c>
      <c r="W640">
        <v>1</v>
      </c>
      <c r="X640">
        <v>1</v>
      </c>
      <c r="Y640">
        <v>1</v>
      </c>
      <c r="Z640">
        <v>3.5338910000000001</v>
      </c>
    </row>
    <row r="641" spans="1:26" x14ac:dyDescent="0.25">
      <c r="A641">
        <v>14539</v>
      </c>
      <c r="B641" t="s">
        <v>120</v>
      </c>
      <c r="C641">
        <v>2018</v>
      </c>
      <c r="D641">
        <v>1</v>
      </c>
      <c r="E641" t="s">
        <v>415</v>
      </c>
      <c r="F641" t="s">
        <v>416</v>
      </c>
      <c r="G641" t="s">
        <v>417</v>
      </c>
      <c r="H641" t="s">
        <v>84</v>
      </c>
      <c r="I641" t="s">
        <v>428</v>
      </c>
      <c r="J641" t="s">
        <v>59</v>
      </c>
      <c r="K641">
        <v>-5593.0390386899999</v>
      </c>
      <c r="L641" t="s">
        <v>89</v>
      </c>
      <c r="M641" t="s">
        <v>420</v>
      </c>
      <c r="N641">
        <v>0.26343870574139999</v>
      </c>
      <c r="O641">
        <v>1473.4229660000001</v>
      </c>
      <c r="P641" t="s">
        <v>421</v>
      </c>
      <c r="Q641">
        <v>1</v>
      </c>
      <c r="V641">
        <v>1</v>
      </c>
      <c r="W641">
        <v>1</v>
      </c>
      <c r="X641">
        <v>1</v>
      </c>
      <c r="Y641">
        <v>1</v>
      </c>
      <c r="Z641">
        <v>1473.4229660000001</v>
      </c>
    </row>
    <row r="642" spans="1:26" x14ac:dyDescent="0.25">
      <c r="A642">
        <v>14540</v>
      </c>
      <c r="B642" t="s">
        <v>120</v>
      </c>
      <c r="C642">
        <v>2018</v>
      </c>
      <c r="D642">
        <v>1</v>
      </c>
      <c r="E642" t="s">
        <v>415</v>
      </c>
      <c r="F642" t="s">
        <v>416</v>
      </c>
      <c r="G642" t="s">
        <v>417</v>
      </c>
      <c r="H642" t="s">
        <v>84</v>
      </c>
      <c r="I642" t="s">
        <v>428</v>
      </c>
      <c r="J642" t="s">
        <v>59</v>
      </c>
      <c r="K642">
        <v>-5593.0390386899999</v>
      </c>
      <c r="L642" t="s">
        <v>89</v>
      </c>
      <c r="M642" t="s">
        <v>422</v>
      </c>
      <c r="N642">
        <v>7.1262429683470005E-2</v>
      </c>
      <c r="O642">
        <v>398.57355100000001</v>
      </c>
      <c r="P642" t="s">
        <v>421</v>
      </c>
      <c r="Q642">
        <v>1</v>
      </c>
      <c r="V642">
        <v>1</v>
      </c>
      <c r="W642">
        <v>1</v>
      </c>
      <c r="X642">
        <v>1</v>
      </c>
      <c r="Y642">
        <v>1</v>
      </c>
      <c r="Z642">
        <v>398.57355100000001</v>
      </c>
    </row>
    <row r="643" spans="1:26" x14ac:dyDescent="0.25">
      <c r="A643">
        <v>14541</v>
      </c>
      <c r="B643" t="s">
        <v>120</v>
      </c>
      <c r="C643">
        <v>2018</v>
      </c>
      <c r="D643">
        <v>1</v>
      </c>
      <c r="E643" t="s">
        <v>415</v>
      </c>
      <c r="F643" t="s">
        <v>416</v>
      </c>
      <c r="G643" t="s">
        <v>417</v>
      </c>
      <c r="H643" t="s">
        <v>84</v>
      </c>
      <c r="I643" t="s">
        <v>428</v>
      </c>
      <c r="J643" t="s">
        <v>59</v>
      </c>
      <c r="K643">
        <v>-5593.0390386899999</v>
      </c>
      <c r="L643" t="s">
        <v>89</v>
      </c>
      <c r="M643" t="s">
        <v>423</v>
      </c>
      <c r="N643">
        <v>0.74738783869542003</v>
      </c>
      <c r="O643">
        <v>4180.1693590000004</v>
      </c>
      <c r="P643" t="s">
        <v>421</v>
      </c>
      <c r="Q643">
        <v>1</v>
      </c>
      <c r="V643">
        <v>1</v>
      </c>
      <c r="W643">
        <v>1</v>
      </c>
      <c r="X643">
        <v>1</v>
      </c>
      <c r="Y643">
        <v>1</v>
      </c>
      <c r="Z643">
        <v>4180.1693590000004</v>
      </c>
    </row>
    <row r="644" spans="1:26" x14ac:dyDescent="0.25">
      <c r="A644">
        <v>14542</v>
      </c>
      <c r="B644" t="s">
        <v>120</v>
      </c>
      <c r="C644">
        <v>2018</v>
      </c>
      <c r="D644">
        <v>1</v>
      </c>
      <c r="E644" t="s">
        <v>415</v>
      </c>
      <c r="F644" t="s">
        <v>416</v>
      </c>
      <c r="G644" t="s">
        <v>417</v>
      </c>
      <c r="H644" t="s">
        <v>84</v>
      </c>
      <c r="I644" t="s">
        <v>428</v>
      </c>
      <c r="J644" t="s">
        <v>59</v>
      </c>
      <c r="K644">
        <v>-5593.0390386899999</v>
      </c>
      <c r="L644" t="s">
        <v>89</v>
      </c>
      <c r="M644" t="s">
        <v>424</v>
      </c>
      <c r="N644">
        <v>3.08071516317E-3</v>
      </c>
      <c r="O644">
        <v>17.230560000000001</v>
      </c>
      <c r="P644" t="s">
        <v>421</v>
      </c>
      <c r="Q644">
        <v>1</v>
      </c>
      <c r="V644">
        <v>1</v>
      </c>
      <c r="W644">
        <v>1</v>
      </c>
      <c r="X644">
        <v>1</v>
      </c>
      <c r="Y644">
        <v>1</v>
      </c>
      <c r="Z644">
        <v>17.230560000000001</v>
      </c>
    </row>
    <row r="645" spans="1:26" x14ac:dyDescent="0.25">
      <c r="A645">
        <v>14543</v>
      </c>
      <c r="B645" t="s">
        <v>120</v>
      </c>
      <c r="C645">
        <v>2018</v>
      </c>
      <c r="D645">
        <v>1</v>
      </c>
      <c r="E645" t="s">
        <v>415</v>
      </c>
      <c r="F645" t="s">
        <v>416</v>
      </c>
      <c r="G645" t="s">
        <v>417</v>
      </c>
      <c r="H645" t="s">
        <v>84</v>
      </c>
      <c r="I645" t="s">
        <v>428</v>
      </c>
      <c r="J645" t="s">
        <v>59</v>
      </c>
      <c r="K645">
        <v>-5593.0390386899999</v>
      </c>
      <c r="L645" t="s">
        <v>89</v>
      </c>
      <c r="M645" t="s">
        <v>425</v>
      </c>
      <c r="N645">
        <v>2.5360775708E-3</v>
      </c>
      <c r="O645">
        <v>14.184381</v>
      </c>
      <c r="P645" t="s">
        <v>421</v>
      </c>
      <c r="Q645">
        <v>1</v>
      </c>
      <c r="V645">
        <v>1</v>
      </c>
      <c r="W645">
        <v>1</v>
      </c>
      <c r="X645">
        <v>1</v>
      </c>
      <c r="Y645">
        <v>1</v>
      </c>
      <c r="Z645">
        <v>14.184381</v>
      </c>
    </row>
    <row r="646" spans="1:26" x14ac:dyDescent="0.25">
      <c r="A646">
        <v>14544</v>
      </c>
      <c r="B646" t="s">
        <v>120</v>
      </c>
      <c r="C646">
        <v>2018</v>
      </c>
      <c r="D646">
        <v>1</v>
      </c>
      <c r="E646" t="s">
        <v>415</v>
      </c>
      <c r="F646" t="s">
        <v>429</v>
      </c>
      <c r="G646" t="s">
        <v>430</v>
      </c>
      <c r="H646" t="s">
        <v>84</v>
      </c>
      <c r="I646" t="s">
        <v>431</v>
      </c>
      <c r="J646" t="s">
        <v>419</v>
      </c>
      <c r="K646">
        <v>-18528.346512519998</v>
      </c>
      <c r="L646" t="s">
        <v>85</v>
      </c>
      <c r="M646" t="s">
        <v>420</v>
      </c>
      <c r="N646">
        <v>0.24824931095561001</v>
      </c>
      <c r="O646">
        <v>4599.6492550000003</v>
      </c>
      <c r="P646" t="s">
        <v>421</v>
      </c>
      <c r="Q646">
        <v>1</v>
      </c>
      <c r="V646">
        <v>1</v>
      </c>
      <c r="W646">
        <v>1</v>
      </c>
      <c r="X646">
        <v>1</v>
      </c>
      <c r="Y646">
        <v>1</v>
      </c>
      <c r="Z646">
        <v>4599.6492550000003</v>
      </c>
    </row>
    <row r="647" spans="1:26" x14ac:dyDescent="0.25">
      <c r="A647">
        <v>14545</v>
      </c>
      <c r="B647" t="s">
        <v>120</v>
      </c>
      <c r="C647">
        <v>2018</v>
      </c>
      <c r="D647">
        <v>1</v>
      </c>
      <c r="E647" t="s">
        <v>415</v>
      </c>
      <c r="F647" t="s">
        <v>429</v>
      </c>
      <c r="G647" t="s">
        <v>430</v>
      </c>
      <c r="H647" t="s">
        <v>84</v>
      </c>
      <c r="I647" t="s">
        <v>431</v>
      </c>
      <c r="J647" t="s">
        <v>419</v>
      </c>
      <c r="K647">
        <v>-18528.346512519998</v>
      </c>
      <c r="L647" t="s">
        <v>85</v>
      </c>
      <c r="M647" t="s">
        <v>422</v>
      </c>
      <c r="N647">
        <v>7.7540047892240005E-2</v>
      </c>
      <c r="O647">
        <v>1436.6888759999999</v>
      </c>
      <c r="P647" t="s">
        <v>421</v>
      </c>
      <c r="Q647">
        <v>1</v>
      </c>
      <c r="V647">
        <v>1</v>
      </c>
      <c r="W647">
        <v>1</v>
      </c>
      <c r="X647">
        <v>1</v>
      </c>
      <c r="Y647">
        <v>1</v>
      </c>
      <c r="Z647">
        <v>1436.6888759999999</v>
      </c>
    </row>
    <row r="648" spans="1:26" x14ac:dyDescent="0.25">
      <c r="A648">
        <v>14546</v>
      </c>
      <c r="B648" t="s">
        <v>120</v>
      </c>
      <c r="C648">
        <v>2018</v>
      </c>
      <c r="D648">
        <v>1</v>
      </c>
      <c r="E648" t="s">
        <v>415</v>
      </c>
      <c r="F648" t="s">
        <v>429</v>
      </c>
      <c r="G648" t="s">
        <v>430</v>
      </c>
      <c r="H648" t="s">
        <v>84</v>
      </c>
      <c r="I648" t="s">
        <v>431</v>
      </c>
      <c r="J648" t="s">
        <v>419</v>
      </c>
      <c r="K648">
        <v>-18528.346512519998</v>
      </c>
      <c r="L648" t="s">
        <v>85</v>
      </c>
      <c r="M648" t="s">
        <v>423</v>
      </c>
      <c r="N648">
        <v>0.73979703899049998</v>
      </c>
      <c r="O648">
        <v>13707.215887</v>
      </c>
      <c r="P648" t="s">
        <v>421</v>
      </c>
      <c r="Q648">
        <v>1</v>
      </c>
      <c r="V648">
        <v>1</v>
      </c>
      <c r="W648">
        <v>1</v>
      </c>
      <c r="X648">
        <v>1</v>
      </c>
      <c r="Y648">
        <v>1</v>
      </c>
      <c r="Z648">
        <v>13707.215887</v>
      </c>
    </row>
    <row r="649" spans="1:26" x14ac:dyDescent="0.25">
      <c r="A649">
        <v>14547</v>
      </c>
      <c r="B649" t="s">
        <v>120</v>
      </c>
      <c r="C649">
        <v>2018</v>
      </c>
      <c r="D649">
        <v>1</v>
      </c>
      <c r="E649" t="s">
        <v>415</v>
      </c>
      <c r="F649" t="s">
        <v>429</v>
      </c>
      <c r="G649" t="s">
        <v>430</v>
      </c>
      <c r="H649" t="s">
        <v>84</v>
      </c>
      <c r="I649" t="s">
        <v>431</v>
      </c>
      <c r="J649" t="s">
        <v>419</v>
      </c>
      <c r="K649">
        <v>-18528.346512519998</v>
      </c>
      <c r="L649" t="s">
        <v>85</v>
      </c>
      <c r="M649" t="s">
        <v>424</v>
      </c>
      <c r="N649">
        <v>2.9085775596699999E-3</v>
      </c>
      <c r="O649">
        <v>53.891133000000004</v>
      </c>
      <c r="P649" t="s">
        <v>421</v>
      </c>
      <c r="Q649">
        <v>1</v>
      </c>
      <c r="V649">
        <v>1</v>
      </c>
      <c r="W649">
        <v>1</v>
      </c>
      <c r="X649">
        <v>1</v>
      </c>
      <c r="Y649">
        <v>1</v>
      </c>
      <c r="Z649">
        <v>53.891133000000004</v>
      </c>
    </row>
    <row r="650" spans="1:26" x14ac:dyDescent="0.25">
      <c r="A650">
        <v>14548</v>
      </c>
      <c r="B650" t="s">
        <v>120</v>
      </c>
      <c r="C650">
        <v>2018</v>
      </c>
      <c r="D650">
        <v>1</v>
      </c>
      <c r="E650" t="s">
        <v>415</v>
      </c>
      <c r="F650" t="s">
        <v>429</v>
      </c>
      <c r="G650" t="s">
        <v>430</v>
      </c>
      <c r="H650" t="s">
        <v>84</v>
      </c>
      <c r="I650" t="s">
        <v>431</v>
      </c>
      <c r="J650" t="s">
        <v>419</v>
      </c>
      <c r="K650">
        <v>-18528.346512519998</v>
      </c>
      <c r="L650" t="s">
        <v>85</v>
      </c>
      <c r="M650" t="s">
        <v>425</v>
      </c>
      <c r="N650">
        <v>2.6170694898000001E-3</v>
      </c>
      <c r="O650">
        <v>48.48997</v>
      </c>
      <c r="P650" t="s">
        <v>421</v>
      </c>
      <c r="Q650">
        <v>1</v>
      </c>
      <c r="V650">
        <v>1</v>
      </c>
      <c r="W650">
        <v>1</v>
      </c>
      <c r="X650">
        <v>1</v>
      </c>
      <c r="Y650">
        <v>1</v>
      </c>
      <c r="Z650">
        <v>48.48997</v>
      </c>
    </row>
    <row r="651" spans="1:26" x14ac:dyDescent="0.25">
      <c r="A651">
        <v>14549</v>
      </c>
      <c r="B651" t="s">
        <v>120</v>
      </c>
      <c r="C651">
        <v>2018</v>
      </c>
      <c r="D651">
        <v>1</v>
      </c>
      <c r="E651" t="s">
        <v>415</v>
      </c>
      <c r="F651" t="s">
        <v>429</v>
      </c>
      <c r="G651" t="s">
        <v>430</v>
      </c>
      <c r="H651" t="s">
        <v>84</v>
      </c>
      <c r="I651" t="s">
        <v>432</v>
      </c>
      <c r="J651" t="s">
        <v>87</v>
      </c>
      <c r="K651">
        <v>-2874.7735137</v>
      </c>
      <c r="L651" t="s">
        <v>427</v>
      </c>
      <c r="M651" t="s">
        <v>420</v>
      </c>
      <c r="N651">
        <v>0.45523813654234002</v>
      </c>
      <c r="O651">
        <v>1308.706537</v>
      </c>
      <c r="P651" t="s">
        <v>421</v>
      </c>
      <c r="Q651">
        <v>1</v>
      </c>
      <c r="V651">
        <v>1</v>
      </c>
      <c r="W651">
        <v>1</v>
      </c>
      <c r="X651">
        <v>1</v>
      </c>
      <c r="Y651">
        <v>1</v>
      </c>
      <c r="Z651">
        <v>1308.706537</v>
      </c>
    </row>
    <row r="652" spans="1:26" x14ac:dyDescent="0.25">
      <c r="A652">
        <v>14550</v>
      </c>
      <c r="B652" t="s">
        <v>120</v>
      </c>
      <c r="C652">
        <v>2018</v>
      </c>
      <c r="D652">
        <v>1</v>
      </c>
      <c r="E652" t="s">
        <v>415</v>
      </c>
      <c r="F652" t="s">
        <v>429</v>
      </c>
      <c r="G652" t="s">
        <v>430</v>
      </c>
      <c r="H652" t="s">
        <v>84</v>
      </c>
      <c r="I652" t="s">
        <v>432</v>
      </c>
      <c r="J652" t="s">
        <v>87</v>
      </c>
      <c r="K652">
        <v>-2874.7735137</v>
      </c>
      <c r="L652" t="s">
        <v>427</v>
      </c>
      <c r="M652" t="s">
        <v>422</v>
      </c>
      <c r="N652">
        <v>6.8896616392329996E-2</v>
      </c>
      <c r="O652">
        <v>198.06216800000001</v>
      </c>
      <c r="P652" t="s">
        <v>421</v>
      </c>
      <c r="Q652">
        <v>1</v>
      </c>
      <c r="V652">
        <v>1</v>
      </c>
      <c r="W652">
        <v>1</v>
      </c>
      <c r="X652">
        <v>1</v>
      </c>
      <c r="Y652">
        <v>1</v>
      </c>
      <c r="Z652">
        <v>198.06216800000001</v>
      </c>
    </row>
    <row r="653" spans="1:26" x14ac:dyDescent="0.25">
      <c r="A653">
        <v>14551</v>
      </c>
      <c r="B653" t="s">
        <v>120</v>
      </c>
      <c r="C653">
        <v>2018</v>
      </c>
      <c r="D653">
        <v>1</v>
      </c>
      <c r="E653" t="s">
        <v>415</v>
      </c>
      <c r="F653" t="s">
        <v>429</v>
      </c>
      <c r="G653" t="s">
        <v>430</v>
      </c>
      <c r="H653" t="s">
        <v>84</v>
      </c>
      <c r="I653" t="s">
        <v>432</v>
      </c>
      <c r="J653" t="s">
        <v>87</v>
      </c>
      <c r="K653">
        <v>-2874.7735137</v>
      </c>
      <c r="L653" t="s">
        <v>427</v>
      </c>
      <c r="M653" t="s">
        <v>423</v>
      </c>
      <c r="N653">
        <v>0.70986919705586005</v>
      </c>
      <c r="O653">
        <v>2040.713166</v>
      </c>
      <c r="P653" t="s">
        <v>421</v>
      </c>
      <c r="Q653">
        <v>1</v>
      </c>
      <c r="V653">
        <v>1</v>
      </c>
      <c r="W653">
        <v>1</v>
      </c>
      <c r="X653">
        <v>1</v>
      </c>
      <c r="Y653">
        <v>1</v>
      </c>
      <c r="Z653">
        <v>2040.713166</v>
      </c>
    </row>
    <row r="654" spans="1:26" x14ac:dyDescent="0.25">
      <c r="A654">
        <v>14552</v>
      </c>
      <c r="B654" t="s">
        <v>120</v>
      </c>
      <c r="C654">
        <v>2018</v>
      </c>
      <c r="D654">
        <v>1</v>
      </c>
      <c r="E654" t="s">
        <v>415</v>
      </c>
      <c r="F654" t="s">
        <v>429</v>
      </c>
      <c r="G654" t="s">
        <v>430</v>
      </c>
      <c r="H654" t="s">
        <v>84</v>
      </c>
      <c r="I654" t="s">
        <v>432</v>
      </c>
      <c r="J654" t="s">
        <v>87</v>
      </c>
      <c r="K654">
        <v>-2874.7735137</v>
      </c>
      <c r="L654" t="s">
        <v>427</v>
      </c>
      <c r="M654" t="s">
        <v>425</v>
      </c>
      <c r="N654">
        <v>1.4965642882E-3</v>
      </c>
      <c r="O654">
        <v>4.3022830000000001</v>
      </c>
      <c r="P654" t="s">
        <v>421</v>
      </c>
      <c r="Q654">
        <v>1</v>
      </c>
      <c r="V654">
        <v>1</v>
      </c>
      <c r="W654">
        <v>1</v>
      </c>
      <c r="X654">
        <v>1</v>
      </c>
      <c r="Y654">
        <v>1</v>
      </c>
      <c r="Z654">
        <v>4.3022830000000001</v>
      </c>
    </row>
    <row r="655" spans="1:26" x14ac:dyDescent="0.25">
      <c r="A655">
        <v>14553</v>
      </c>
      <c r="B655" t="s">
        <v>120</v>
      </c>
      <c r="C655">
        <v>2018</v>
      </c>
      <c r="D655">
        <v>1</v>
      </c>
      <c r="E655" t="s">
        <v>415</v>
      </c>
      <c r="F655" t="s">
        <v>429</v>
      </c>
      <c r="G655" t="s">
        <v>430</v>
      </c>
      <c r="H655" t="s">
        <v>84</v>
      </c>
      <c r="I655" t="s">
        <v>433</v>
      </c>
      <c r="J655" t="s">
        <v>59</v>
      </c>
      <c r="K655">
        <v>-6915.3530321899998</v>
      </c>
      <c r="L655" t="s">
        <v>89</v>
      </c>
      <c r="M655" t="s">
        <v>420</v>
      </c>
      <c r="N655">
        <v>0.26343870574139999</v>
      </c>
      <c r="O655">
        <v>1821.771653</v>
      </c>
      <c r="P655" t="s">
        <v>421</v>
      </c>
      <c r="Q655">
        <v>1</v>
      </c>
      <c r="V655">
        <v>1</v>
      </c>
      <c r="W655">
        <v>1</v>
      </c>
      <c r="X655">
        <v>1</v>
      </c>
      <c r="Y655">
        <v>1</v>
      </c>
      <c r="Z655">
        <v>1821.771653</v>
      </c>
    </row>
    <row r="656" spans="1:26" x14ac:dyDescent="0.25">
      <c r="A656">
        <v>14554</v>
      </c>
      <c r="B656" t="s">
        <v>120</v>
      </c>
      <c r="C656">
        <v>2018</v>
      </c>
      <c r="D656">
        <v>1</v>
      </c>
      <c r="E656" t="s">
        <v>415</v>
      </c>
      <c r="F656" t="s">
        <v>429</v>
      </c>
      <c r="G656" t="s">
        <v>430</v>
      </c>
      <c r="H656" t="s">
        <v>84</v>
      </c>
      <c r="I656" t="s">
        <v>433</v>
      </c>
      <c r="J656" t="s">
        <v>59</v>
      </c>
      <c r="K656">
        <v>-6915.3530321899998</v>
      </c>
      <c r="L656" t="s">
        <v>89</v>
      </c>
      <c r="M656" t="s">
        <v>422</v>
      </c>
      <c r="N656">
        <v>7.1262429683470005E-2</v>
      </c>
      <c r="O656">
        <v>492.80485900000002</v>
      </c>
      <c r="P656" t="s">
        <v>421</v>
      </c>
      <c r="Q656">
        <v>1</v>
      </c>
      <c r="V656">
        <v>1</v>
      </c>
      <c r="W656">
        <v>1</v>
      </c>
      <c r="X656">
        <v>1</v>
      </c>
      <c r="Y656">
        <v>1</v>
      </c>
      <c r="Z656">
        <v>492.80485900000002</v>
      </c>
    </row>
    <row r="657" spans="1:26" x14ac:dyDescent="0.25">
      <c r="A657">
        <v>14555</v>
      </c>
      <c r="B657" t="s">
        <v>120</v>
      </c>
      <c r="C657">
        <v>2018</v>
      </c>
      <c r="D657">
        <v>1</v>
      </c>
      <c r="E657" t="s">
        <v>415</v>
      </c>
      <c r="F657" t="s">
        <v>429</v>
      </c>
      <c r="G657" t="s">
        <v>430</v>
      </c>
      <c r="H657" t="s">
        <v>84</v>
      </c>
      <c r="I657" t="s">
        <v>433</v>
      </c>
      <c r="J657" t="s">
        <v>59</v>
      </c>
      <c r="K657">
        <v>-6915.3530321899998</v>
      </c>
      <c r="L657" t="s">
        <v>89</v>
      </c>
      <c r="M657" t="s">
        <v>423</v>
      </c>
      <c r="N657">
        <v>0.74738783869542003</v>
      </c>
      <c r="O657">
        <v>5168.4507569999996</v>
      </c>
      <c r="P657" t="s">
        <v>421</v>
      </c>
      <c r="Q657">
        <v>1</v>
      </c>
      <c r="V657">
        <v>1</v>
      </c>
      <c r="W657">
        <v>1</v>
      </c>
      <c r="X657">
        <v>1</v>
      </c>
      <c r="Y657">
        <v>1</v>
      </c>
      <c r="Z657">
        <v>5168.4507569999996</v>
      </c>
    </row>
    <row r="658" spans="1:26" x14ac:dyDescent="0.25">
      <c r="A658">
        <v>14556</v>
      </c>
      <c r="B658" t="s">
        <v>120</v>
      </c>
      <c r="C658">
        <v>2018</v>
      </c>
      <c r="D658">
        <v>1</v>
      </c>
      <c r="E658" t="s">
        <v>415</v>
      </c>
      <c r="F658" t="s">
        <v>429</v>
      </c>
      <c r="G658" t="s">
        <v>430</v>
      </c>
      <c r="H658" t="s">
        <v>84</v>
      </c>
      <c r="I658" t="s">
        <v>433</v>
      </c>
      <c r="J658" t="s">
        <v>59</v>
      </c>
      <c r="K658">
        <v>-6915.3530321899998</v>
      </c>
      <c r="L658" t="s">
        <v>89</v>
      </c>
      <c r="M658" t="s">
        <v>424</v>
      </c>
      <c r="N658">
        <v>3.08071516317E-3</v>
      </c>
      <c r="O658">
        <v>21.304233</v>
      </c>
      <c r="P658" t="s">
        <v>421</v>
      </c>
      <c r="Q658">
        <v>1</v>
      </c>
      <c r="V658">
        <v>1</v>
      </c>
      <c r="W658">
        <v>1</v>
      </c>
      <c r="X658">
        <v>1</v>
      </c>
      <c r="Y658">
        <v>1</v>
      </c>
      <c r="Z658">
        <v>21.304233</v>
      </c>
    </row>
    <row r="659" spans="1:26" x14ac:dyDescent="0.25">
      <c r="A659">
        <v>14557</v>
      </c>
      <c r="B659" t="s">
        <v>120</v>
      </c>
      <c r="C659">
        <v>2018</v>
      </c>
      <c r="D659">
        <v>1</v>
      </c>
      <c r="E659" t="s">
        <v>415</v>
      </c>
      <c r="F659" t="s">
        <v>429</v>
      </c>
      <c r="G659" t="s">
        <v>430</v>
      </c>
      <c r="H659" t="s">
        <v>84</v>
      </c>
      <c r="I659" t="s">
        <v>433</v>
      </c>
      <c r="J659" t="s">
        <v>59</v>
      </c>
      <c r="K659">
        <v>-6915.3530321899998</v>
      </c>
      <c r="L659" t="s">
        <v>89</v>
      </c>
      <c r="M659" t="s">
        <v>425</v>
      </c>
      <c r="N659">
        <v>2.5360775708E-3</v>
      </c>
      <c r="O659">
        <v>17.537872</v>
      </c>
      <c r="P659" t="s">
        <v>421</v>
      </c>
      <c r="Q659">
        <v>1</v>
      </c>
      <c r="V659">
        <v>1</v>
      </c>
      <c r="W659">
        <v>1</v>
      </c>
      <c r="X659">
        <v>1</v>
      </c>
      <c r="Y659">
        <v>1</v>
      </c>
      <c r="Z659">
        <v>17.537872</v>
      </c>
    </row>
    <row r="660" spans="1:26" x14ac:dyDescent="0.25">
      <c r="A660">
        <v>14558</v>
      </c>
      <c r="B660" t="s">
        <v>120</v>
      </c>
      <c r="C660">
        <v>2018</v>
      </c>
      <c r="D660">
        <v>1</v>
      </c>
      <c r="E660" t="s">
        <v>415</v>
      </c>
      <c r="F660" t="s">
        <v>434</v>
      </c>
      <c r="G660" t="s">
        <v>435</v>
      </c>
      <c r="H660" t="s">
        <v>84</v>
      </c>
      <c r="I660" t="s">
        <v>436</v>
      </c>
      <c r="J660" t="s">
        <v>419</v>
      </c>
      <c r="K660">
        <v>-6629.3883360099999</v>
      </c>
      <c r="L660" t="s">
        <v>85</v>
      </c>
      <c r="M660" t="s">
        <v>420</v>
      </c>
      <c r="N660">
        <v>0.24824931095561001</v>
      </c>
      <c r="O660">
        <v>1645.741086</v>
      </c>
      <c r="P660" t="s">
        <v>421</v>
      </c>
      <c r="Q660">
        <v>1</v>
      </c>
      <c r="V660">
        <v>1</v>
      </c>
      <c r="W660">
        <v>1</v>
      </c>
      <c r="X660">
        <v>1</v>
      </c>
      <c r="Y660">
        <v>1</v>
      </c>
      <c r="Z660">
        <v>1645.741086</v>
      </c>
    </row>
    <row r="661" spans="1:26" x14ac:dyDescent="0.25">
      <c r="A661">
        <v>14559</v>
      </c>
      <c r="B661" t="s">
        <v>120</v>
      </c>
      <c r="C661">
        <v>2018</v>
      </c>
      <c r="D661">
        <v>1</v>
      </c>
      <c r="E661" t="s">
        <v>415</v>
      </c>
      <c r="F661" t="s">
        <v>434</v>
      </c>
      <c r="G661" t="s">
        <v>435</v>
      </c>
      <c r="H661" t="s">
        <v>84</v>
      </c>
      <c r="I661" t="s">
        <v>436</v>
      </c>
      <c r="J661" t="s">
        <v>419</v>
      </c>
      <c r="K661">
        <v>-6629.3883360099999</v>
      </c>
      <c r="L661" t="s">
        <v>85</v>
      </c>
      <c r="M661" t="s">
        <v>422</v>
      </c>
      <c r="N661">
        <v>7.7540047892240005E-2</v>
      </c>
      <c r="O661">
        <v>514.04308900000001</v>
      </c>
      <c r="P661" t="s">
        <v>421</v>
      </c>
      <c r="Q661">
        <v>1</v>
      </c>
      <c r="V661">
        <v>1</v>
      </c>
      <c r="W661">
        <v>1</v>
      </c>
      <c r="X661">
        <v>1</v>
      </c>
      <c r="Y661">
        <v>1</v>
      </c>
      <c r="Z661">
        <v>514.04308900000001</v>
      </c>
    </row>
    <row r="662" spans="1:26" x14ac:dyDescent="0.25">
      <c r="A662">
        <v>14560</v>
      </c>
      <c r="B662" t="s">
        <v>120</v>
      </c>
      <c r="C662">
        <v>2018</v>
      </c>
      <c r="D662">
        <v>1</v>
      </c>
      <c r="E662" t="s">
        <v>415</v>
      </c>
      <c r="F662" t="s">
        <v>434</v>
      </c>
      <c r="G662" t="s">
        <v>435</v>
      </c>
      <c r="H662" t="s">
        <v>84</v>
      </c>
      <c r="I662" t="s">
        <v>436</v>
      </c>
      <c r="J662" t="s">
        <v>419</v>
      </c>
      <c r="K662">
        <v>-6629.3883360099999</v>
      </c>
      <c r="L662" t="s">
        <v>85</v>
      </c>
      <c r="M662" t="s">
        <v>423</v>
      </c>
      <c r="N662">
        <v>0.73979703899049998</v>
      </c>
      <c r="O662">
        <v>4904.4018610000003</v>
      </c>
      <c r="P662" t="s">
        <v>421</v>
      </c>
      <c r="Q662">
        <v>1</v>
      </c>
      <c r="V662">
        <v>1</v>
      </c>
      <c r="W662">
        <v>1</v>
      </c>
      <c r="X662">
        <v>1</v>
      </c>
      <c r="Y662">
        <v>1</v>
      </c>
      <c r="Z662">
        <v>4904.4018610000003</v>
      </c>
    </row>
    <row r="663" spans="1:26" x14ac:dyDescent="0.25">
      <c r="A663">
        <v>14561</v>
      </c>
      <c r="B663" t="s">
        <v>120</v>
      </c>
      <c r="C663">
        <v>2018</v>
      </c>
      <c r="D663">
        <v>1</v>
      </c>
      <c r="E663" t="s">
        <v>415</v>
      </c>
      <c r="F663" t="s">
        <v>434</v>
      </c>
      <c r="G663" t="s">
        <v>435</v>
      </c>
      <c r="H663" t="s">
        <v>84</v>
      </c>
      <c r="I663" t="s">
        <v>436</v>
      </c>
      <c r="J663" t="s">
        <v>419</v>
      </c>
      <c r="K663">
        <v>-6629.3883360099999</v>
      </c>
      <c r="L663" t="s">
        <v>85</v>
      </c>
      <c r="M663" t="s">
        <v>424</v>
      </c>
      <c r="N663">
        <v>2.9085775596699999E-3</v>
      </c>
      <c r="O663">
        <v>19.28209</v>
      </c>
      <c r="P663" t="s">
        <v>421</v>
      </c>
      <c r="Q663">
        <v>1</v>
      </c>
      <c r="V663">
        <v>1</v>
      </c>
      <c r="W663">
        <v>1</v>
      </c>
      <c r="X663">
        <v>1</v>
      </c>
      <c r="Y663">
        <v>1</v>
      </c>
      <c r="Z663">
        <v>19.28209</v>
      </c>
    </row>
    <row r="664" spans="1:26" x14ac:dyDescent="0.25">
      <c r="A664">
        <v>14562</v>
      </c>
      <c r="B664" t="s">
        <v>120</v>
      </c>
      <c r="C664">
        <v>2018</v>
      </c>
      <c r="D664">
        <v>1</v>
      </c>
      <c r="E664" t="s">
        <v>415</v>
      </c>
      <c r="F664" t="s">
        <v>434</v>
      </c>
      <c r="G664" t="s">
        <v>435</v>
      </c>
      <c r="H664" t="s">
        <v>84</v>
      </c>
      <c r="I664" t="s">
        <v>436</v>
      </c>
      <c r="J664" t="s">
        <v>419</v>
      </c>
      <c r="K664">
        <v>-6629.3883360099999</v>
      </c>
      <c r="L664" t="s">
        <v>85</v>
      </c>
      <c r="M664" t="s">
        <v>425</v>
      </c>
      <c r="N664">
        <v>2.6170694898000001E-3</v>
      </c>
      <c r="O664">
        <v>17.34957</v>
      </c>
      <c r="P664" t="s">
        <v>421</v>
      </c>
      <c r="Q664">
        <v>1</v>
      </c>
      <c r="V664">
        <v>1</v>
      </c>
      <c r="W664">
        <v>1</v>
      </c>
      <c r="X664">
        <v>1</v>
      </c>
      <c r="Y664">
        <v>1</v>
      </c>
      <c r="Z664">
        <v>17.34957</v>
      </c>
    </row>
    <row r="665" spans="1:26" x14ac:dyDescent="0.25">
      <c r="A665">
        <v>14563</v>
      </c>
      <c r="B665" t="s">
        <v>120</v>
      </c>
      <c r="C665">
        <v>2018</v>
      </c>
      <c r="D665">
        <v>1</v>
      </c>
      <c r="E665" t="s">
        <v>415</v>
      </c>
      <c r="F665" t="s">
        <v>434</v>
      </c>
      <c r="G665" t="s">
        <v>435</v>
      </c>
      <c r="H665" t="s">
        <v>84</v>
      </c>
      <c r="I665" t="s">
        <v>437</v>
      </c>
      <c r="J665" t="s">
        <v>87</v>
      </c>
      <c r="K665">
        <v>-1293.4637284400001</v>
      </c>
      <c r="L665" t="s">
        <v>427</v>
      </c>
      <c r="M665" t="s">
        <v>420</v>
      </c>
      <c r="N665">
        <v>0.45523813654234002</v>
      </c>
      <c r="O665">
        <v>588.83401700000002</v>
      </c>
      <c r="P665" t="s">
        <v>421</v>
      </c>
      <c r="Q665">
        <v>1</v>
      </c>
      <c r="V665">
        <v>1</v>
      </c>
      <c r="W665">
        <v>1</v>
      </c>
      <c r="X665">
        <v>1</v>
      </c>
      <c r="Y665">
        <v>1</v>
      </c>
      <c r="Z665">
        <v>588.83401700000002</v>
      </c>
    </row>
    <row r="666" spans="1:26" x14ac:dyDescent="0.25">
      <c r="A666">
        <v>14564</v>
      </c>
      <c r="B666" t="s">
        <v>120</v>
      </c>
      <c r="C666">
        <v>2018</v>
      </c>
      <c r="D666">
        <v>1</v>
      </c>
      <c r="E666" t="s">
        <v>415</v>
      </c>
      <c r="F666" t="s">
        <v>434</v>
      </c>
      <c r="G666" t="s">
        <v>435</v>
      </c>
      <c r="H666" t="s">
        <v>84</v>
      </c>
      <c r="I666" t="s">
        <v>437</v>
      </c>
      <c r="J666" t="s">
        <v>87</v>
      </c>
      <c r="K666">
        <v>-1293.4637284400001</v>
      </c>
      <c r="L666" t="s">
        <v>427</v>
      </c>
      <c r="M666" t="s">
        <v>422</v>
      </c>
      <c r="N666">
        <v>6.8896616392329996E-2</v>
      </c>
      <c r="O666">
        <v>89.115273999999999</v>
      </c>
      <c r="P666" t="s">
        <v>421</v>
      </c>
      <c r="Q666">
        <v>1</v>
      </c>
      <c r="V666">
        <v>1</v>
      </c>
      <c r="W666">
        <v>1</v>
      </c>
      <c r="X666">
        <v>1</v>
      </c>
      <c r="Y666">
        <v>1</v>
      </c>
      <c r="Z666">
        <v>89.115273999999999</v>
      </c>
    </row>
    <row r="667" spans="1:26" x14ac:dyDescent="0.25">
      <c r="A667">
        <v>14565</v>
      </c>
      <c r="B667" t="s">
        <v>120</v>
      </c>
      <c r="C667">
        <v>2018</v>
      </c>
      <c r="D667">
        <v>1</v>
      </c>
      <c r="E667" t="s">
        <v>415</v>
      </c>
      <c r="F667" t="s">
        <v>434</v>
      </c>
      <c r="G667" t="s">
        <v>435</v>
      </c>
      <c r="H667" t="s">
        <v>84</v>
      </c>
      <c r="I667" t="s">
        <v>437</v>
      </c>
      <c r="J667" t="s">
        <v>87</v>
      </c>
      <c r="K667">
        <v>-1293.4637284400001</v>
      </c>
      <c r="L667" t="s">
        <v>427</v>
      </c>
      <c r="M667" t="s">
        <v>423</v>
      </c>
      <c r="N667">
        <v>0.70986919705586005</v>
      </c>
      <c r="O667">
        <v>918.19005800000002</v>
      </c>
      <c r="P667" t="s">
        <v>421</v>
      </c>
      <c r="Q667">
        <v>1</v>
      </c>
      <c r="V667">
        <v>1</v>
      </c>
      <c r="W667">
        <v>1</v>
      </c>
      <c r="X667">
        <v>1</v>
      </c>
      <c r="Y667">
        <v>1</v>
      </c>
      <c r="Z667">
        <v>918.19005800000002</v>
      </c>
    </row>
    <row r="668" spans="1:26" x14ac:dyDescent="0.25">
      <c r="A668">
        <v>14566</v>
      </c>
      <c r="B668" t="s">
        <v>120</v>
      </c>
      <c r="C668">
        <v>2018</v>
      </c>
      <c r="D668">
        <v>1</v>
      </c>
      <c r="E668" t="s">
        <v>415</v>
      </c>
      <c r="F668" t="s">
        <v>434</v>
      </c>
      <c r="G668" t="s">
        <v>435</v>
      </c>
      <c r="H668" t="s">
        <v>84</v>
      </c>
      <c r="I668" t="s">
        <v>437</v>
      </c>
      <c r="J668" t="s">
        <v>87</v>
      </c>
      <c r="K668">
        <v>-1293.4637284400001</v>
      </c>
      <c r="L668" t="s">
        <v>427</v>
      </c>
      <c r="M668" t="s">
        <v>425</v>
      </c>
      <c r="N668">
        <v>1.4965642882E-3</v>
      </c>
      <c r="O668">
        <v>1.9357519999999999</v>
      </c>
      <c r="P668" t="s">
        <v>421</v>
      </c>
      <c r="Q668">
        <v>1</v>
      </c>
      <c r="V668">
        <v>1</v>
      </c>
      <c r="W668">
        <v>1</v>
      </c>
      <c r="X668">
        <v>1</v>
      </c>
      <c r="Y668">
        <v>1</v>
      </c>
      <c r="Z668">
        <v>1.9357519999999999</v>
      </c>
    </row>
    <row r="669" spans="1:26" x14ac:dyDescent="0.25">
      <c r="A669">
        <v>14567</v>
      </c>
      <c r="B669" t="s">
        <v>120</v>
      </c>
      <c r="C669">
        <v>2018</v>
      </c>
      <c r="D669">
        <v>1</v>
      </c>
      <c r="E669" t="s">
        <v>415</v>
      </c>
      <c r="F669" t="s">
        <v>434</v>
      </c>
      <c r="G669" t="s">
        <v>435</v>
      </c>
      <c r="H669" t="s">
        <v>84</v>
      </c>
      <c r="I669" t="s">
        <v>438</v>
      </c>
      <c r="J669" t="s">
        <v>59</v>
      </c>
      <c r="K669">
        <v>-3490.70336309</v>
      </c>
      <c r="L669" t="s">
        <v>89</v>
      </c>
      <c r="M669" t="s">
        <v>420</v>
      </c>
      <c r="N669">
        <v>0.26343870574139999</v>
      </c>
      <c r="O669">
        <v>919.58637599999997</v>
      </c>
      <c r="P669" t="s">
        <v>421</v>
      </c>
      <c r="Q669">
        <v>1</v>
      </c>
      <c r="V669">
        <v>1</v>
      </c>
      <c r="W669">
        <v>1</v>
      </c>
      <c r="X669">
        <v>1</v>
      </c>
      <c r="Y669">
        <v>1</v>
      </c>
      <c r="Z669">
        <v>919.58637599999997</v>
      </c>
    </row>
    <row r="670" spans="1:26" x14ac:dyDescent="0.25">
      <c r="A670">
        <v>14568</v>
      </c>
      <c r="B670" t="s">
        <v>120</v>
      </c>
      <c r="C670">
        <v>2018</v>
      </c>
      <c r="D670">
        <v>1</v>
      </c>
      <c r="E670" t="s">
        <v>415</v>
      </c>
      <c r="F670" t="s">
        <v>434</v>
      </c>
      <c r="G670" t="s">
        <v>435</v>
      </c>
      <c r="H670" t="s">
        <v>84</v>
      </c>
      <c r="I670" t="s">
        <v>438</v>
      </c>
      <c r="J670" t="s">
        <v>59</v>
      </c>
      <c r="K670">
        <v>-3490.70336309</v>
      </c>
      <c r="L670" t="s">
        <v>89</v>
      </c>
      <c r="M670" t="s">
        <v>422</v>
      </c>
      <c r="N670">
        <v>7.1262429683470005E-2</v>
      </c>
      <c r="O670">
        <v>248.75600299999999</v>
      </c>
      <c r="P670" t="s">
        <v>421</v>
      </c>
      <c r="Q670">
        <v>1</v>
      </c>
      <c r="V670">
        <v>1</v>
      </c>
      <c r="W670">
        <v>1</v>
      </c>
      <c r="X670">
        <v>1</v>
      </c>
      <c r="Y670">
        <v>1</v>
      </c>
      <c r="Z670">
        <v>248.75600299999999</v>
      </c>
    </row>
    <row r="671" spans="1:26" x14ac:dyDescent="0.25">
      <c r="A671">
        <v>14569</v>
      </c>
      <c r="B671" t="s">
        <v>120</v>
      </c>
      <c r="C671">
        <v>2018</v>
      </c>
      <c r="D671">
        <v>1</v>
      </c>
      <c r="E671" t="s">
        <v>415</v>
      </c>
      <c r="F671" t="s">
        <v>434</v>
      </c>
      <c r="G671" t="s">
        <v>435</v>
      </c>
      <c r="H671" t="s">
        <v>84</v>
      </c>
      <c r="I671" t="s">
        <v>438</v>
      </c>
      <c r="J671" t="s">
        <v>59</v>
      </c>
      <c r="K671">
        <v>-3490.70336309</v>
      </c>
      <c r="L671" t="s">
        <v>89</v>
      </c>
      <c r="M671" t="s">
        <v>423</v>
      </c>
      <c r="N671">
        <v>0.74738783869542003</v>
      </c>
      <c r="O671">
        <v>2608.9092420000002</v>
      </c>
      <c r="P671" t="s">
        <v>421</v>
      </c>
      <c r="Q671">
        <v>1</v>
      </c>
      <c r="V671">
        <v>1</v>
      </c>
      <c r="W671">
        <v>1</v>
      </c>
      <c r="X671">
        <v>1</v>
      </c>
      <c r="Y671">
        <v>1</v>
      </c>
      <c r="Z671">
        <v>2608.9092420000002</v>
      </c>
    </row>
    <row r="672" spans="1:26" x14ac:dyDescent="0.25">
      <c r="A672">
        <v>14570</v>
      </c>
      <c r="B672" t="s">
        <v>120</v>
      </c>
      <c r="C672">
        <v>2018</v>
      </c>
      <c r="D672">
        <v>1</v>
      </c>
      <c r="E672" t="s">
        <v>415</v>
      </c>
      <c r="F672" t="s">
        <v>434</v>
      </c>
      <c r="G672" t="s">
        <v>435</v>
      </c>
      <c r="H672" t="s">
        <v>84</v>
      </c>
      <c r="I672" t="s">
        <v>438</v>
      </c>
      <c r="J672" t="s">
        <v>59</v>
      </c>
      <c r="K672">
        <v>-3490.70336309</v>
      </c>
      <c r="L672" t="s">
        <v>89</v>
      </c>
      <c r="M672" t="s">
        <v>424</v>
      </c>
      <c r="N672">
        <v>3.08071516317E-3</v>
      </c>
      <c r="O672">
        <v>10.753863000000001</v>
      </c>
      <c r="P672" t="s">
        <v>421</v>
      </c>
      <c r="Q672">
        <v>1</v>
      </c>
      <c r="V672">
        <v>1</v>
      </c>
      <c r="W672">
        <v>1</v>
      </c>
      <c r="X672">
        <v>1</v>
      </c>
      <c r="Y672">
        <v>1</v>
      </c>
      <c r="Z672">
        <v>10.753863000000001</v>
      </c>
    </row>
    <row r="673" spans="1:26" x14ac:dyDescent="0.25">
      <c r="A673">
        <v>14571</v>
      </c>
      <c r="B673" t="s">
        <v>120</v>
      </c>
      <c r="C673">
        <v>2018</v>
      </c>
      <c r="D673">
        <v>1</v>
      </c>
      <c r="E673" t="s">
        <v>415</v>
      </c>
      <c r="F673" t="s">
        <v>434</v>
      </c>
      <c r="G673" t="s">
        <v>435</v>
      </c>
      <c r="H673" t="s">
        <v>84</v>
      </c>
      <c r="I673" t="s">
        <v>438</v>
      </c>
      <c r="J673" t="s">
        <v>59</v>
      </c>
      <c r="K673">
        <v>-3490.70336309</v>
      </c>
      <c r="L673" t="s">
        <v>89</v>
      </c>
      <c r="M673" t="s">
        <v>425</v>
      </c>
      <c r="N673">
        <v>2.5360775708E-3</v>
      </c>
      <c r="O673">
        <v>8.8526950000000006</v>
      </c>
      <c r="P673" t="s">
        <v>421</v>
      </c>
      <c r="Q673">
        <v>1</v>
      </c>
      <c r="V673">
        <v>1</v>
      </c>
      <c r="W673">
        <v>1</v>
      </c>
      <c r="X673">
        <v>1</v>
      </c>
      <c r="Y673">
        <v>1</v>
      </c>
      <c r="Z673">
        <v>8.8526950000000006</v>
      </c>
    </row>
    <row r="674" spans="1:26" x14ac:dyDescent="0.25">
      <c r="A674">
        <v>68335</v>
      </c>
      <c r="B674" t="s">
        <v>152</v>
      </c>
      <c r="C674">
        <v>2019</v>
      </c>
      <c r="D674">
        <v>1</v>
      </c>
      <c r="E674" t="s">
        <v>415</v>
      </c>
      <c r="F674" t="s">
        <v>416</v>
      </c>
      <c r="G674" t="s">
        <v>417</v>
      </c>
      <c r="H674" t="s">
        <v>84</v>
      </c>
      <c r="I674" t="s">
        <v>418</v>
      </c>
      <c r="J674" t="s">
        <v>419</v>
      </c>
      <c r="K674">
        <v>-20377.458082190002</v>
      </c>
      <c r="L674" t="s">
        <v>85</v>
      </c>
      <c r="M674" t="s">
        <v>420</v>
      </c>
      <c r="N674">
        <v>0.24824931095561001</v>
      </c>
      <c r="O674">
        <v>5058.6899279999998</v>
      </c>
      <c r="P674" t="s">
        <v>421</v>
      </c>
      <c r="Q674">
        <v>1</v>
      </c>
      <c r="V674">
        <v>1</v>
      </c>
      <c r="W674">
        <v>1</v>
      </c>
      <c r="X674">
        <v>1</v>
      </c>
      <c r="Y674">
        <v>1</v>
      </c>
      <c r="Z674">
        <v>5058.6899279999998</v>
      </c>
    </row>
    <row r="675" spans="1:26" x14ac:dyDescent="0.25">
      <c r="A675">
        <v>68336</v>
      </c>
      <c r="B675" t="s">
        <v>152</v>
      </c>
      <c r="C675">
        <v>2019</v>
      </c>
      <c r="D675">
        <v>1</v>
      </c>
      <c r="E675" t="s">
        <v>415</v>
      </c>
      <c r="F675" t="s">
        <v>416</v>
      </c>
      <c r="G675" t="s">
        <v>417</v>
      </c>
      <c r="H675" t="s">
        <v>84</v>
      </c>
      <c r="I675" t="s">
        <v>418</v>
      </c>
      <c r="J675" t="s">
        <v>419</v>
      </c>
      <c r="K675">
        <v>-20377.458082190002</v>
      </c>
      <c r="L675" t="s">
        <v>85</v>
      </c>
      <c r="M675" t="s">
        <v>422</v>
      </c>
      <c r="N675">
        <v>7.7540047892240005E-2</v>
      </c>
      <c r="O675">
        <v>1580.069076</v>
      </c>
      <c r="P675" t="s">
        <v>421</v>
      </c>
      <c r="Q675">
        <v>1</v>
      </c>
      <c r="V675">
        <v>1</v>
      </c>
      <c r="W675">
        <v>1</v>
      </c>
      <c r="X675">
        <v>1</v>
      </c>
      <c r="Y675">
        <v>1</v>
      </c>
      <c r="Z675">
        <v>1580.069076</v>
      </c>
    </row>
    <row r="676" spans="1:26" x14ac:dyDescent="0.25">
      <c r="A676">
        <v>68337</v>
      </c>
      <c r="B676" t="s">
        <v>152</v>
      </c>
      <c r="C676">
        <v>2019</v>
      </c>
      <c r="D676">
        <v>1</v>
      </c>
      <c r="E676" t="s">
        <v>415</v>
      </c>
      <c r="F676" t="s">
        <v>416</v>
      </c>
      <c r="G676" t="s">
        <v>417</v>
      </c>
      <c r="H676" t="s">
        <v>84</v>
      </c>
      <c r="I676" t="s">
        <v>418</v>
      </c>
      <c r="J676" t="s">
        <v>419</v>
      </c>
      <c r="K676">
        <v>-20377.458082190002</v>
      </c>
      <c r="L676" t="s">
        <v>85</v>
      </c>
      <c r="M676" t="s">
        <v>423</v>
      </c>
      <c r="N676">
        <v>0.73979703899049998</v>
      </c>
      <c r="O676">
        <v>15075.183150999999</v>
      </c>
      <c r="P676" t="s">
        <v>421</v>
      </c>
      <c r="Q676">
        <v>1</v>
      </c>
      <c r="V676">
        <v>1</v>
      </c>
      <c r="W676">
        <v>1</v>
      </c>
      <c r="X676">
        <v>1</v>
      </c>
      <c r="Y676">
        <v>1</v>
      </c>
      <c r="Z676">
        <v>15075.183150999999</v>
      </c>
    </row>
    <row r="677" spans="1:26" x14ac:dyDescent="0.25">
      <c r="A677">
        <v>68338</v>
      </c>
      <c r="B677" t="s">
        <v>152</v>
      </c>
      <c r="C677">
        <v>2019</v>
      </c>
      <c r="D677">
        <v>1</v>
      </c>
      <c r="E677" t="s">
        <v>415</v>
      </c>
      <c r="F677" t="s">
        <v>416</v>
      </c>
      <c r="G677" t="s">
        <v>417</v>
      </c>
      <c r="H677" t="s">
        <v>84</v>
      </c>
      <c r="I677" t="s">
        <v>418</v>
      </c>
      <c r="J677" t="s">
        <v>419</v>
      </c>
      <c r="K677">
        <v>-20377.458082190002</v>
      </c>
      <c r="L677" t="s">
        <v>85</v>
      </c>
      <c r="M677" t="s">
        <v>424</v>
      </c>
      <c r="N677">
        <v>2.9085775596699999E-3</v>
      </c>
      <c r="O677">
        <v>59.269416999999997</v>
      </c>
      <c r="P677" t="s">
        <v>421</v>
      </c>
      <c r="Q677">
        <v>1</v>
      </c>
      <c r="V677">
        <v>1</v>
      </c>
      <c r="W677">
        <v>1</v>
      </c>
      <c r="X677">
        <v>1</v>
      </c>
      <c r="Y677">
        <v>1</v>
      </c>
      <c r="Z677">
        <v>59.269416999999997</v>
      </c>
    </row>
    <row r="678" spans="1:26" x14ac:dyDescent="0.25">
      <c r="A678">
        <v>68339</v>
      </c>
      <c r="B678" t="s">
        <v>152</v>
      </c>
      <c r="C678">
        <v>2019</v>
      </c>
      <c r="D678">
        <v>1</v>
      </c>
      <c r="E678" t="s">
        <v>415</v>
      </c>
      <c r="F678" t="s">
        <v>416</v>
      </c>
      <c r="G678" t="s">
        <v>417</v>
      </c>
      <c r="H678" t="s">
        <v>84</v>
      </c>
      <c r="I678" t="s">
        <v>418</v>
      </c>
      <c r="J678" t="s">
        <v>419</v>
      </c>
      <c r="K678">
        <v>-20377.458082190002</v>
      </c>
      <c r="L678" t="s">
        <v>85</v>
      </c>
      <c r="M678" t="s">
        <v>425</v>
      </c>
      <c r="N678">
        <v>2.6170694898000001E-3</v>
      </c>
      <c r="O678">
        <v>53.329224000000004</v>
      </c>
      <c r="P678" t="s">
        <v>421</v>
      </c>
      <c r="Q678">
        <v>1</v>
      </c>
      <c r="V678">
        <v>1</v>
      </c>
      <c r="W678">
        <v>1</v>
      </c>
      <c r="X678">
        <v>1</v>
      </c>
      <c r="Y678">
        <v>1</v>
      </c>
      <c r="Z678">
        <v>53.329224000000004</v>
      </c>
    </row>
    <row r="679" spans="1:26" x14ac:dyDescent="0.25">
      <c r="A679">
        <v>68340</v>
      </c>
      <c r="B679" t="s">
        <v>152</v>
      </c>
      <c r="C679">
        <v>2019</v>
      </c>
      <c r="D679">
        <v>1</v>
      </c>
      <c r="E679" t="s">
        <v>415</v>
      </c>
      <c r="F679" t="s">
        <v>416</v>
      </c>
      <c r="G679" t="s">
        <v>417</v>
      </c>
      <c r="H679" t="s">
        <v>84</v>
      </c>
      <c r="I679" t="s">
        <v>426</v>
      </c>
      <c r="J679" t="s">
        <v>87</v>
      </c>
      <c r="K679">
        <v>-4580.7041253300004</v>
      </c>
      <c r="L679" t="s">
        <v>427</v>
      </c>
      <c r="M679" t="s">
        <v>420</v>
      </c>
      <c r="N679">
        <v>0.45523813654234002</v>
      </c>
      <c r="O679">
        <v>2085.3112099999998</v>
      </c>
      <c r="P679" t="s">
        <v>421</v>
      </c>
      <c r="Q679">
        <v>1</v>
      </c>
      <c r="V679">
        <v>1</v>
      </c>
      <c r="W679">
        <v>1</v>
      </c>
      <c r="X679">
        <v>1</v>
      </c>
      <c r="Y679">
        <v>1</v>
      </c>
      <c r="Z679">
        <v>2085.3112099999998</v>
      </c>
    </row>
    <row r="680" spans="1:26" x14ac:dyDescent="0.25">
      <c r="A680">
        <v>68341</v>
      </c>
      <c r="B680" t="s">
        <v>152</v>
      </c>
      <c r="C680">
        <v>2019</v>
      </c>
      <c r="D680">
        <v>1</v>
      </c>
      <c r="E680" t="s">
        <v>415</v>
      </c>
      <c r="F680" t="s">
        <v>416</v>
      </c>
      <c r="G680" t="s">
        <v>417</v>
      </c>
      <c r="H680" t="s">
        <v>84</v>
      </c>
      <c r="I680" t="s">
        <v>426</v>
      </c>
      <c r="J680" t="s">
        <v>87</v>
      </c>
      <c r="K680">
        <v>-4580.7041253300004</v>
      </c>
      <c r="L680" t="s">
        <v>427</v>
      </c>
      <c r="M680" t="s">
        <v>422</v>
      </c>
      <c r="N680">
        <v>6.8896616392329996E-2</v>
      </c>
      <c r="O680">
        <v>315.59501499999999</v>
      </c>
      <c r="P680" t="s">
        <v>421</v>
      </c>
      <c r="Q680">
        <v>1</v>
      </c>
      <c r="V680">
        <v>1</v>
      </c>
      <c r="W680">
        <v>1</v>
      </c>
      <c r="X680">
        <v>1</v>
      </c>
      <c r="Y680">
        <v>1</v>
      </c>
      <c r="Z680">
        <v>315.59501499999999</v>
      </c>
    </row>
    <row r="681" spans="1:26" x14ac:dyDescent="0.25">
      <c r="A681">
        <v>68342</v>
      </c>
      <c r="B681" t="s">
        <v>152</v>
      </c>
      <c r="C681">
        <v>2019</v>
      </c>
      <c r="D681">
        <v>1</v>
      </c>
      <c r="E681" t="s">
        <v>415</v>
      </c>
      <c r="F681" t="s">
        <v>416</v>
      </c>
      <c r="G681" t="s">
        <v>417</v>
      </c>
      <c r="H681" t="s">
        <v>84</v>
      </c>
      <c r="I681" t="s">
        <v>426</v>
      </c>
      <c r="J681" t="s">
        <v>87</v>
      </c>
      <c r="K681">
        <v>-4580.7041253300004</v>
      </c>
      <c r="L681" t="s">
        <v>427</v>
      </c>
      <c r="M681" t="s">
        <v>423</v>
      </c>
      <c r="N681">
        <v>0.70986919705586005</v>
      </c>
      <c r="O681">
        <v>3251.7007589999998</v>
      </c>
      <c r="P681" t="s">
        <v>421</v>
      </c>
      <c r="Q681">
        <v>1</v>
      </c>
      <c r="V681">
        <v>1</v>
      </c>
      <c r="W681">
        <v>1</v>
      </c>
      <c r="X681">
        <v>1</v>
      </c>
      <c r="Y681">
        <v>1</v>
      </c>
      <c r="Z681">
        <v>3251.7007589999998</v>
      </c>
    </row>
    <row r="682" spans="1:26" x14ac:dyDescent="0.25">
      <c r="A682">
        <v>68343</v>
      </c>
      <c r="B682" t="s">
        <v>152</v>
      </c>
      <c r="C682">
        <v>2019</v>
      </c>
      <c r="D682">
        <v>1</v>
      </c>
      <c r="E682" t="s">
        <v>415</v>
      </c>
      <c r="F682" t="s">
        <v>416</v>
      </c>
      <c r="G682" t="s">
        <v>417</v>
      </c>
      <c r="H682" t="s">
        <v>84</v>
      </c>
      <c r="I682" t="s">
        <v>426</v>
      </c>
      <c r="J682" t="s">
        <v>87</v>
      </c>
      <c r="K682">
        <v>-4580.7041253300004</v>
      </c>
      <c r="L682" t="s">
        <v>427</v>
      </c>
      <c r="M682" t="s">
        <v>425</v>
      </c>
      <c r="N682">
        <v>1.4965642882E-3</v>
      </c>
      <c r="O682">
        <v>6.8553179999999996</v>
      </c>
      <c r="P682" t="s">
        <v>421</v>
      </c>
      <c r="Q682">
        <v>1</v>
      </c>
      <c r="V682">
        <v>1</v>
      </c>
      <c r="W682">
        <v>1</v>
      </c>
      <c r="X682">
        <v>1</v>
      </c>
      <c r="Y682">
        <v>1</v>
      </c>
      <c r="Z682">
        <v>6.8553179999999996</v>
      </c>
    </row>
    <row r="683" spans="1:26" x14ac:dyDescent="0.25">
      <c r="A683">
        <v>68344</v>
      </c>
      <c r="B683" t="s">
        <v>152</v>
      </c>
      <c r="C683">
        <v>2019</v>
      </c>
      <c r="D683">
        <v>1</v>
      </c>
      <c r="E683" t="s">
        <v>415</v>
      </c>
      <c r="F683" t="s">
        <v>416</v>
      </c>
      <c r="G683" t="s">
        <v>417</v>
      </c>
      <c r="H683" t="s">
        <v>84</v>
      </c>
      <c r="I683" t="s">
        <v>428</v>
      </c>
      <c r="J683" t="s">
        <v>59</v>
      </c>
      <c r="K683">
        <v>-11387.94193391</v>
      </c>
      <c r="L683" t="s">
        <v>89</v>
      </c>
      <c r="M683" t="s">
        <v>420</v>
      </c>
      <c r="N683">
        <v>0.26343870574139999</v>
      </c>
      <c r="O683">
        <v>3000.024684</v>
      </c>
      <c r="P683" t="s">
        <v>421</v>
      </c>
      <c r="Q683">
        <v>1</v>
      </c>
      <c r="V683">
        <v>1</v>
      </c>
      <c r="W683">
        <v>1</v>
      </c>
      <c r="X683">
        <v>1</v>
      </c>
      <c r="Y683">
        <v>1</v>
      </c>
      <c r="Z683">
        <v>3000.024684</v>
      </c>
    </row>
    <row r="684" spans="1:26" x14ac:dyDescent="0.25">
      <c r="A684">
        <v>68345</v>
      </c>
      <c r="B684" t="s">
        <v>152</v>
      </c>
      <c r="C684">
        <v>2019</v>
      </c>
      <c r="D684">
        <v>1</v>
      </c>
      <c r="E684" t="s">
        <v>415</v>
      </c>
      <c r="F684" t="s">
        <v>416</v>
      </c>
      <c r="G684" t="s">
        <v>417</v>
      </c>
      <c r="H684" t="s">
        <v>84</v>
      </c>
      <c r="I684" t="s">
        <v>428</v>
      </c>
      <c r="J684" t="s">
        <v>59</v>
      </c>
      <c r="K684">
        <v>-11387.94193391</v>
      </c>
      <c r="L684" t="s">
        <v>89</v>
      </c>
      <c r="M684" t="s">
        <v>422</v>
      </c>
      <c r="N684">
        <v>7.1262429683470005E-2</v>
      </c>
      <c r="O684">
        <v>811.53241100000002</v>
      </c>
      <c r="P684" t="s">
        <v>421</v>
      </c>
      <c r="Q684">
        <v>1</v>
      </c>
      <c r="V684">
        <v>1</v>
      </c>
      <c r="W684">
        <v>1</v>
      </c>
      <c r="X684">
        <v>1</v>
      </c>
      <c r="Y684">
        <v>1</v>
      </c>
      <c r="Z684">
        <v>811.53241100000002</v>
      </c>
    </row>
    <row r="685" spans="1:26" x14ac:dyDescent="0.25">
      <c r="A685">
        <v>68346</v>
      </c>
      <c r="B685" t="s">
        <v>152</v>
      </c>
      <c r="C685">
        <v>2019</v>
      </c>
      <c r="D685">
        <v>1</v>
      </c>
      <c r="E685" t="s">
        <v>415</v>
      </c>
      <c r="F685" t="s">
        <v>416</v>
      </c>
      <c r="G685" t="s">
        <v>417</v>
      </c>
      <c r="H685" t="s">
        <v>84</v>
      </c>
      <c r="I685" t="s">
        <v>428</v>
      </c>
      <c r="J685" t="s">
        <v>59</v>
      </c>
      <c r="K685">
        <v>-11387.94193391</v>
      </c>
      <c r="L685" t="s">
        <v>89</v>
      </c>
      <c r="M685" t="s">
        <v>423</v>
      </c>
      <c r="N685">
        <v>0.74738783869542003</v>
      </c>
      <c r="O685">
        <v>8511.2093089999998</v>
      </c>
      <c r="P685" t="s">
        <v>421</v>
      </c>
      <c r="Q685">
        <v>1</v>
      </c>
      <c r="V685">
        <v>1</v>
      </c>
      <c r="W685">
        <v>1</v>
      </c>
      <c r="X685">
        <v>1</v>
      </c>
      <c r="Y685">
        <v>1</v>
      </c>
      <c r="Z685">
        <v>8511.2093089999998</v>
      </c>
    </row>
    <row r="686" spans="1:26" x14ac:dyDescent="0.25">
      <c r="A686">
        <v>68347</v>
      </c>
      <c r="B686" t="s">
        <v>152</v>
      </c>
      <c r="C686">
        <v>2019</v>
      </c>
      <c r="D686">
        <v>1</v>
      </c>
      <c r="E686" t="s">
        <v>415</v>
      </c>
      <c r="F686" t="s">
        <v>416</v>
      </c>
      <c r="G686" t="s">
        <v>417</v>
      </c>
      <c r="H686" t="s">
        <v>84</v>
      </c>
      <c r="I686" t="s">
        <v>428</v>
      </c>
      <c r="J686" t="s">
        <v>59</v>
      </c>
      <c r="K686">
        <v>-11387.94193391</v>
      </c>
      <c r="L686" t="s">
        <v>89</v>
      </c>
      <c r="M686" t="s">
        <v>424</v>
      </c>
      <c r="N686">
        <v>3.08071516317E-3</v>
      </c>
      <c r="O686">
        <v>35.083005</v>
      </c>
      <c r="P686" t="s">
        <v>421</v>
      </c>
      <c r="Q686">
        <v>1</v>
      </c>
      <c r="V686">
        <v>1</v>
      </c>
      <c r="W686">
        <v>1</v>
      </c>
      <c r="X686">
        <v>1</v>
      </c>
      <c r="Y686">
        <v>1</v>
      </c>
      <c r="Z686">
        <v>35.083005</v>
      </c>
    </row>
    <row r="687" spans="1:26" x14ac:dyDescent="0.25">
      <c r="A687">
        <v>68348</v>
      </c>
      <c r="B687" t="s">
        <v>152</v>
      </c>
      <c r="C687">
        <v>2019</v>
      </c>
      <c r="D687">
        <v>1</v>
      </c>
      <c r="E687" t="s">
        <v>415</v>
      </c>
      <c r="F687" t="s">
        <v>416</v>
      </c>
      <c r="G687" t="s">
        <v>417</v>
      </c>
      <c r="H687" t="s">
        <v>84</v>
      </c>
      <c r="I687" t="s">
        <v>428</v>
      </c>
      <c r="J687" t="s">
        <v>59</v>
      </c>
      <c r="K687">
        <v>-11387.94193391</v>
      </c>
      <c r="L687" t="s">
        <v>89</v>
      </c>
      <c r="M687" t="s">
        <v>425</v>
      </c>
      <c r="N687">
        <v>2.5360775708E-3</v>
      </c>
      <c r="O687">
        <v>28.880704000000001</v>
      </c>
      <c r="P687" t="s">
        <v>421</v>
      </c>
      <c r="Q687">
        <v>1</v>
      </c>
      <c r="V687">
        <v>1</v>
      </c>
      <c r="W687">
        <v>1</v>
      </c>
      <c r="X687">
        <v>1</v>
      </c>
      <c r="Y687">
        <v>1</v>
      </c>
      <c r="Z687">
        <v>28.880704000000001</v>
      </c>
    </row>
    <row r="688" spans="1:26" x14ac:dyDescent="0.25">
      <c r="A688">
        <v>68349</v>
      </c>
      <c r="B688" t="s">
        <v>152</v>
      </c>
      <c r="C688">
        <v>2019</v>
      </c>
      <c r="D688">
        <v>1</v>
      </c>
      <c r="E688" t="s">
        <v>415</v>
      </c>
      <c r="F688" t="s">
        <v>429</v>
      </c>
      <c r="G688" t="s">
        <v>430</v>
      </c>
      <c r="H688" t="s">
        <v>84</v>
      </c>
      <c r="I688" t="s">
        <v>431</v>
      </c>
      <c r="J688" t="s">
        <v>419</v>
      </c>
      <c r="K688">
        <v>-30316.914570370001</v>
      </c>
      <c r="L688" t="s">
        <v>85</v>
      </c>
      <c r="M688" t="s">
        <v>420</v>
      </c>
      <c r="N688">
        <v>0.24824931095561001</v>
      </c>
      <c r="O688">
        <v>7526.1531519999999</v>
      </c>
      <c r="P688" t="s">
        <v>421</v>
      </c>
      <c r="Q688">
        <v>1</v>
      </c>
      <c r="V688">
        <v>1</v>
      </c>
      <c r="W688">
        <v>1</v>
      </c>
      <c r="X688">
        <v>1</v>
      </c>
      <c r="Y688">
        <v>1</v>
      </c>
      <c r="Z688">
        <v>7526.1531519999999</v>
      </c>
    </row>
    <row r="689" spans="1:26" x14ac:dyDescent="0.25">
      <c r="A689">
        <v>68350</v>
      </c>
      <c r="B689" t="s">
        <v>152</v>
      </c>
      <c r="C689">
        <v>2019</v>
      </c>
      <c r="D689">
        <v>1</v>
      </c>
      <c r="E689" t="s">
        <v>415</v>
      </c>
      <c r="F689" t="s">
        <v>429</v>
      </c>
      <c r="G689" t="s">
        <v>430</v>
      </c>
      <c r="H689" t="s">
        <v>84</v>
      </c>
      <c r="I689" t="s">
        <v>431</v>
      </c>
      <c r="J689" t="s">
        <v>419</v>
      </c>
      <c r="K689">
        <v>-30316.914570370001</v>
      </c>
      <c r="L689" t="s">
        <v>85</v>
      </c>
      <c r="M689" t="s">
        <v>422</v>
      </c>
      <c r="N689">
        <v>7.7540047892240005E-2</v>
      </c>
      <c r="O689">
        <v>2350.7750080000001</v>
      </c>
      <c r="P689" t="s">
        <v>421</v>
      </c>
      <c r="Q689">
        <v>1</v>
      </c>
      <c r="V689">
        <v>1</v>
      </c>
      <c r="W689">
        <v>1</v>
      </c>
      <c r="X689">
        <v>1</v>
      </c>
      <c r="Y689">
        <v>1</v>
      </c>
      <c r="Z689">
        <v>2350.7750080000001</v>
      </c>
    </row>
    <row r="690" spans="1:26" x14ac:dyDescent="0.25">
      <c r="A690">
        <v>68351</v>
      </c>
      <c r="B690" t="s">
        <v>152</v>
      </c>
      <c r="C690">
        <v>2019</v>
      </c>
      <c r="D690">
        <v>1</v>
      </c>
      <c r="E690" t="s">
        <v>415</v>
      </c>
      <c r="F690" t="s">
        <v>429</v>
      </c>
      <c r="G690" t="s">
        <v>430</v>
      </c>
      <c r="H690" t="s">
        <v>84</v>
      </c>
      <c r="I690" t="s">
        <v>431</v>
      </c>
      <c r="J690" t="s">
        <v>419</v>
      </c>
      <c r="K690">
        <v>-30316.914570370001</v>
      </c>
      <c r="L690" t="s">
        <v>85</v>
      </c>
      <c r="M690" t="s">
        <v>423</v>
      </c>
      <c r="N690">
        <v>0.73979703899049998</v>
      </c>
      <c r="O690">
        <v>22428.36363</v>
      </c>
      <c r="P690" t="s">
        <v>421</v>
      </c>
      <c r="Q690">
        <v>1</v>
      </c>
      <c r="V690">
        <v>1</v>
      </c>
      <c r="W690">
        <v>1</v>
      </c>
      <c r="X690">
        <v>1</v>
      </c>
      <c r="Y690">
        <v>1</v>
      </c>
      <c r="Z690">
        <v>22428.36363</v>
      </c>
    </row>
    <row r="691" spans="1:26" x14ac:dyDescent="0.25">
      <c r="A691">
        <v>68352</v>
      </c>
      <c r="B691" t="s">
        <v>152</v>
      </c>
      <c r="C691">
        <v>2019</v>
      </c>
      <c r="D691">
        <v>1</v>
      </c>
      <c r="E691" t="s">
        <v>415</v>
      </c>
      <c r="F691" t="s">
        <v>429</v>
      </c>
      <c r="G691" t="s">
        <v>430</v>
      </c>
      <c r="H691" t="s">
        <v>84</v>
      </c>
      <c r="I691" t="s">
        <v>431</v>
      </c>
      <c r="J691" t="s">
        <v>419</v>
      </c>
      <c r="K691">
        <v>-30316.914570370001</v>
      </c>
      <c r="L691" t="s">
        <v>85</v>
      </c>
      <c r="M691" t="s">
        <v>424</v>
      </c>
      <c r="N691">
        <v>2.9085775596699999E-3</v>
      </c>
      <c r="O691">
        <v>88.179096999999999</v>
      </c>
      <c r="P691" t="s">
        <v>421</v>
      </c>
      <c r="Q691">
        <v>1</v>
      </c>
      <c r="V691">
        <v>1</v>
      </c>
      <c r="W691">
        <v>1</v>
      </c>
      <c r="X691">
        <v>1</v>
      </c>
      <c r="Y691">
        <v>1</v>
      </c>
      <c r="Z691">
        <v>88.179096999999999</v>
      </c>
    </row>
    <row r="692" spans="1:26" x14ac:dyDescent="0.25">
      <c r="A692">
        <v>68353</v>
      </c>
      <c r="B692" t="s">
        <v>152</v>
      </c>
      <c r="C692">
        <v>2019</v>
      </c>
      <c r="D692">
        <v>1</v>
      </c>
      <c r="E692" t="s">
        <v>415</v>
      </c>
      <c r="F692" t="s">
        <v>429</v>
      </c>
      <c r="G692" t="s">
        <v>430</v>
      </c>
      <c r="H692" t="s">
        <v>84</v>
      </c>
      <c r="I692" t="s">
        <v>431</v>
      </c>
      <c r="J692" t="s">
        <v>419</v>
      </c>
      <c r="K692">
        <v>-30316.914570370001</v>
      </c>
      <c r="L692" t="s">
        <v>85</v>
      </c>
      <c r="M692" t="s">
        <v>425</v>
      </c>
      <c r="N692">
        <v>2.6170694898000001E-3</v>
      </c>
      <c r="O692">
        <v>79.341471999999996</v>
      </c>
      <c r="P692" t="s">
        <v>421</v>
      </c>
      <c r="Q692">
        <v>1</v>
      </c>
      <c r="V692">
        <v>1</v>
      </c>
      <c r="W692">
        <v>1</v>
      </c>
      <c r="X692">
        <v>1</v>
      </c>
      <c r="Y692">
        <v>1</v>
      </c>
      <c r="Z692">
        <v>79.341471999999996</v>
      </c>
    </row>
    <row r="693" spans="1:26" x14ac:dyDescent="0.25">
      <c r="A693">
        <v>68354</v>
      </c>
      <c r="B693" t="s">
        <v>152</v>
      </c>
      <c r="C693">
        <v>2019</v>
      </c>
      <c r="D693">
        <v>1</v>
      </c>
      <c r="E693" t="s">
        <v>415</v>
      </c>
      <c r="F693" t="s">
        <v>429</v>
      </c>
      <c r="G693" t="s">
        <v>430</v>
      </c>
      <c r="H693" t="s">
        <v>84</v>
      </c>
      <c r="I693" t="s">
        <v>432</v>
      </c>
      <c r="J693" t="s">
        <v>87</v>
      </c>
      <c r="K693">
        <v>-5532.8086712000004</v>
      </c>
      <c r="L693" t="s">
        <v>427</v>
      </c>
      <c r="M693" t="s">
        <v>420</v>
      </c>
      <c r="N693">
        <v>0.45523813654234002</v>
      </c>
      <c r="O693">
        <v>2518.7455089999999</v>
      </c>
      <c r="P693" t="s">
        <v>421</v>
      </c>
      <c r="Q693">
        <v>1</v>
      </c>
      <c r="V693">
        <v>1</v>
      </c>
      <c r="W693">
        <v>1</v>
      </c>
      <c r="X693">
        <v>1</v>
      </c>
      <c r="Y693">
        <v>1</v>
      </c>
      <c r="Z693">
        <v>2518.7455089999999</v>
      </c>
    </row>
    <row r="694" spans="1:26" x14ac:dyDescent="0.25">
      <c r="A694">
        <v>68355</v>
      </c>
      <c r="B694" t="s">
        <v>152</v>
      </c>
      <c r="C694">
        <v>2019</v>
      </c>
      <c r="D694">
        <v>1</v>
      </c>
      <c r="E694" t="s">
        <v>415</v>
      </c>
      <c r="F694" t="s">
        <v>429</v>
      </c>
      <c r="G694" t="s">
        <v>430</v>
      </c>
      <c r="H694" t="s">
        <v>84</v>
      </c>
      <c r="I694" t="s">
        <v>432</v>
      </c>
      <c r="J694" t="s">
        <v>87</v>
      </c>
      <c r="K694">
        <v>-5532.8086712000004</v>
      </c>
      <c r="L694" t="s">
        <v>427</v>
      </c>
      <c r="M694" t="s">
        <v>422</v>
      </c>
      <c r="N694">
        <v>6.8896616392329996E-2</v>
      </c>
      <c r="O694">
        <v>381.19179700000001</v>
      </c>
      <c r="P694" t="s">
        <v>421</v>
      </c>
      <c r="Q694">
        <v>1</v>
      </c>
      <c r="V694">
        <v>1</v>
      </c>
      <c r="W694">
        <v>1</v>
      </c>
      <c r="X694">
        <v>1</v>
      </c>
      <c r="Y694">
        <v>1</v>
      </c>
      <c r="Z694">
        <v>381.19179700000001</v>
      </c>
    </row>
    <row r="695" spans="1:26" x14ac:dyDescent="0.25">
      <c r="A695">
        <v>68356</v>
      </c>
      <c r="B695" t="s">
        <v>152</v>
      </c>
      <c r="C695">
        <v>2019</v>
      </c>
      <c r="D695">
        <v>1</v>
      </c>
      <c r="E695" t="s">
        <v>415</v>
      </c>
      <c r="F695" t="s">
        <v>429</v>
      </c>
      <c r="G695" t="s">
        <v>430</v>
      </c>
      <c r="H695" t="s">
        <v>84</v>
      </c>
      <c r="I695" t="s">
        <v>432</v>
      </c>
      <c r="J695" t="s">
        <v>87</v>
      </c>
      <c r="K695">
        <v>-5532.8086712000004</v>
      </c>
      <c r="L695" t="s">
        <v>427</v>
      </c>
      <c r="M695" t="s">
        <v>423</v>
      </c>
      <c r="N695">
        <v>0.70986919705586005</v>
      </c>
      <c r="O695">
        <v>3927.5704489999998</v>
      </c>
      <c r="P695" t="s">
        <v>421</v>
      </c>
      <c r="Q695">
        <v>1</v>
      </c>
      <c r="V695">
        <v>1</v>
      </c>
      <c r="W695">
        <v>1</v>
      </c>
      <c r="X695">
        <v>1</v>
      </c>
      <c r="Y695">
        <v>1</v>
      </c>
      <c r="Z695">
        <v>3927.5704489999998</v>
      </c>
    </row>
    <row r="696" spans="1:26" x14ac:dyDescent="0.25">
      <c r="A696">
        <v>68357</v>
      </c>
      <c r="B696" t="s">
        <v>152</v>
      </c>
      <c r="C696">
        <v>2019</v>
      </c>
      <c r="D696">
        <v>1</v>
      </c>
      <c r="E696" t="s">
        <v>415</v>
      </c>
      <c r="F696" t="s">
        <v>429</v>
      </c>
      <c r="G696" t="s">
        <v>430</v>
      </c>
      <c r="H696" t="s">
        <v>84</v>
      </c>
      <c r="I696" t="s">
        <v>432</v>
      </c>
      <c r="J696" t="s">
        <v>87</v>
      </c>
      <c r="K696">
        <v>-5532.8086712000004</v>
      </c>
      <c r="L696" t="s">
        <v>427</v>
      </c>
      <c r="M696" t="s">
        <v>425</v>
      </c>
      <c r="N696">
        <v>1.4965642882E-3</v>
      </c>
      <c r="O696">
        <v>8.2802039999999995</v>
      </c>
      <c r="P696" t="s">
        <v>421</v>
      </c>
      <c r="Q696">
        <v>1</v>
      </c>
      <c r="V696">
        <v>1</v>
      </c>
      <c r="W696">
        <v>1</v>
      </c>
      <c r="X696">
        <v>1</v>
      </c>
      <c r="Y696">
        <v>1</v>
      </c>
      <c r="Z696">
        <v>8.2802039999999995</v>
      </c>
    </row>
    <row r="697" spans="1:26" x14ac:dyDescent="0.25">
      <c r="A697">
        <v>68358</v>
      </c>
      <c r="B697" t="s">
        <v>152</v>
      </c>
      <c r="C697">
        <v>2019</v>
      </c>
      <c r="D697">
        <v>1</v>
      </c>
      <c r="E697" t="s">
        <v>415</v>
      </c>
      <c r="F697" t="s">
        <v>429</v>
      </c>
      <c r="G697" t="s">
        <v>430</v>
      </c>
      <c r="H697" t="s">
        <v>84</v>
      </c>
      <c r="I697" t="s">
        <v>433</v>
      </c>
      <c r="J697" t="s">
        <v>59</v>
      </c>
      <c r="K697">
        <v>-14741.85858075</v>
      </c>
      <c r="L697" t="s">
        <v>89</v>
      </c>
      <c r="M697" t="s">
        <v>420</v>
      </c>
      <c r="N697">
        <v>0.26343870574139999</v>
      </c>
      <c r="O697">
        <v>3883.576145</v>
      </c>
      <c r="P697" t="s">
        <v>421</v>
      </c>
      <c r="Q697">
        <v>1</v>
      </c>
      <c r="V697">
        <v>1</v>
      </c>
      <c r="W697">
        <v>1</v>
      </c>
      <c r="X697">
        <v>1</v>
      </c>
      <c r="Y697">
        <v>1</v>
      </c>
      <c r="Z697">
        <v>3883.576145</v>
      </c>
    </row>
    <row r="698" spans="1:26" x14ac:dyDescent="0.25">
      <c r="A698">
        <v>68359</v>
      </c>
      <c r="B698" t="s">
        <v>152</v>
      </c>
      <c r="C698">
        <v>2019</v>
      </c>
      <c r="D698">
        <v>1</v>
      </c>
      <c r="E698" t="s">
        <v>415</v>
      </c>
      <c r="F698" t="s">
        <v>429</v>
      </c>
      <c r="G698" t="s">
        <v>430</v>
      </c>
      <c r="H698" t="s">
        <v>84</v>
      </c>
      <c r="I698" t="s">
        <v>433</v>
      </c>
      <c r="J698" t="s">
        <v>59</v>
      </c>
      <c r="K698">
        <v>-14741.85858075</v>
      </c>
      <c r="L698" t="s">
        <v>89</v>
      </c>
      <c r="M698" t="s">
        <v>422</v>
      </c>
      <c r="N698">
        <v>7.1262429683470005E-2</v>
      </c>
      <c r="O698">
        <v>1050.540661</v>
      </c>
      <c r="P698" t="s">
        <v>421</v>
      </c>
      <c r="Q698">
        <v>1</v>
      </c>
      <c r="V698">
        <v>1</v>
      </c>
      <c r="W698">
        <v>1</v>
      </c>
      <c r="X698">
        <v>1</v>
      </c>
      <c r="Y698">
        <v>1</v>
      </c>
      <c r="Z698">
        <v>1050.540661</v>
      </c>
    </row>
    <row r="699" spans="1:26" x14ac:dyDescent="0.25">
      <c r="A699">
        <v>68360</v>
      </c>
      <c r="B699" t="s">
        <v>152</v>
      </c>
      <c r="C699">
        <v>2019</v>
      </c>
      <c r="D699">
        <v>1</v>
      </c>
      <c r="E699" t="s">
        <v>415</v>
      </c>
      <c r="F699" t="s">
        <v>429</v>
      </c>
      <c r="G699" t="s">
        <v>430</v>
      </c>
      <c r="H699" t="s">
        <v>84</v>
      </c>
      <c r="I699" t="s">
        <v>433</v>
      </c>
      <c r="J699" t="s">
        <v>59</v>
      </c>
      <c r="K699">
        <v>-14741.85858075</v>
      </c>
      <c r="L699" t="s">
        <v>89</v>
      </c>
      <c r="M699" t="s">
        <v>423</v>
      </c>
      <c r="N699">
        <v>0.74738783869542003</v>
      </c>
      <c r="O699">
        <v>11017.885823000001</v>
      </c>
      <c r="P699" t="s">
        <v>421</v>
      </c>
      <c r="Q699">
        <v>1</v>
      </c>
      <c r="V699">
        <v>1</v>
      </c>
      <c r="W699">
        <v>1</v>
      </c>
      <c r="X699">
        <v>1</v>
      </c>
      <c r="Y699">
        <v>1</v>
      </c>
      <c r="Z699">
        <v>11017.885823000001</v>
      </c>
    </row>
    <row r="700" spans="1:26" x14ac:dyDescent="0.25">
      <c r="A700">
        <v>68361</v>
      </c>
      <c r="B700" t="s">
        <v>152</v>
      </c>
      <c r="C700">
        <v>2019</v>
      </c>
      <c r="D700">
        <v>1</v>
      </c>
      <c r="E700" t="s">
        <v>415</v>
      </c>
      <c r="F700" t="s">
        <v>429</v>
      </c>
      <c r="G700" t="s">
        <v>430</v>
      </c>
      <c r="H700" t="s">
        <v>84</v>
      </c>
      <c r="I700" t="s">
        <v>433</v>
      </c>
      <c r="J700" t="s">
        <v>59</v>
      </c>
      <c r="K700">
        <v>-14741.85858075</v>
      </c>
      <c r="L700" t="s">
        <v>89</v>
      </c>
      <c r="M700" t="s">
        <v>424</v>
      </c>
      <c r="N700">
        <v>3.08071516317E-3</v>
      </c>
      <c r="O700">
        <v>45.415467</v>
      </c>
      <c r="P700" t="s">
        <v>421</v>
      </c>
      <c r="Q700">
        <v>1</v>
      </c>
      <c r="V700">
        <v>1</v>
      </c>
      <c r="W700">
        <v>1</v>
      </c>
      <c r="X700">
        <v>1</v>
      </c>
      <c r="Y700">
        <v>1</v>
      </c>
      <c r="Z700">
        <v>45.415467</v>
      </c>
    </row>
    <row r="701" spans="1:26" x14ac:dyDescent="0.25">
      <c r="A701">
        <v>68362</v>
      </c>
      <c r="B701" t="s">
        <v>152</v>
      </c>
      <c r="C701">
        <v>2019</v>
      </c>
      <c r="D701">
        <v>1</v>
      </c>
      <c r="E701" t="s">
        <v>415</v>
      </c>
      <c r="F701" t="s">
        <v>429</v>
      </c>
      <c r="G701" t="s">
        <v>430</v>
      </c>
      <c r="H701" t="s">
        <v>84</v>
      </c>
      <c r="I701" t="s">
        <v>433</v>
      </c>
      <c r="J701" t="s">
        <v>59</v>
      </c>
      <c r="K701">
        <v>-14741.85858075</v>
      </c>
      <c r="L701" t="s">
        <v>89</v>
      </c>
      <c r="M701" t="s">
        <v>425</v>
      </c>
      <c r="N701">
        <v>2.5360775708E-3</v>
      </c>
      <c r="O701">
        <v>37.386496999999999</v>
      </c>
      <c r="P701" t="s">
        <v>421</v>
      </c>
      <c r="Q701">
        <v>1</v>
      </c>
      <c r="V701">
        <v>1</v>
      </c>
      <c r="W701">
        <v>1</v>
      </c>
      <c r="X701">
        <v>1</v>
      </c>
      <c r="Y701">
        <v>1</v>
      </c>
      <c r="Z701">
        <v>37.386496999999999</v>
      </c>
    </row>
    <row r="702" spans="1:26" x14ac:dyDescent="0.25">
      <c r="A702">
        <v>68363</v>
      </c>
      <c r="B702" t="s">
        <v>152</v>
      </c>
      <c r="C702">
        <v>2019</v>
      </c>
      <c r="D702">
        <v>1</v>
      </c>
      <c r="E702" t="s">
        <v>415</v>
      </c>
      <c r="F702" t="s">
        <v>434</v>
      </c>
      <c r="G702" t="s">
        <v>435</v>
      </c>
      <c r="H702" t="s">
        <v>84</v>
      </c>
      <c r="I702" t="s">
        <v>436</v>
      </c>
      <c r="J702" t="s">
        <v>419</v>
      </c>
      <c r="K702">
        <v>-13333.504388519999</v>
      </c>
      <c r="L702" t="s">
        <v>85</v>
      </c>
      <c r="M702" t="s">
        <v>420</v>
      </c>
      <c r="N702">
        <v>0.24824931095561001</v>
      </c>
      <c r="O702">
        <v>3310.033277</v>
      </c>
      <c r="P702" t="s">
        <v>421</v>
      </c>
      <c r="Q702">
        <v>1</v>
      </c>
      <c r="V702">
        <v>1</v>
      </c>
      <c r="W702">
        <v>1</v>
      </c>
      <c r="X702">
        <v>1</v>
      </c>
      <c r="Y702">
        <v>1</v>
      </c>
      <c r="Z702">
        <v>3310.033277</v>
      </c>
    </row>
    <row r="703" spans="1:26" x14ac:dyDescent="0.25">
      <c r="A703">
        <v>68364</v>
      </c>
      <c r="B703" t="s">
        <v>152</v>
      </c>
      <c r="C703">
        <v>2019</v>
      </c>
      <c r="D703">
        <v>1</v>
      </c>
      <c r="E703" t="s">
        <v>415</v>
      </c>
      <c r="F703" t="s">
        <v>434</v>
      </c>
      <c r="G703" t="s">
        <v>435</v>
      </c>
      <c r="H703" t="s">
        <v>84</v>
      </c>
      <c r="I703" t="s">
        <v>436</v>
      </c>
      <c r="J703" t="s">
        <v>419</v>
      </c>
      <c r="K703">
        <v>-13333.504388519999</v>
      </c>
      <c r="L703" t="s">
        <v>85</v>
      </c>
      <c r="M703" t="s">
        <v>422</v>
      </c>
      <c r="N703">
        <v>7.7540047892240005E-2</v>
      </c>
      <c r="O703">
        <v>1033.8805689999999</v>
      </c>
      <c r="P703" t="s">
        <v>421</v>
      </c>
      <c r="Q703">
        <v>1</v>
      </c>
      <c r="V703">
        <v>1</v>
      </c>
      <c r="W703">
        <v>1</v>
      </c>
      <c r="X703">
        <v>1</v>
      </c>
      <c r="Y703">
        <v>1</v>
      </c>
      <c r="Z703">
        <v>1033.8805689999999</v>
      </c>
    </row>
    <row r="704" spans="1:26" x14ac:dyDescent="0.25">
      <c r="A704">
        <v>68365</v>
      </c>
      <c r="B704" t="s">
        <v>152</v>
      </c>
      <c r="C704">
        <v>2019</v>
      </c>
      <c r="D704">
        <v>1</v>
      </c>
      <c r="E704" t="s">
        <v>415</v>
      </c>
      <c r="F704" t="s">
        <v>434</v>
      </c>
      <c r="G704" t="s">
        <v>435</v>
      </c>
      <c r="H704" t="s">
        <v>84</v>
      </c>
      <c r="I704" t="s">
        <v>436</v>
      </c>
      <c r="J704" t="s">
        <v>419</v>
      </c>
      <c r="K704">
        <v>-13333.504388519999</v>
      </c>
      <c r="L704" t="s">
        <v>85</v>
      </c>
      <c r="M704" t="s">
        <v>423</v>
      </c>
      <c r="N704">
        <v>0.73979703899049998</v>
      </c>
      <c r="O704">
        <v>9864.087066</v>
      </c>
      <c r="P704" t="s">
        <v>421</v>
      </c>
      <c r="Q704">
        <v>1</v>
      </c>
      <c r="V704">
        <v>1</v>
      </c>
      <c r="W704">
        <v>1</v>
      </c>
      <c r="X704">
        <v>1</v>
      </c>
      <c r="Y704">
        <v>1</v>
      </c>
      <c r="Z704">
        <v>9864.087066</v>
      </c>
    </row>
    <row r="705" spans="1:26" x14ac:dyDescent="0.25">
      <c r="A705">
        <v>68366</v>
      </c>
      <c r="B705" t="s">
        <v>152</v>
      </c>
      <c r="C705">
        <v>2019</v>
      </c>
      <c r="D705">
        <v>1</v>
      </c>
      <c r="E705" t="s">
        <v>415</v>
      </c>
      <c r="F705" t="s">
        <v>434</v>
      </c>
      <c r="G705" t="s">
        <v>435</v>
      </c>
      <c r="H705" t="s">
        <v>84</v>
      </c>
      <c r="I705" t="s">
        <v>436</v>
      </c>
      <c r="J705" t="s">
        <v>419</v>
      </c>
      <c r="K705">
        <v>-13333.504388519999</v>
      </c>
      <c r="L705" t="s">
        <v>85</v>
      </c>
      <c r="M705" t="s">
        <v>424</v>
      </c>
      <c r="N705">
        <v>2.9085775596699999E-3</v>
      </c>
      <c r="O705">
        <v>38.781531999999999</v>
      </c>
      <c r="P705" t="s">
        <v>421</v>
      </c>
      <c r="Q705">
        <v>1</v>
      </c>
      <c r="V705">
        <v>1</v>
      </c>
      <c r="W705">
        <v>1</v>
      </c>
      <c r="X705">
        <v>1</v>
      </c>
      <c r="Y705">
        <v>1</v>
      </c>
      <c r="Z705">
        <v>38.781531999999999</v>
      </c>
    </row>
    <row r="706" spans="1:26" x14ac:dyDescent="0.25">
      <c r="A706">
        <v>68367</v>
      </c>
      <c r="B706" t="s">
        <v>152</v>
      </c>
      <c r="C706">
        <v>2019</v>
      </c>
      <c r="D706">
        <v>1</v>
      </c>
      <c r="E706" t="s">
        <v>415</v>
      </c>
      <c r="F706" t="s">
        <v>434</v>
      </c>
      <c r="G706" t="s">
        <v>435</v>
      </c>
      <c r="H706" t="s">
        <v>84</v>
      </c>
      <c r="I706" t="s">
        <v>436</v>
      </c>
      <c r="J706" t="s">
        <v>419</v>
      </c>
      <c r="K706">
        <v>-13333.504388519999</v>
      </c>
      <c r="L706" t="s">
        <v>85</v>
      </c>
      <c r="M706" t="s">
        <v>425</v>
      </c>
      <c r="N706">
        <v>2.6170694898000001E-3</v>
      </c>
      <c r="O706">
        <v>34.894708000000001</v>
      </c>
      <c r="P706" t="s">
        <v>421</v>
      </c>
      <c r="Q706">
        <v>1</v>
      </c>
      <c r="V706">
        <v>1</v>
      </c>
      <c r="W706">
        <v>1</v>
      </c>
      <c r="X706">
        <v>1</v>
      </c>
      <c r="Y706">
        <v>1</v>
      </c>
      <c r="Z706">
        <v>34.894708000000001</v>
      </c>
    </row>
    <row r="707" spans="1:26" x14ac:dyDescent="0.25">
      <c r="A707">
        <v>68368</v>
      </c>
      <c r="B707" t="s">
        <v>152</v>
      </c>
      <c r="C707">
        <v>2019</v>
      </c>
      <c r="D707">
        <v>1</v>
      </c>
      <c r="E707" t="s">
        <v>415</v>
      </c>
      <c r="F707" t="s">
        <v>434</v>
      </c>
      <c r="G707" t="s">
        <v>435</v>
      </c>
      <c r="H707" t="s">
        <v>84</v>
      </c>
      <c r="I707" t="s">
        <v>437</v>
      </c>
      <c r="J707" t="s">
        <v>87</v>
      </c>
      <c r="K707">
        <v>-2443.8576782300001</v>
      </c>
      <c r="L707" t="s">
        <v>427</v>
      </c>
      <c r="M707" t="s">
        <v>420</v>
      </c>
      <c r="N707">
        <v>0.45523813654234002</v>
      </c>
      <c r="O707">
        <v>1112.5372150000001</v>
      </c>
      <c r="P707" t="s">
        <v>421</v>
      </c>
      <c r="Q707">
        <v>1</v>
      </c>
      <c r="V707">
        <v>1</v>
      </c>
      <c r="W707">
        <v>1</v>
      </c>
      <c r="X707">
        <v>1</v>
      </c>
      <c r="Y707">
        <v>1</v>
      </c>
      <c r="Z707">
        <v>1112.5372150000001</v>
      </c>
    </row>
    <row r="708" spans="1:26" x14ac:dyDescent="0.25">
      <c r="A708">
        <v>68369</v>
      </c>
      <c r="B708" t="s">
        <v>152</v>
      </c>
      <c r="C708">
        <v>2019</v>
      </c>
      <c r="D708">
        <v>1</v>
      </c>
      <c r="E708" t="s">
        <v>415</v>
      </c>
      <c r="F708" t="s">
        <v>434</v>
      </c>
      <c r="G708" t="s">
        <v>435</v>
      </c>
      <c r="H708" t="s">
        <v>84</v>
      </c>
      <c r="I708" t="s">
        <v>437</v>
      </c>
      <c r="J708" t="s">
        <v>87</v>
      </c>
      <c r="K708">
        <v>-2443.8576782300001</v>
      </c>
      <c r="L708" t="s">
        <v>427</v>
      </c>
      <c r="M708" t="s">
        <v>422</v>
      </c>
      <c r="N708">
        <v>6.8896616392329996E-2</v>
      </c>
      <c r="O708">
        <v>168.373525</v>
      </c>
      <c r="P708" t="s">
        <v>421</v>
      </c>
      <c r="Q708">
        <v>1</v>
      </c>
      <c r="V708">
        <v>1</v>
      </c>
      <c r="W708">
        <v>1</v>
      </c>
      <c r="X708">
        <v>1</v>
      </c>
      <c r="Y708">
        <v>1</v>
      </c>
      <c r="Z708">
        <v>168.373525</v>
      </c>
    </row>
    <row r="709" spans="1:26" x14ac:dyDescent="0.25">
      <c r="A709">
        <v>68370</v>
      </c>
      <c r="B709" t="s">
        <v>152</v>
      </c>
      <c r="C709">
        <v>2019</v>
      </c>
      <c r="D709">
        <v>1</v>
      </c>
      <c r="E709" t="s">
        <v>415</v>
      </c>
      <c r="F709" t="s">
        <v>434</v>
      </c>
      <c r="G709" t="s">
        <v>435</v>
      </c>
      <c r="H709" t="s">
        <v>84</v>
      </c>
      <c r="I709" t="s">
        <v>437</v>
      </c>
      <c r="J709" t="s">
        <v>87</v>
      </c>
      <c r="K709">
        <v>-2443.8576782300001</v>
      </c>
      <c r="L709" t="s">
        <v>427</v>
      </c>
      <c r="M709" t="s">
        <v>423</v>
      </c>
      <c r="N709">
        <v>0.70986919705586005</v>
      </c>
      <c r="O709">
        <v>1734.8192879999999</v>
      </c>
      <c r="P709" t="s">
        <v>421</v>
      </c>
      <c r="Q709">
        <v>1</v>
      </c>
      <c r="V709">
        <v>1</v>
      </c>
      <c r="W709">
        <v>1</v>
      </c>
      <c r="X709">
        <v>1</v>
      </c>
      <c r="Y709">
        <v>1</v>
      </c>
      <c r="Z709">
        <v>1734.8192879999999</v>
      </c>
    </row>
    <row r="710" spans="1:26" x14ac:dyDescent="0.25">
      <c r="A710">
        <v>68371</v>
      </c>
      <c r="B710" t="s">
        <v>152</v>
      </c>
      <c r="C710">
        <v>2019</v>
      </c>
      <c r="D710">
        <v>1</v>
      </c>
      <c r="E710" t="s">
        <v>415</v>
      </c>
      <c r="F710" t="s">
        <v>434</v>
      </c>
      <c r="G710" t="s">
        <v>435</v>
      </c>
      <c r="H710" t="s">
        <v>84</v>
      </c>
      <c r="I710" t="s">
        <v>437</v>
      </c>
      <c r="J710" t="s">
        <v>87</v>
      </c>
      <c r="K710">
        <v>-2443.8576782300001</v>
      </c>
      <c r="L710" t="s">
        <v>427</v>
      </c>
      <c r="M710" t="s">
        <v>425</v>
      </c>
      <c r="N710">
        <v>1.4965642882E-3</v>
      </c>
      <c r="O710">
        <v>3.6573899999999999</v>
      </c>
      <c r="P710" t="s">
        <v>421</v>
      </c>
      <c r="Q710">
        <v>1</v>
      </c>
      <c r="V710">
        <v>1</v>
      </c>
      <c r="W710">
        <v>1</v>
      </c>
      <c r="X710">
        <v>1</v>
      </c>
      <c r="Y710">
        <v>1</v>
      </c>
      <c r="Z710">
        <v>3.6573899999999999</v>
      </c>
    </row>
    <row r="711" spans="1:26" x14ac:dyDescent="0.25">
      <c r="A711">
        <v>68372</v>
      </c>
      <c r="B711" t="s">
        <v>152</v>
      </c>
      <c r="C711">
        <v>2019</v>
      </c>
      <c r="D711">
        <v>1</v>
      </c>
      <c r="E711" t="s">
        <v>415</v>
      </c>
      <c r="F711" t="s">
        <v>434</v>
      </c>
      <c r="G711" t="s">
        <v>435</v>
      </c>
      <c r="H711" t="s">
        <v>84</v>
      </c>
      <c r="I711" t="s">
        <v>438</v>
      </c>
      <c r="J711" t="s">
        <v>59</v>
      </c>
      <c r="K711">
        <v>-7077.7054262600004</v>
      </c>
      <c r="L711" t="s">
        <v>89</v>
      </c>
      <c r="M711" t="s">
        <v>420</v>
      </c>
      <c r="N711">
        <v>0.26343870574139999</v>
      </c>
      <c r="O711">
        <v>1864.541557</v>
      </c>
      <c r="P711" t="s">
        <v>421</v>
      </c>
      <c r="Q711">
        <v>1</v>
      </c>
      <c r="V711">
        <v>1</v>
      </c>
      <c r="W711">
        <v>1</v>
      </c>
      <c r="X711">
        <v>1</v>
      </c>
      <c r="Y711">
        <v>1</v>
      </c>
      <c r="Z711">
        <v>1864.541557</v>
      </c>
    </row>
    <row r="712" spans="1:26" x14ac:dyDescent="0.25">
      <c r="A712">
        <v>68373</v>
      </c>
      <c r="B712" t="s">
        <v>152</v>
      </c>
      <c r="C712">
        <v>2019</v>
      </c>
      <c r="D712">
        <v>1</v>
      </c>
      <c r="E712" t="s">
        <v>415</v>
      </c>
      <c r="F712" t="s">
        <v>434</v>
      </c>
      <c r="G712" t="s">
        <v>435</v>
      </c>
      <c r="H712" t="s">
        <v>84</v>
      </c>
      <c r="I712" t="s">
        <v>438</v>
      </c>
      <c r="J712" t="s">
        <v>59</v>
      </c>
      <c r="K712">
        <v>-7077.7054262600004</v>
      </c>
      <c r="L712" t="s">
        <v>89</v>
      </c>
      <c r="M712" t="s">
        <v>422</v>
      </c>
      <c r="N712">
        <v>7.1262429683470005E-2</v>
      </c>
      <c r="O712">
        <v>504.37448499999999</v>
      </c>
      <c r="P712" t="s">
        <v>421</v>
      </c>
      <c r="Q712">
        <v>1</v>
      </c>
      <c r="V712">
        <v>1</v>
      </c>
      <c r="W712">
        <v>1</v>
      </c>
      <c r="X712">
        <v>1</v>
      </c>
      <c r="Y712">
        <v>1</v>
      </c>
      <c r="Z712">
        <v>504.37448499999999</v>
      </c>
    </row>
    <row r="713" spans="1:26" x14ac:dyDescent="0.25">
      <c r="A713">
        <v>68374</v>
      </c>
      <c r="B713" t="s">
        <v>152</v>
      </c>
      <c r="C713">
        <v>2019</v>
      </c>
      <c r="D713">
        <v>1</v>
      </c>
      <c r="E713" t="s">
        <v>415</v>
      </c>
      <c r="F713" t="s">
        <v>434</v>
      </c>
      <c r="G713" t="s">
        <v>435</v>
      </c>
      <c r="H713" t="s">
        <v>84</v>
      </c>
      <c r="I713" t="s">
        <v>438</v>
      </c>
      <c r="J713" t="s">
        <v>59</v>
      </c>
      <c r="K713">
        <v>-7077.7054262600004</v>
      </c>
      <c r="L713" t="s">
        <v>89</v>
      </c>
      <c r="M713" t="s">
        <v>423</v>
      </c>
      <c r="N713">
        <v>0.74738783869542003</v>
      </c>
      <c r="O713">
        <v>5289.7909609999997</v>
      </c>
      <c r="P713" t="s">
        <v>421</v>
      </c>
      <c r="Q713">
        <v>1</v>
      </c>
      <c r="V713">
        <v>1</v>
      </c>
      <c r="W713">
        <v>1</v>
      </c>
      <c r="X713">
        <v>1</v>
      </c>
      <c r="Y713">
        <v>1</v>
      </c>
      <c r="Z713">
        <v>5289.7909609999997</v>
      </c>
    </row>
    <row r="714" spans="1:26" x14ac:dyDescent="0.25">
      <c r="A714">
        <v>68375</v>
      </c>
      <c r="B714" t="s">
        <v>152</v>
      </c>
      <c r="C714">
        <v>2019</v>
      </c>
      <c r="D714">
        <v>1</v>
      </c>
      <c r="E714" t="s">
        <v>415</v>
      </c>
      <c r="F714" t="s">
        <v>434</v>
      </c>
      <c r="G714" t="s">
        <v>435</v>
      </c>
      <c r="H714" t="s">
        <v>84</v>
      </c>
      <c r="I714" t="s">
        <v>438</v>
      </c>
      <c r="J714" t="s">
        <v>59</v>
      </c>
      <c r="K714">
        <v>-7077.7054262600004</v>
      </c>
      <c r="L714" t="s">
        <v>89</v>
      </c>
      <c r="M714" t="s">
        <v>424</v>
      </c>
      <c r="N714">
        <v>3.08071516317E-3</v>
      </c>
      <c r="O714">
        <v>21.804393999999998</v>
      </c>
      <c r="P714" t="s">
        <v>421</v>
      </c>
      <c r="Q714">
        <v>1</v>
      </c>
      <c r="V714">
        <v>1</v>
      </c>
      <c r="W714">
        <v>1</v>
      </c>
      <c r="X714">
        <v>1</v>
      </c>
      <c r="Y714">
        <v>1</v>
      </c>
      <c r="Z714">
        <v>21.804393999999998</v>
      </c>
    </row>
    <row r="715" spans="1:26" x14ac:dyDescent="0.25">
      <c r="A715">
        <v>68376</v>
      </c>
      <c r="B715" t="s">
        <v>152</v>
      </c>
      <c r="C715">
        <v>2019</v>
      </c>
      <c r="D715">
        <v>1</v>
      </c>
      <c r="E715" t="s">
        <v>415</v>
      </c>
      <c r="F715" t="s">
        <v>434</v>
      </c>
      <c r="G715" t="s">
        <v>435</v>
      </c>
      <c r="H715" t="s">
        <v>84</v>
      </c>
      <c r="I715" t="s">
        <v>438</v>
      </c>
      <c r="J715" t="s">
        <v>59</v>
      </c>
      <c r="K715">
        <v>-7077.7054262600004</v>
      </c>
      <c r="L715" t="s">
        <v>89</v>
      </c>
      <c r="M715" t="s">
        <v>425</v>
      </c>
      <c r="N715">
        <v>2.5360775708E-3</v>
      </c>
      <c r="O715">
        <v>17.94961</v>
      </c>
      <c r="P715" t="s">
        <v>421</v>
      </c>
      <c r="Q715">
        <v>1</v>
      </c>
      <c r="V715">
        <v>1</v>
      </c>
      <c r="W715">
        <v>1</v>
      </c>
      <c r="X715">
        <v>1</v>
      </c>
      <c r="Y715">
        <v>1</v>
      </c>
      <c r="Z715">
        <v>17.94961</v>
      </c>
    </row>
    <row r="716" spans="1:26" x14ac:dyDescent="0.25">
      <c r="A716">
        <v>122947</v>
      </c>
      <c r="B716" t="s">
        <v>216</v>
      </c>
      <c r="C716">
        <v>2020</v>
      </c>
      <c r="D716">
        <v>1</v>
      </c>
      <c r="E716" t="s">
        <v>415</v>
      </c>
      <c r="F716" t="s">
        <v>416</v>
      </c>
      <c r="G716" t="s">
        <v>417</v>
      </c>
      <c r="H716" t="s">
        <v>84</v>
      </c>
      <c r="I716" t="s">
        <v>418</v>
      </c>
      <c r="J716" t="s">
        <v>419</v>
      </c>
      <c r="K716">
        <v>-50313.865700000002</v>
      </c>
      <c r="L716" t="s">
        <v>85</v>
      </c>
      <c r="M716" t="s">
        <v>420</v>
      </c>
      <c r="N716">
        <v>0.24824931095561001</v>
      </c>
      <c r="O716">
        <v>12490.382492000001</v>
      </c>
      <c r="P716" t="s">
        <v>421</v>
      </c>
      <c r="Q716">
        <v>1</v>
      </c>
      <c r="V716">
        <v>1</v>
      </c>
      <c r="W716">
        <v>1</v>
      </c>
      <c r="X716">
        <v>1</v>
      </c>
      <c r="Y716">
        <v>1</v>
      </c>
      <c r="Z716">
        <v>12490.382492000001</v>
      </c>
    </row>
    <row r="717" spans="1:26" x14ac:dyDescent="0.25">
      <c r="A717">
        <v>122948</v>
      </c>
      <c r="B717" t="s">
        <v>216</v>
      </c>
      <c r="C717">
        <v>2020</v>
      </c>
      <c r="D717">
        <v>1</v>
      </c>
      <c r="E717" t="s">
        <v>415</v>
      </c>
      <c r="F717" t="s">
        <v>416</v>
      </c>
      <c r="G717" t="s">
        <v>417</v>
      </c>
      <c r="H717" t="s">
        <v>84</v>
      </c>
      <c r="I717" t="s">
        <v>418</v>
      </c>
      <c r="J717" t="s">
        <v>419</v>
      </c>
      <c r="K717">
        <v>-50313.865700000002</v>
      </c>
      <c r="L717" t="s">
        <v>85</v>
      </c>
      <c r="M717" t="s">
        <v>422</v>
      </c>
      <c r="N717">
        <v>7.7540047892240005E-2</v>
      </c>
      <c r="O717">
        <v>3901.3395559999999</v>
      </c>
      <c r="P717" t="s">
        <v>421</v>
      </c>
      <c r="Q717">
        <v>1</v>
      </c>
      <c r="V717">
        <v>1</v>
      </c>
      <c r="W717">
        <v>1</v>
      </c>
      <c r="X717">
        <v>1</v>
      </c>
      <c r="Y717">
        <v>1</v>
      </c>
      <c r="Z717">
        <v>3901.3395559999999</v>
      </c>
    </row>
    <row r="718" spans="1:26" x14ac:dyDescent="0.25">
      <c r="A718">
        <v>122949</v>
      </c>
      <c r="B718" t="s">
        <v>216</v>
      </c>
      <c r="C718">
        <v>2020</v>
      </c>
      <c r="D718">
        <v>1</v>
      </c>
      <c r="E718" t="s">
        <v>415</v>
      </c>
      <c r="F718" t="s">
        <v>416</v>
      </c>
      <c r="G718" t="s">
        <v>417</v>
      </c>
      <c r="H718" t="s">
        <v>84</v>
      </c>
      <c r="I718" t="s">
        <v>418</v>
      </c>
      <c r="J718" t="s">
        <v>419</v>
      </c>
      <c r="K718">
        <v>-50313.865700000002</v>
      </c>
      <c r="L718" t="s">
        <v>85</v>
      </c>
      <c r="M718" t="s">
        <v>423</v>
      </c>
      <c r="N718">
        <v>0.73979703899049998</v>
      </c>
      <c r="O718">
        <v>37222.048864999997</v>
      </c>
      <c r="P718" t="s">
        <v>421</v>
      </c>
      <c r="Q718">
        <v>1</v>
      </c>
      <c r="V718">
        <v>1</v>
      </c>
      <c r="W718">
        <v>1</v>
      </c>
      <c r="X718">
        <v>1</v>
      </c>
      <c r="Y718">
        <v>1</v>
      </c>
      <c r="Z718">
        <v>37222.048864999997</v>
      </c>
    </row>
    <row r="719" spans="1:26" x14ac:dyDescent="0.25">
      <c r="A719">
        <v>122950</v>
      </c>
      <c r="B719" t="s">
        <v>216</v>
      </c>
      <c r="C719">
        <v>2020</v>
      </c>
      <c r="D719">
        <v>1</v>
      </c>
      <c r="E719" t="s">
        <v>415</v>
      </c>
      <c r="F719" t="s">
        <v>416</v>
      </c>
      <c r="G719" t="s">
        <v>417</v>
      </c>
      <c r="H719" t="s">
        <v>84</v>
      </c>
      <c r="I719" t="s">
        <v>418</v>
      </c>
      <c r="J719" t="s">
        <v>419</v>
      </c>
      <c r="K719">
        <v>-50313.865700000002</v>
      </c>
      <c r="L719" t="s">
        <v>85</v>
      </c>
      <c r="M719" t="s">
        <v>424</v>
      </c>
      <c r="N719">
        <v>2.9085775596699999E-3</v>
      </c>
      <c r="O719">
        <v>146.341781</v>
      </c>
      <c r="P719" t="s">
        <v>421</v>
      </c>
      <c r="Q719">
        <v>1</v>
      </c>
      <c r="V719">
        <v>1</v>
      </c>
      <c r="W719">
        <v>1</v>
      </c>
      <c r="X719">
        <v>1</v>
      </c>
      <c r="Y719">
        <v>1</v>
      </c>
      <c r="Z719">
        <v>146.341781</v>
      </c>
    </row>
    <row r="720" spans="1:26" x14ac:dyDescent="0.25">
      <c r="A720">
        <v>122951</v>
      </c>
      <c r="B720" t="s">
        <v>216</v>
      </c>
      <c r="C720">
        <v>2020</v>
      </c>
      <c r="D720">
        <v>1</v>
      </c>
      <c r="E720" t="s">
        <v>415</v>
      </c>
      <c r="F720" t="s">
        <v>416</v>
      </c>
      <c r="G720" t="s">
        <v>417</v>
      </c>
      <c r="H720" t="s">
        <v>84</v>
      </c>
      <c r="I720" t="s">
        <v>418</v>
      </c>
      <c r="J720" t="s">
        <v>419</v>
      </c>
      <c r="K720">
        <v>-50313.865700000002</v>
      </c>
      <c r="L720" t="s">
        <v>85</v>
      </c>
      <c r="M720" t="s">
        <v>425</v>
      </c>
      <c r="N720">
        <v>2.6170694898000001E-3</v>
      </c>
      <c r="O720">
        <v>131.67488299999999</v>
      </c>
      <c r="P720" t="s">
        <v>421</v>
      </c>
      <c r="Q720">
        <v>1</v>
      </c>
      <c r="V720">
        <v>1</v>
      </c>
      <c r="W720">
        <v>1</v>
      </c>
      <c r="X720">
        <v>1</v>
      </c>
      <c r="Y720">
        <v>1</v>
      </c>
      <c r="Z720">
        <v>131.67488299999999</v>
      </c>
    </row>
    <row r="721" spans="1:26" x14ac:dyDescent="0.25">
      <c r="A721">
        <v>122952</v>
      </c>
      <c r="B721" t="s">
        <v>216</v>
      </c>
      <c r="C721">
        <v>2020</v>
      </c>
      <c r="D721">
        <v>1</v>
      </c>
      <c r="E721" t="s">
        <v>415</v>
      </c>
      <c r="F721" t="s">
        <v>416</v>
      </c>
      <c r="G721" t="s">
        <v>417</v>
      </c>
      <c r="H721" t="s">
        <v>84</v>
      </c>
      <c r="I721" t="s">
        <v>426</v>
      </c>
      <c r="J721" t="s">
        <v>87</v>
      </c>
      <c r="K721">
        <v>-17876.325209719998</v>
      </c>
      <c r="L721" t="s">
        <v>427</v>
      </c>
      <c r="M721" t="s">
        <v>420</v>
      </c>
      <c r="N721">
        <v>0.45523813654234002</v>
      </c>
      <c r="O721">
        <v>8137.9849770000001</v>
      </c>
      <c r="P721" t="s">
        <v>421</v>
      </c>
      <c r="Q721">
        <v>1</v>
      </c>
      <c r="V721">
        <v>1</v>
      </c>
      <c r="W721">
        <v>1</v>
      </c>
      <c r="X721">
        <v>1</v>
      </c>
      <c r="Y721">
        <v>1</v>
      </c>
      <c r="Z721">
        <v>8137.9849770000001</v>
      </c>
    </row>
    <row r="722" spans="1:26" x14ac:dyDescent="0.25">
      <c r="A722">
        <v>122953</v>
      </c>
      <c r="B722" t="s">
        <v>216</v>
      </c>
      <c r="C722">
        <v>2020</v>
      </c>
      <c r="D722">
        <v>1</v>
      </c>
      <c r="E722" t="s">
        <v>415</v>
      </c>
      <c r="F722" t="s">
        <v>416</v>
      </c>
      <c r="G722" t="s">
        <v>417</v>
      </c>
      <c r="H722" t="s">
        <v>84</v>
      </c>
      <c r="I722" t="s">
        <v>426</v>
      </c>
      <c r="J722" t="s">
        <v>87</v>
      </c>
      <c r="K722">
        <v>-17876.325209719998</v>
      </c>
      <c r="L722" t="s">
        <v>427</v>
      </c>
      <c r="M722" t="s">
        <v>422</v>
      </c>
      <c r="N722">
        <v>6.8896616392329996E-2</v>
      </c>
      <c r="O722">
        <v>1231.61832</v>
      </c>
      <c r="P722" t="s">
        <v>421</v>
      </c>
      <c r="Q722">
        <v>1</v>
      </c>
      <c r="V722">
        <v>1</v>
      </c>
      <c r="W722">
        <v>1</v>
      </c>
      <c r="X722">
        <v>1</v>
      </c>
      <c r="Y722">
        <v>1</v>
      </c>
      <c r="Z722">
        <v>1231.61832</v>
      </c>
    </row>
    <row r="723" spans="1:26" x14ac:dyDescent="0.25">
      <c r="A723">
        <v>122954</v>
      </c>
      <c r="B723" t="s">
        <v>216</v>
      </c>
      <c r="C723">
        <v>2020</v>
      </c>
      <c r="D723">
        <v>1</v>
      </c>
      <c r="E723" t="s">
        <v>415</v>
      </c>
      <c r="F723" t="s">
        <v>416</v>
      </c>
      <c r="G723" t="s">
        <v>417</v>
      </c>
      <c r="H723" t="s">
        <v>84</v>
      </c>
      <c r="I723" t="s">
        <v>426</v>
      </c>
      <c r="J723" t="s">
        <v>87</v>
      </c>
      <c r="K723">
        <v>-17876.325209719998</v>
      </c>
      <c r="L723" t="s">
        <v>427</v>
      </c>
      <c r="M723" t="s">
        <v>423</v>
      </c>
      <c r="N723">
        <v>0.70986919705586005</v>
      </c>
      <c r="O723">
        <v>12689.852623000001</v>
      </c>
      <c r="P723" t="s">
        <v>421</v>
      </c>
      <c r="Q723">
        <v>1</v>
      </c>
      <c r="V723">
        <v>1</v>
      </c>
      <c r="W723">
        <v>1</v>
      </c>
      <c r="X723">
        <v>1</v>
      </c>
      <c r="Y723">
        <v>1</v>
      </c>
      <c r="Z723">
        <v>12689.852623000001</v>
      </c>
    </row>
    <row r="724" spans="1:26" x14ac:dyDescent="0.25">
      <c r="A724">
        <v>122955</v>
      </c>
      <c r="B724" t="s">
        <v>216</v>
      </c>
      <c r="C724">
        <v>2020</v>
      </c>
      <c r="D724">
        <v>1</v>
      </c>
      <c r="E724" t="s">
        <v>415</v>
      </c>
      <c r="F724" t="s">
        <v>416</v>
      </c>
      <c r="G724" t="s">
        <v>417</v>
      </c>
      <c r="H724" t="s">
        <v>84</v>
      </c>
      <c r="I724" t="s">
        <v>426</v>
      </c>
      <c r="J724" t="s">
        <v>87</v>
      </c>
      <c r="K724">
        <v>-17876.325209719998</v>
      </c>
      <c r="L724" t="s">
        <v>427</v>
      </c>
      <c r="M724" t="s">
        <v>425</v>
      </c>
      <c r="N724">
        <v>1.4965642882E-3</v>
      </c>
      <c r="O724">
        <v>26.753070000000001</v>
      </c>
      <c r="P724" t="s">
        <v>421</v>
      </c>
      <c r="Q724">
        <v>1</v>
      </c>
      <c r="V724">
        <v>1</v>
      </c>
      <c r="W724">
        <v>1</v>
      </c>
      <c r="X724">
        <v>1</v>
      </c>
      <c r="Y724">
        <v>1</v>
      </c>
      <c r="Z724">
        <v>26.753070000000001</v>
      </c>
    </row>
    <row r="725" spans="1:26" x14ac:dyDescent="0.25">
      <c r="A725">
        <v>122956</v>
      </c>
      <c r="B725" t="s">
        <v>216</v>
      </c>
      <c r="C725">
        <v>2020</v>
      </c>
      <c r="D725">
        <v>1</v>
      </c>
      <c r="E725" t="s">
        <v>415</v>
      </c>
      <c r="F725" t="s">
        <v>416</v>
      </c>
      <c r="G725" t="s">
        <v>417</v>
      </c>
      <c r="H725" t="s">
        <v>84</v>
      </c>
      <c r="I725" t="s">
        <v>428</v>
      </c>
      <c r="J725" t="s">
        <v>59</v>
      </c>
      <c r="K725">
        <v>-24287.014211999998</v>
      </c>
      <c r="L725" t="s">
        <v>89</v>
      </c>
      <c r="M725" t="s">
        <v>420</v>
      </c>
      <c r="N725">
        <v>0.26343870574139999</v>
      </c>
      <c r="O725">
        <v>6398.1395899999998</v>
      </c>
      <c r="P725" t="s">
        <v>421</v>
      </c>
      <c r="Q725">
        <v>1</v>
      </c>
      <c r="V725">
        <v>1</v>
      </c>
      <c r="W725">
        <v>1</v>
      </c>
      <c r="X725">
        <v>1</v>
      </c>
      <c r="Y725">
        <v>1</v>
      </c>
      <c r="Z725">
        <v>6398.1395899999998</v>
      </c>
    </row>
    <row r="726" spans="1:26" x14ac:dyDescent="0.25">
      <c r="A726">
        <v>122957</v>
      </c>
      <c r="B726" t="s">
        <v>216</v>
      </c>
      <c r="C726">
        <v>2020</v>
      </c>
      <c r="D726">
        <v>1</v>
      </c>
      <c r="E726" t="s">
        <v>415</v>
      </c>
      <c r="F726" t="s">
        <v>416</v>
      </c>
      <c r="G726" t="s">
        <v>417</v>
      </c>
      <c r="H726" t="s">
        <v>84</v>
      </c>
      <c r="I726" t="s">
        <v>428</v>
      </c>
      <c r="J726" t="s">
        <v>59</v>
      </c>
      <c r="K726">
        <v>-24287.014211999998</v>
      </c>
      <c r="L726" t="s">
        <v>89</v>
      </c>
      <c r="M726" t="s">
        <v>422</v>
      </c>
      <c r="N726">
        <v>7.1262429683470005E-2</v>
      </c>
      <c r="O726">
        <v>1730.7516430000001</v>
      </c>
      <c r="P726" t="s">
        <v>421</v>
      </c>
      <c r="Q726">
        <v>1</v>
      </c>
      <c r="V726">
        <v>1</v>
      </c>
      <c r="W726">
        <v>1</v>
      </c>
      <c r="X726">
        <v>1</v>
      </c>
      <c r="Y726">
        <v>1</v>
      </c>
      <c r="Z726">
        <v>1730.7516430000001</v>
      </c>
    </row>
    <row r="727" spans="1:26" x14ac:dyDescent="0.25">
      <c r="A727">
        <v>122958</v>
      </c>
      <c r="B727" t="s">
        <v>216</v>
      </c>
      <c r="C727">
        <v>2020</v>
      </c>
      <c r="D727">
        <v>1</v>
      </c>
      <c r="E727" t="s">
        <v>415</v>
      </c>
      <c r="F727" t="s">
        <v>416</v>
      </c>
      <c r="G727" t="s">
        <v>417</v>
      </c>
      <c r="H727" t="s">
        <v>84</v>
      </c>
      <c r="I727" t="s">
        <v>428</v>
      </c>
      <c r="J727" t="s">
        <v>59</v>
      </c>
      <c r="K727">
        <v>-24287.014211999998</v>
      </c>
      <c r="L727" t="s">
        <v>89</v>
      </c>
      <c r="M727" t="s">
        <v>423</v>
      </c>
      <c r="N727">
        <v>0.74738783869542003</v>
      </c>
      <c r="O727">
        <v>18151.819060000002</v>
      </c>
      <c r="P727" t="s">
        <v>421</v>
      </c>
      <c r="Q727">
        <v>1</v>
      </c>
      <c r="V727">
        <v>1</v>
      </c>
      <c r="W727">
        <v>1</v>
      </c>
      <c r="X727">
        <v>1</v>
      </c>
      <c r="Y727">
        <v>1</v>
      </c>
      <c r="Z727">
        <v>18151.819060000002</v>
      </c>
    </row>
    <row r="728" spans="1:26" x14ac:dyDescent="0.25">
      <c r="A728">
        <v>122959</v>
      </c>
      <c r="B728" t="s">
        <v>216</v>
      </c>
      <c r="C728">
        <v>2020</v>
      </c>
      <c r="D728">
        <v>1</v>
      </c>
      <c r="E728" t="s">
        <v>415</v>
      </c>
      <c r="F728" t="s">
        <v>416</v>
      </c>
      <c r="G728" t="s">
        <v>417</v>
      </c>
      <c r="H728" t="s">
        <v>84</v>
      </c>
      <c r="I728" t="s">
        <v>428</v>
      </c>
      <c r="J728" t="s">
        <v>59</v>
      </c>
      <c r="K728">
        <v>-24287.014211999998</v>
      </c>
      <c r="L728" t="s">
        <v>89</v>
      </c>
      <c r="M728" t="s">
        <v>424</v>
      </c>
      <c r="N728">
        <v>3.08071516317E-3</v>
      </c>
      <c r="O728">
        <v>74.821372999999994</v>
      </c>
      <c r="P728" t="s">
        <v>421</v>
      </c>
      <c r="Q728">
        <v>1</v>
      </c>
      <c r="V728">
        <v>1</v>
      </c>
      <c r="W728">
        <v>1</v>
      </c>
      <c r="X728">
        <v>1</v>
      </c>
      <c r="Y728">
        <v>1</v>
      </c>
      <c r="Z728">
        <v>74.821372999999994</v>
      </c>
    </row>
    <row r="729" spans="1:26" x14ac:dyDescent="0.25">
      <c r="A729">
        <v>122960</v>
      </c>
      <c r="B729" t="s">
        <v>216</v>
      </c>
      <c r="C729">
        <v>2020</v>
      </c>
      <c r="D729">
        <v>1</v>
      </c>
      <c r="E729" t="s">
        <v>415</v>
      </c>
      <c r="F729" t="s">
        <v>416</v>
      </c>
      <c r="G729" t="s">
        <v>417</v>
      </c>
      <c r="H729" t="s">
        <v>84</v>
      </c>
      <c r="I729" t="s">
        <v>428</v>
      </c>
      <c r="J729" t="s">
        <v>59</v>
      </c>
      <c r="K729">
        <v>-24287.014211999998</v>
      </c>
      <c r="L729" t="s">
        <v>89</v>
      </c>
      <c r="M729" t="s">
        <v>425</v>
      </c>
      <c r="N729">
        <v>2.5360775708E-3</v>
      </c>
      <c r="O729">
        <v>61.593752000000002</v>
      </c>
      <c r="P729" t="s">
        <v>421</v>
      </c>
      <c r="Q729">
        <v>1</v>
      </c>
      <c r="V729">
        <v>1</v>
      </c>
      <c r="W729">
        <v>1</v>
      </c>
      <c r="X729">
        <v>1</v>
      </c>
      <c r="Y729">
        <v>1</v>
      </c>
      <c r="Z729">
        <v>61.593752000000002</v>
      </c>
    </row>
    <row r="730" spans="1:26" x14ac:dyDescent="0.25">
      <c r="A730">
        <v>122961</v>
      </c>
      <c r="B730" t="s">
        <v>216</v>
      </c>
      <c r="C730">
        <v>2020</v>
      </c>
      <c r="D730">
        <v>1</v>
      </c>
      <c r="E730" t="s">
        <v>415</v>
      </c>
      <c r="F730" t="s">
        <v>429</v>
      </c>
      <c r="G730" t="s">
        <v>430</v>
      </c>
      <c r="H730" t="s">
        <v>84</v>
      </c>
      <c r="I730" t="s">
        <v>431</v>
      </c>
      <c r="J730" t="s">
        <v>419</v>
      </c>
      <c r="K730">
        <v>-70320.937767369993</v>
      </c>
      <c r="L730" t="s">
        <v>85</v>
      </c>
      <c r="M730" t="s">
        <v>420</v>
      </c>
      <c r="N730">
        <v>0.24824931095561001</v>
      </c>
      <c r="O730">
        <v>17457.124347000001</v>
      </c>
      <c r="P730" t="s">
        <v>421</v>
      </c>
      <c r="Q730">
        <v>1</v>
      </c>
      <c r="V730">
        <v>1</v>
      </c>
      <c r="W730">
        <v>1</v>
      </c>
      <c r="X730">
        <v>1</v>
      </c>
      <c r="Y730">
        <v>1</v>
      </c>
      <c r="Z730">
        <v>17457.124347000001</v>
      </c>
    </row>
    <row r="731" spans="1:26" x14ac:dyDescent="0.25">
      <c r="A731">
        <v>122962</v>
      </c>
      <c r="B731" t="s">
        <v>216</v>
      </c>
      <c r="C731">
        <v>2020</v>
      </c>
      <c r="D731">
        <v>1</v>
      </c>
      <c r="E731" t="s">
        <v>415</v>
      </c>
      <c r="F731" t="s">
        <v>429</v>
      </c>
      <c r="G731" t="s">
        <v>430</v>
      </c>
      <c r="H731" t="s">
        <v>84</v>
      </c>
      <c r="I731" t="s">
        <v>431</v>
      </c>
      <c r="J731" t="s">
        <v>419</v>
      </c>
      <c r="K731">
        <v>-70320.937767369993</v>
      </c>
      <c r="L731" t="s">
        <v>85</v>
      </c>
      <c r="M731" t="s">
        <v>422</v>
      </c>
      <c r="N731">
        <v>7.7540047892240005E-2</v>
      </c>
      <c r="O731">
        <v>5452.6888820000004</v>
      </c>
      <c r="P731" t="s">
        <v>421</v>
      </c>
      <c r="Q731">
        <v>1</v>
      </c>
      <c r="V731">
        <v>1</v>
      </c>
      <c r="W731">
        <v>1</v>
      </c>
      <c r="X731">
        <v>1</v>
      </c>
      <c r="Y731">
        <v>1</v>
      </c>
      <c r="Z731">
        <v>5452.6888820000004</v>
      </c>
    </row>
    <row r="732" spans="1:26" x14ac:dyDescent="0.25">
      <c r="A732">
        <v>122963</v>
      </c>
      <c r="B732" t="s">
        <v>216</v>
      </c>
      <c r="C732">
        <v>2020</v>
      </c>
      <c r="D732">
        <v>1</v>
      </c>
      <c r="E732" t="s">
        <v>415</v>
      </c>
      <c r="F732" t="s">
        <v>429</v>
      </c>
      <c r="G732" t="s">
        <v>430</v>
      </c>
      <c r="H732" t="s">
        <v>84</v>
      </c>
      <c r="I732" t="s">
        <v>431</v>
      </c>
      <c r="J732" t="s">
        <v>419</v>
      </c>
      <c r="K732">
        <v>-70320.937767369993</v>
      </c>
      <c r="L732" t="s">
        <v>85</v>
      </c>
      <c r="M732" t="s">
        <v>423</v>
      </c>
      <c r="N732">
        <v>0.73979703899049998</v>
      </c>
      <c r="O732">
        <v>52023.221538999998</v>
      </c>
      <c r="P732" t="s">
        <v>421</v>
      </c>
      <c r="Q732">
        <v>1</v>
      </c>
      <c r="V732">
        <v>1</v>
      </c>
      <c r="W732">
        <v>1</v>
      </c>
      <c r="X732">
        <v>1</v>
      </c>
      <c r="Y732">
        <v>1</v>
      </c>
      <c r="Z732">
        <v>52023.221538999998</v>
      </c>
    </row>
    <row r="733" spans="1:26" x14ac:dyDescent="0.25">
      <c r="A733">
        <v>122964</v>
      </c>
      <c r="B733" t="s">
        <v>216</v>
      </c>
      <c r="C733">
        <v>2020</v>
      </c>
      <c r="D733">
        <v>1</v>
      </c>
      <c r="E733" t="s">
        <v>415</v>
      </c>
      <c r="F733" t="s">
        <v>429</v>
      </c>
      <c r="G733" t="s">
        <v>430</v>
      </c>
      <c r="H733" t="s">
        <v>84</v>
      </c>
      <c r="I733" t="s">
        <v>431</v>
      </c>
      <c r="J733" t="s">
        <v>419</v>
      </c>
      <c r="K733">
        <v>-70320.937767369993</v>
      </c>
      <c r="L733" t="s">
        <v>85</v>
      </c>
      <c r="M733" t="s">
        <v>424</v>
      </c>
      <c r="N733">
        <v>2.9085775596699999E-3</v>
      </c>
      <c r="O733">
        <v>204.53390200000001</v>
      </c>
      <c r="P733" t="s">
        <v>421</v>
      </c>
      <c r="Q733">
        <v>1</v>
      </c>
      <c r="V733">
        <v>1</v>
      </c>
      <c r="W733">
        <v>1</v>
      </c>
      <c r="X733">
        <v>1</v>
      </c>
      <c r="Y733">
        <v>1</v>
      </c>
      <c r="Z733">
        <v>204.53390200000001</v>
      </c>
    </row>
    <row r="734" spans="1:26" x14ac:dyDescent="0.25">
      <c r="A734">
        <v>122965</v>
      </c>
      <c r="B734" t="s">
        <v>216</v>
      </c>
      <c r="C734">
        <v>2020</v>
      </c>
      <c r="D734">
        <v>1</v>
      </c>
      <c r="E734" t="s">
        <v>415</v>
      </c>
      <c r="F734" t="s">
        <v>429</v>
      </c>
      <c r="G734" t="s">
        <v>430</v>
      </c>
      <c r="H734" t="s">
        <v>84</v>
      </c>
      <c r="I734" t="s">
        <v>431</v>
      </c>
      <c r="J734" t="s">
        <v>419</v>
      </c>
      <c r="K734">
        <v>-70320.937767369993</v>
      </c>
      <c r="L734" t="s">
        <v>85</v>
      </c>
      <c r="M734" t="s">
        <v>425</v>
      </c>
      <c r="N734">
        <v>2.6170694898000001E-3</v>
      </c>
      <c r="O734">
        <v>184.03478100000001</v>
      </c>
      <c r="P734" t="s">
        <v>421</v>
      </c>
      <c r="Q734">
        <v>1</v>
      </c>
      <c r="V734">
        <v>1</v>
      </c>
      <c r="W734">
        <v>1</v>
      </c>
      <c r="X734">
        <v>1</v>
      </c>
      <c r="Y734">
        <v>1</v>
      </c>
      <c r="Z734">
        <v>184.03478100000001</v>
      </c>
    </row>
    <row r="735" spans="1:26" x14ac:dyDescent="0.25">
      <c r="A735">
        <v>122966</v>
      </c>
      <c r="B735" t="s">
        <v>216</v>
      </c>
      <c r="C735">
        <v>2020</v>
      </c>
      <c r="D735">
        <v>1</v>
      </c>
      <c r="E735" t="s">
        <v>415</v>
      </c>
      <c r="F735" t="s">
        <v>429</v>
      </c>
      <c r="G735" t="s">
        <v>430</v>
      </c>
      <c r="H735" t="s">
        <v>84</v>
      </c>
      <c r="I735" t="s">
        <v>432</v>
      </c>
      <c r="J735" t="s">
        <v>87</v>
      </c>
      <c r="K735">
        <v>-23722.572026260001</v>
      </c>
      <c r="L735" t="s">
        <v>427</v>
      </c>
      <c r="M735" t="s">
        <v>420</v>
      </c>
      <c r="N735">
        <v>0.45523813654234002</v>
      </c>
      <c r="O735">
        <v>10799.419483</v>
      </c>
      <c r="P735" t="s">
        <v>421</v>
      </c>
      <c r="Q735">
        <v>1</v>
      </c>
      <c r="V735">
        <v>1</v>
      </c>
      <c r="W735">
        <v>1</v>
      </c>
      <c r="X735">
        <v>1</v>
      </c>
      <c r="Y735">
        <v>1</v>
      </c>
      <c r="Z735">
        <v>10799.419483</v>
      </c>
    </row>
    <row r="736" spans="1:26" x14ac:dyDescent="0.25">
      <c r="A736">
        <v>122967</v>
      </c>
      <c r="B736" t="s">
        <v>216</v>
      </c>
      <c r="C736">
        <v>2020</v>
      </c>
      <c r="D736">
        <v>1</v>
      </c>
      <c r="E736" t="s">
        <v>415</v>
      </c>
      <c r="F736" t="s">
        <v>429</v>
      </c>
      <c r="G736" t="s">
        <v>430</v>
      </c>
      <c r="H736" t="s">
        <v>84</v>
      </c>
      <c r="I736" t="s">
        <v>432</v>
      </c>
      <c r="J736" t="s">
        <v>87</v>
      </c>
      <c r="K736">
        <v>-23722.572026260001</v>
      </c>
      <c r="L736" t="s">
        <v>427</v>
      </c>
      <c r="M736" t="s">
        <v>422</v>
      </c>
      <c r="N736">
        <v>6.8896616392329996E-2</v>
      </c>
      <c r="O736">
        <v>1634.404945</v>
      </c>
      <c r="P736" t="s">
        <v>421</v>
      </c>
      <c r="Q736">
        <v>1</v>
      </c>
      <c r="V736">
        <v>1</v>
      </c>
      <c r="W736">
        <v>1</v>
      </c>
      <c r="X736">
        <v>1</v>
      </c>
      <c r="Y736">
        <v>1</v>
      </c>
      <c r="Z736">
        <v>1634.404945</v>
      </c>
    </row>
    <row r="737" spans="1:26" x14ac:dyDescent="0.25">
      <c r="A737">
        <v>122968</v>
      </c>
      <c r="B737" t="s">
        <v>216</v>
      </c>
      <c r="C737">
        <v>2020</v>
      </c>
      <c r="D737">
        <v>1</v>
      </c>
      <c r="E737" t="s">
        <v>415</v>
      </c>
      <c r="F737" t="s">
        <v>429</v>
      </c>
      <c r="G737" t="s">
        <v>430</v>
      </c>
      <c r="H737" t="s">
        <v>84</v>
      </c>
      <c r="I737" t="s">
        <v>432</v>
      </c>
      <c r="J737" t="s">
        <v>87</v>
      </c>
      <c r="K737">
        <v>-23722.572026260001</v>
      </c>
      <c r="L737" t="s">
        <v>427</v>
      </c>
      <c r="M737" t="s">
        <v>423</v>
      </c>
      <c r="N737">
        <v>0.70986919705586005</v>
      </c>
      <c r="O737">
        <v>16839.923156000001</v>
      </c>
      <c r="P737" t="s">
        <v>421</v>
      </c>
      <c r="Q737">
        <v>1</v>
      </c>
      <c r="V737">
        <v>1</v>
      </c>
      <c r="W737">
        <v>1</v>
      </c>
      <c r="X737">
        <v>1</v>
      </c>
      <c r="Y737">
        <v>1</v>
      </c>
      <c r="Z737">
        <v>16839.923156000001</v>
      </c>
    </row>
    <row r="738" spans="1:26" x14ac:dyDescent="0.25">
      <c r="A738">
        <v>122969</v>
      </c>
      <c r="B738" t="s">
        <v>216</v>
      </c>
      <c r="C738">
        <v>2020</v>
      </c>
      <c r="D738">
        <v>1</v>
      </c>
      <c r="E738" t="s">
        <v>415</v>
      </c>
      <c r="F738" t="s">
        <v>429</v>
      </c>
      <c r="G738" t="s">
        <v>430</v>
      </c>
      <c r="H738" t="s">
        <v>84</v>
      </c>
      <c r="I738" t="s">
        <v>432</v>
      </c>
      <c r="J738" t="s">
        <v>87</v>
      </c>
      <c r="K738">
        <v>-23722.572026260001</v>
      </c>
      <c r="L738" t="s">
        <v>427</v>
      </c>
      <c r="M738" t="s">
        <v>425</v>
      </c>
      <c r="N738">
        <v>1.4965642882E-3</v>
      </c>
      <c r="O738">
        <v>35.502353999999997</v>
      </c>
      <c r="P738" t="s">
        <v>421</v>
      </c>
      <c r="Q738">
        <v>1</v>
      </c>
      <c r="V738">
        <v>1</v>
      </c>
      <c r="W738">
        <v>1</v>
      </c>
      <c r="X738">
        <v>1</v>
      </c>
      <c r="Y738">
        <v>1</v>
      </c>
      <c r="Z738">
        <v>35.502353999999997</v>
      </c>
    </row>
    <row r="739" spans="1:26" x14ac:dyDescent="0.25">
      <c r="A739">
        <v>122970</v>
      </c>
      <c r="B739" t="s">
        <v>216</v>
      </c>
      <c r="C739">
        <v>2020</v>
      </c>
      <c r="D739">
        <v>1</v>
      </c>
      <c r="E739" t="s">
        <v>415</v>
      </c>
      <c r="F739" t="s">
        <v>429</v>
      </c>
      <c r="G739" t="s">
        <v>430</v>
      </c>
      <c r="H739" t="s">
        <v>84</v>
      </c>
      <c r="I739" t="s">
        <v>433</v>
      </c>
      <c r="J739" t="s">
        <v>59</v>
      </c>
      <c r="K739">
        <v>-29615.803185100001</v>
      </c>
      <c r="L739" t="s">
        <v>89</v>
      </c>
      <c r="M739" t="s">
        <v>420</v>
      </c>
      <c r="N739">
        <v>0.26343870574139999</v>
      </c>
      <c r="O739">
        <v>7801.9488609999999</v>
      </c>
      <c r="P739" t="s">
        <v>421</v>
      </c>
      <c r="Q739">
        <v>1</v>
      </c>
      <c r="V739">
        <v>1</v>
      </c>
      <c r="W739">
        <v>1</v>
      </c>
      <c r="X739">
        <v>1</v>
      </c>
      <c r="Y739">
        <v>1</v>
      </c>
      <c r="Z739">
        <v>7801.9488609999999</v>
      </c>
    </row>
    <row r="740" spans="1:26" x14ac:dyDescent="0.25">
      <c r="A740">
        <v>122971</v>
      </c>
      <c r="B740" t="s">
        <v>216</v>
      </c>
      <c r="C740">
        <v>2020</v>
      </c>
      <c r="D740">
        <v>1</v>
      </c>
      <c r="E740" t="s">
        <v>415</v>
      </c>
      <c r="F740" t="s">
        <v>429</v>
      </c>
      <c r="G740" t="s">
        <v>430</v>
      </c>
      <c r="H740" t="s">
        <v>84</v>
      </c>
      <c r="I740" t="s">
        <v>433</v>
      </c>
      <c r="J740" t="s">
        <v>59</v>
      </c>
      <c r="K740">
        <v>-29615.803185100001</v>
      </c>
      <c r="L740" t="s">
        <v>89</v>
      </c>
      <c r="M740" t="s">
        <v>422</v>
      </c>
      <c r="N740">
        <v>7.1262429683470005E-2</v>
      </c>
      <c r="O740">
        <v>2110.4940919999999</v>
      </c>
      <c r="P740" t="s">
        <v>421</v>
      </c>
      <c r="Q740">
        <v>1</v>
      </c>
      <c r="V740">
        <v>1</v>
      </c>
      <c r="W740">
        <v>1</v>
      </c>
      <c r="X740">
        <v>1</v>
      </c>
      <c r="Y740">
        <v>1</v>
      </c>
      <c r="Z740">
        <v>2110.4940919999999</v>
      </c>
    </row>
    <row r="741" spans="1:26" x14ac:dyDescent="0.25">
      <c r="A741">
        <v>122972</v>
      </c>
      <c r="B741" t="s">
        <v>216</v>
      </c>
      <c r="C741">
        <v>2020</v>
      </c>
      <c r="D741">
        <v>1</v>
      </c>
      <c r="E741" t="s">
        <v>415</v>
      </c>
      <c r="F741" t="s">
        <v>429</v>
      </c>
      <c r="G741" t="s">
        <v>430</v>
      </c>
      <c r="H741" t="s">
        <v>84</v>
      </c>
      <c r="I741" t="s">
        <v>433</v>
      </c>
      <c r="J741" t="s">
        <v>59</v>
      </c>
      <c r="K741">
        <v>-29615.803185100001</v>
      </c>
      <c r="L741" t="s">
        <v>89</v>
      </c>
      <c r="M741" t="s">
        <v>423</v>
      </c>
      <c r="N741">
        <v>0.74738783869542003</v>
      </c>
      <c r="O741">
        <v>22134.491134</v>
      </c>
      <c r="P741" t="s">
        <v>421</v>
      </c>
      <c r="Q741">
        <v>1</v>
      </c>
      <c r="V741">
        <v>1</v>
      </c>
      <c r="W741">
        <v>1</v>
      </c>
      <c r="X741">
        <v>1</v>
      </c>
      <c r="Y741">
        <v>1</v>
      </c>
      <c r="Z741">
        <v>22134.491134</v>
      </c>
    </row>
    <row r="742" spans="1:26" x14ac:dyDescent="0.25">
      <c r="A742">
        <v>122973</v>
      </c>
      <c r="B742" t="s">
        <v>216</v>
      </c>
      <c r="C742">
        <v>2020</v>
      </c>
      <c r="D742">
        <v>1</v>
      </c>
      <c r="E742" t="s">
        <v>415</v>
      </c>
      <c r="F742" t="s">
        <v>429</v>
      </c>
      <c r="G742" t="s">
        <v>430</v>
      </c>
      <c r="H742" t="s">
        <v>84</v>
      </c>
      <c r="I742" t="s">
        <v>433</v>
      </c>
      <c r="J742" t="s">
        <v>59</v>
      </c>
      <c r="K742">
        <v>-29615.803185100001</v>
      </c>
      <c r="L742" t="s">
        <v>89</v>
      </c>
      <c r="M742" t="s">
        <v>424</v>
      </c>
      <c r="N742">
        <v>3.08071516317E-3</v>
      </c>
      <c r="O742">
        <v>91.237853999999999</v>
      </c>
      <c r="P742" t="s">
        <v>421</v>
      </c>
      <c r="Q742">
        <v>1</v>
      </c>
      <c r="V742">
        <v>1</v>
      </c>
      <c r="W742">
        <v>1</v>
      </c>
      <c r="X742">
        <v>1</v>
      </c>
      <c r="Y742">
        <v>1</v>
      </c>
      <c r="Z742">
        <v>91.237853999999999</v>
      </c>
    </row>
    <row r="743" spans="1:26" x14ac:dyDescent="0.25">
      <c r="A743">
        <v>122974</v>
      </c>
      <c r="B743" t="s">
        <v>216</v>
      </c>
      <c r="C743">
        <v>2020</v>
      </c>
      <c r="D743">
        <v>1</v>
      </c>
      <c r="E743" t="s">
        <v>415</v>
      </c>
      <c r="F743" t="s">
        <v>429</v>
      </c>
      <c r="G743" t="s">
        <v>430</v>
      </c>
      <c r="H743" t="s">
        <v>84</v>
      </c>
      <c r="I743" t="s">
        <v>433</v>
      </c>
      <c r="J743" t="s">
        <v>59</v>
      </c>
      <c r="K743">
        <v>-29615.803185100001</v>
      </c>
      <c r="L743" t="s">
        <v>89</v>
      </c>
      <c r="M743" t="s">
        <v>425</v>
      </c>
      <c r="N743">
        <v>2.5360775708E-3</v>
      </c>
      <c r="O743">
        <v>75.107973999999999</v>
      </c>
      <c r="P743" t="s">
        <v>421</v>
      </c>
      <c r="Q743">
        <v>1</v>
      </c>
      <c r="V743">
        <v>1</v>
      </c>
      <c r="W743">
        <v>1</v>
      </c>
      <c r="X743">
        <v>1</v>
      </c>
      <c r="Y743">
        <v>1</v>
      </c>
      <c r="Z743">
        <v>75.107973999999999</v>
      </c>
    </row>
    <row r="744" spans="1:26" x14ac:dyDescent="0.25">
      <c r="A744">
        <v>122975</v>
      </c>
      <c r="B744" t="s">
        <v>216</v>
      </c>
      <c r="C744">
        <v>2020</v>
      </c>
      <c r="D744">
        <v>1</v>
      </c>
      <c r="E744" t="s">
        <v>415</v>
      </c>
      <c r="F744" t="s">
        <v>434</v>
      </c>
      <c r="G744" t="s">
        <v>435</v>
      </c>
      <c r="H744" t="s">
        <v>84</v>
      </c>
      <c r="I744" t="s">
        <v>436</v>
      </c>
      <c r="J744" t="s">
        <v>419</v>
      </c>
      <c r="K744">
        <v>-39337.967609849999</v>
      </c>
      <c r="L744" t="s">
        <v>85</v>
      </c>
      <c r="M744" t="s">
        <v>420</v>
      </c>
      <c r="N744">
        <v>0.24824931095561001</v>
      </c>
      <c r="O744">
        <v>9765.6233539999994</v>
      </c>
      <c r="P744" t="s">
        <v>421</v>
      </c>
      <c r="Q744">
        <v>1</v>
      </c>
      <c r="V744">
        <v>1</v>
      </c>
      <c r="W744">
        <v>1</v>
      </c>
      <c r="X744">
        <v>1</v>
      </c>
      <c r="Y744">
        <v>1</v>
      </c>
      <c r="Z744">
        <v>9765.6233539999994</v>
      </c>
    </row>
    <row r="745" spans="1:26" x14ac:dyDescent="0.25">
      <c r="A745">
        <v>122976</v>
      </c>
      <c r="B745" t="s">
        <v>216</v>
      </c>
      <c r="C745">
        <v>2020</v>
      </c>
      <c r="D745">
        <v>1</v>
      </c>
      <c r="E745" t="s">
        <v>415</v>
      </c>
      <c r="F745" t="s">
        <v>434</v>
      </c>
      <c r="G745" t="s">
        <v>435</v>
      </c>
      <c r="H745" t="s">
        <v>84</v>
      </c>
      <c r="I745" t="s">
        <v>436</v>
      </c>
      <c r="J745" t="s">
        <v>419</v>
      </c>
      <c r="K745">
        <v>-39337.967609849999</v>
      </c>
      <c r="L745" t="s">
        <v>85</v>
      </c>
      <c r="M745" t="s">
        <v>422</v>
      </c>
      <c r="N745">
        <v>7.7540047892240005E-2</v>
      </c>
      <c r="O745">
        <v>3050.2678919999998</v>
      </c>
      <c r="P745" t="s">
        <v>421</v>
      </c>
      <c r="Q745">
        <v>1</v>
      </c>
      <c r="V745">
        <v>1</v>
      </c>
      <c r="W745">
        <v>1</v>
      </c>
      <c r="X745">
        <v>1</v>
      </c>
      <c r="Y745">
        <v>1</v>
      </c>
      <c r="Z745">
        <v>3050.2678919999998</v>
      </c>
    </row>
    <row r="746" spans="1:26" x14ac:dyDescent="0.25">
      <c r="A746">
        <v>122977</v>
      </c>
      <c r="B746" t="s">
        <v>216</v>
      </c>
      <c r="C746">
        <v>2020</v>
      </c>
      <c r="D746">
        <v>1</v>
      </c>
      <c r="E746" t="s">
        <v>415</v>
      </c>
      <c r="F746" t="s">
        <v>434</v>
      </c>
      <c r="G746" t="s">
        <v>435</v>
      </c>
      <c r="H746" t="s">
        <v>84</v>
      </c>
      <c r="I746" t="s">
        <v>436</v>
      </c>
      <c r="J746" t="s">
        <v>419</v>
      </c>
      <c r="K746">
        <v>-39337.967609849999</v>
      </c>
      <c r="L746" t="s">
        <v>85</v>
      </c>
      <c r="M746" t="s">
        <v>423</v>
      </c>
      <c r="N746">
        <v>0.73979703899049998</v>
      </c>
      <c r="O746">
        <v>29102.111958000001</v>
      </c>
      <c r="P746" t="s">
        <v>421</v>
      </c>
      <c r="Q746">
        <v>1</v>
      </c>
      <c r="V746">
        <v>1</v>
      </c>
      <c r="W746">
        <v>1</v>
      </c>
      <c r="X746">
        <v>1</v>
      </c>
      <c r="Y746">
        <v>1</v>
      </c>
      <c r="Z746">
        <v>29102.111958000001</v>
      </c>
    </row>
    <row r="747" spans="1:26" x14ac:dyDescent="0.25">
      <c r="A747">
        <v>122978</v>
      </c>
      <c r="B747" t="s">
        <v>216</v>
      </c>
      <c r="C747">
        <v>2020</v>
      </c>
      <c r="D747">
        <v>1</v>
      </c>
      <c r="E747" t="s">
        <v>415</v>
      </c>
      <c r="F747" t="s">
        <v>434</v>
      </c>
      <c r="G747" t="s">
        <v>435</v>
      </c>
      <c r="H747" t="s">
        <v>84</v>
      </c>
      <c r="I747" t="s">
        <v>436</v>
      </c>
      <c r="J747" t="s">
        <v>419</v>
      </c>
      <c r="K747">
        <v>-39337.967609849999</v>
      </c>
      <c r="L747" t="s">
        <v>85</v>
      </c>
      <c r="M747" t="s">
        <v>424</v>
      </c>
      <c r="N747">
        <v>2.9085775596699999E-3</v>
      </c>
      <c r="O747">
        <v>114.41753</v>
      </c>
      <c r="P747" t="s">
        <v>421</v>
      </c>
      <c r="Q747">
        <v>1</v>
      </c>
      <c r="V747">
        <v>1</v>
      </c>
      <c r="W747">
        <v>1</v>
      </c>
      <c r="X747">
        <v>1</v>
      </c>
      <c r="Y747">
        <v>1</v>
      </c>
      <c r="Z747">
        <v>114.41753</v>
      </c>
    </row>
    <row r="748" spans="1:26" x14ac:dyDescent="0.25">
      <c r="A748">
        <v>122979</v>
      </c>
      <c r="B748" t="s">
        <v>216</v>
      </c>
      <c r="C748">
        <v>2020</v>
      </c>
      <c r="D748">
        <v>1</v>
      </c>
      <c r="E748" t="s">
        <v>415</v>
      </c>
      <c r="F748" t="s">
        <v>434</v>
      </c>
      <c r="G748" t="s">
        <v>435</v>
      </c>
      <c r="H748" t="s">
        <v>84</v>
      </c>
      <c r="I748" t="s">
        <v>436</v>
      </c>
      <c r="J748" t="s">
        <v>419</v>
      </c>
      <c r="K748">
        <v>-39337.967609849999</v>
      </c>
      <c r="L748" t="s">
        <v>85</v>
      </c>
      <c r="M748" t="s">
        <v>425</v>
      </c>
      <c r="N748">
        <v>2.6170694898000001E-3</v>
      </c>
      <c r="O748">
        <v>102.95019499999999</v>
      </c>
      <c r="P748" t="s">
        <v>421</v>
      </c>
      <c r="Q748">
        <v>1</v>
      </c>
      <c r="V748">
        <v>1</v>
      </c>
      <c r="W748">
        <v>1</v>
      </c>
      <c r="X748">
        <v>1</v>
      </c>
      <c r="Y748">
        <v>1</v>
      </c>
      <c r="Z748">
        <v>102.95019499999999</v>
      </c>
    </row>
    <row r="749" spans="1:26" x14ac:dyDescent="0.25">
      <c r="A749">
        <v>122980</v>
      </c>
      <c r="B749" t="s">
        <v>216</v>
      </c>
      <c r="C749">
        <v>2020</v>
      </c>
      <c r="D749">
        <v>1</v>
      </c>
      <c r="E749" t="s">
        <v>415</v>
      </c>
      <c r="F749" t="s">
        <v>434</v>
      </c>
      <c r="G749" t="s">
        <v>435</v>
      </c>
      <c r="H749" t="s">
        <v>84</v>
      </c>
      <c r="I749" t="s">
        <v>437</v>
      </c>
      <c r="J749" t="s">
        <v>87</v>
      </c>
      <c r="K749">
        <v>-10092.93128768</v>
      </c>
      <c r="L749" t="s">
        <v>427</v>
      </c>
      <c r="M749" t="s">
        <v>420</v>
      </c>
      <c r="N749">
        <v>0.45523813654234002</v>
      </c>
      <c r="O749">
        <v>4594.6872320000002</v>
      </c>
      <c r="P749" t="s">
        <v>421</v>
      </c>
      <c r="Q749">
        <v>1</v>
      </c>
      <c r="V749">
        <v>1</v>
      </c>
      <c r="W749">
        <v>1</v>
      </c>
      <c r="X749">
        <v>1</v>
      </c>
      <c r="Y749">
        <v>1</v>
      </c>
      <c r="Z749">
        <v>4594.6872320000002</v>
      </c>
    </row>
    <row r="750" spans="1:26" x14ac:dyDescent="0.25">
      <c r="A750">
        <v>122981</v>
      </c>
      <c r="B750" t="s">
        <v>216</v>
      </c>
      <c r="C750">
        <v>2020</v>
      </c>
      <c r="D750">
        <v>1</v>
      </c>
      <c r="E750" t="s">
        <v>415</v>
      </c>
      <c r="F750" t="s">
        <v>434</v>
      </c>
      <c r="G750" t="s">
        <v>435</v>
      </c>
      <c r="H750" t="s">
        <v>84</v>
      </c>
      <c r="I750" t="s">
        <v>437</v>
      </c>
      <c r="J750" t="s">
        <v>87</v>
      </c>
      <c r="K750">
        <v>-10092.93128768</v>
      </c>
      <c r="L750" t="s">
        <v>427</v>
      </c>
      <c r="M750" t="s">
        <v>422</v>
      </c>
      <c r="N750">
        <v>6.8896616392329996E-2</v>
      </c>
      <c r="O750">
        <v>695.36881500000004</v>
      </c>
      <c r="P750" t="s">
        <v>421</v>
      </c>
      <c r="Q750">
        <v>1</v>
      </c>
      <c r="V750">
        <v>1</v>
      </c>
      <c r="W750">
        <v>1</v>
      </c>
      <c r="X750">
        <v>1</v>
      </c>
      <c r="Y750">
        <v>1</v>
      </c>
      <c r="Z750">
        <v>695.36881500000004</v>
      </c>
    </row>
    <row r="751" spans="1:26" x14ac:dyDescent="0.25">
      <c r="A751">
        <v>122982</v>
      </c>
      <c r="B751" t="s">
        <v>216</v>
      </c>
      <c r="C751">
        <v>2020</v>
      </c>
      <c r="D751">
        <v>1</v>
      </c>
      <c r="E751" t="s">
        <v>415</v>
      </c>
      <c r="F751" t="s">
        <v>434</v>
      </c>
      <c r="G751" t="s">
        <v>435</v>
      </c>
      <c r="H751" t="s">
        <v>84</v>
      </c>
      <c r="I751" t="s">
        <v>437</v>
      </c>
      <c r="J751" t="s">
        <v>87</v>
      </c>
      <c r="K751">
        <v>-10092.93128768</v>
      </c>
      <c r="L751" t="s">
        <v>427</v>
      </c>
      <c r="M751" t="s">
        <v>423</v>
      </c>
      <c r="N751">
        <v>0.70986919705586005</v>
      </c>
      <c r="O751">
        <v>7164.6610289999999</v>
      </c>
      <c r="P751" t="s">
        <v>421</v>
      </c>
      <c r="Q751">
        <v>1</v>
      </c>
      <c r="V751">
        <v>1</v>
      </c>
      <c r="W751">
        <v>1</v>
      </c>
      <c r="X751">
        <v>1</v>
      </c>
      <c r="Y751">
        <v>1</v>
      </c>
      <c r="Z751">
        <v>7164.6610289999999</v>
      </c>
    </row>
    <row r="752" spans="1:26" x14ac:dyDescent="0.25">
      <c r="A752">
        <v>122983</v>
      </c>
      <c r="B752" t="s">
        <v>216</v>
      </c>
      <c r="C752">
        <v>2020</v>
      </c>
      <c r="D752">
        <v>1</v>
      </c>
      <c r="E752" t="s">
        <v>415</v>
      </c>
      <c r="F752" t="s">
        <v>434</v>
      </c>
      <c r="G752" t="s">
        <v>435</v>
      </c>
      <c r="H752" t="s">
        <v>84</v>
      </c>
      <c r="I752" t="s">
        <v>437</v>
      </c>
      <c r="J752" t="s">
        <v>87</v>
      </c>
      <c r="K752">
        <v>-10092.93128768</v>
      </c>
      <c r="L752" t="s">
        <v>427</v>
      </c>
      <c r="M752" t="s">
        <v>425</v>
      </c>
      <c r="N752">
        <v>1.4965642882E-3</v>
      </c>
      <c r="O752">
        <v>15.104721</v>
      </c>
      <c r="P752" t="s">
        <v>421</v>
      </c>
      <c r="Q752">
        <v>1</v>
      </c>
      <c r="V752">
        <v>1</v>
      </c>
      <c r="W752">
        <v>1</v>
      </c>
      <c r="X752">
        <v>1</v>
      </c>
      <c r="Y752">
        <v>1</v>
      </c>
      <c r="Z752">
        <v>15.104721</v>
      </c>
    </row>
    <row r="753" spans="1:26" x14ac:dyDescent="0.25">
      <c r="A753">
        <v>122984</v>
      </c>
      <c r="B753" t="s">
        <v>216</v>
      </c>
      <c r="C753">
        <v>2020</v>
      </c>
      <c r="D753">
        <v>1</v>
      </c>
      <c r="E753" t="s">
        <v>415</v>
      </c>
      <c r="F753" t="s">
        <v>434</v>
      </c>
      <c r="G753" t="s">
        <v>435</v>
      </c>
      <c r="H753" t="s">
        <v>84</v>
      </c>
      <c r="I753" t="s">
        <v>438</v>
      </c>
      <c r="J753" t="s">
        <v>59</v>
      </c>
      <c r="K753">
        <v>-18455.619529790001</v>
      </c>
      <c r="L753" t="s">
        <v>89</v>
      </c>
      <c r="M753" t="s">
        <v>420</v>
      </c>
      <c r="N753">
        <v>0.26343870574139999</v>
      </c>
      <c r="O753">
        <v>4861.9245229999997</v>
      </c>
      <c r="P753" t="s">
        <v>421</v>
      </c>
      <c r="Q753">
        <v>1</v>
      </c>
      <c r="V753">
        <v>1</v>
      </c>
      <c r="W753">
        <v>1</v>
      </c>
      <c r="X753">
        <v>1</v>
      </c>
      <c r="Y753">
        <v>1</v>
      </c>
      <c r="Z753">
        <v>4861.9245229999997</v>
      </c>
    </row>
    <row r="754" spans="1:26" x14ac:dyDescent="0.25">
      <c r="A754">
        <v>122985</v>
      </c>
      <c r="B754" t="s">
        <v>216</v>
      </c>
      <c r="C754">
        <v>2020</v>
      </c>
      <c r="D754">
        <v>1</v>
      </c>
      <c r="E754" t="s">
        <v>415</v>
      </c>
      <c r="F754" t="s">
        <v>434</v>
      </c>
      <c r="G754" t="s">
        <v>435</v>
      </c>
      <c r="H754" t="s">
        <v>84</v>
      </c>
      <c r="I754" t="s">
        <v>438</v>
      </c>
      <c r="J754" t="s">
        <v>59</v>
      </c>
      <c r="K754">
        <v>-18455.619529790001</v>
      </c>
      <c r="L754" t="s">
        <v>89</v>
      </c>
      <c r="M754" t="s">
        <v>422</v>
      </c>
      <c r="N754">
        <v>7.1262429683470005E-2</v>
      </c>
      <c r="O754">
        <v>1315.1922890000001</v>
      </c>
      <c r="P754" t="s">
        <v>421</v>
      </c>
      <c r="Q754">
        <v>1</v>
      </c>
      <c r="V754">
        <v>1</v>
      </c>
      <c r="W754">
        <v>1</v>
      </c>
      <c r="X754">
        <v>1</v>
      </c>
      <c r="Y754">
        <v>1</v>
      </c>
      <c r="Z754">
        <v>1315.1922890000001</v>
      </c>
    </row>
    <row r="755" spans="1:26" x14ac:dyDescent="0.25">
      <c r="A755">
        <v>122986</v>
      </c>
      <c r="B755" t="s">
        <v>216</v>
      </c>
      <c r="C755">
        <v>2020</v>
      </c>
      <c r="D755">
        <v>1</v>
      </c>
      <c r="E755" t="s">
        <v>415</v>
      </c>
      <c r="F755" t="s">
        <v>434</v>
      </c>
      <c r="G755" t="s">
        <v>435</v>
      </c>
      <c r="H755" t="s">
        <v>84</v>
      </c>
      <c r="I755" t="s">
        <v>438</v>
      </c>
      <c r="J755" t="s">
        <v>59</v>
      </c>
      <c r="K755">
        <v>-18455.619529790001</v>
      </c>
      <c r="L755" t="s">
        <v>89</v>
      </c>
      <c r="M755" t="s">
        <v>423</v>
      </c>
      <c r="N755">
        <v>0.74738783869542003</v>
      </c>
      <c r="O755">
        <v>13793.505592</v>
      </c>
      <c r="P755" t="s">
        <v>421</v>
      </c>
      <c r="Q755">
        <v>1</v>
      </c>
      <c r="V755">
        <v>1</v>
      </c>
      <c r="W755">
        <v>1</v>
      </c>
      <c r="X755">
        <v>1</v>
      </c>
      <c r="Y755">
        <v>1</v>
      </c>
      <c r="Z755">
        <v>13793.505592</v>
      </c>
    </row>
    <row r="756" spans="1:26" x14ac:dyDescent="0.25">
      <c r="A756">
        <v>122987</v>
      </c>
      <c r="B756" t="s">
        <v>216</v>
      </c>
      <c r="C756">
        <v>2020</v>
      </c>
      <c r="D756">
        <v>1</v>
      </c>
      <c r="E756" t="s">
        <v>415</v>
      </c>
      <c r="F756" t="s">
        <v>434</v>
      </c>
      <c r="G756" t="s">
        <v>435</v>
      </c>
      <c r="H756" t="s">
        <v>84</v>
      </c>
      <c r="I756" t="s">
        <v>438</v>
      </c>
      <c r="J756" t="s">
        <v>59</v>
      </c>
      <c r="K756">
        <v>-18455.619529790001</v>
      </c>
      <c r="L756" t="s">
        <v>89</v>
      </c>
      <c r="M756" t="s">
        <v>424</v>
      </c>
      <c r="N756">
        <v>3.08071516317E-3</v>
      </c>
      <c r="O756">
        <v>56.856507000000001</v>
      </c>
      <c r="P756" t="s">
        <v>421</v>
      </c>
      <c r="Q756">
        <v>1</v>
      </c>
      <c r="V756">
        <v>1</v>
      </c>
      <c r="W756">
        <v>1</v>
      </c>
      <c r="X756">
        <v>1</v>
      </c>
      <c r="Y756">
        <v>1</v>
      </c>
      <c r="Z756">
        <v>56.856507000000001</v>
      </c>
    </row>
    <row r="757" spans="1:26" x14ac:dyDescent="0.25">
      <c r="A757">
        <v>122988</v>
      </c>
      <c r="B757" t="s">
        <v>216</v>
      </c>
      <c r="C757">
        <v>2020</v>
      </c>
      <c r="D757">
        <v>1</v>
      </c>
      <c r="E757" t="s">
        <v>415</v>
      </c>
      <c r="F757" t="s">
        <v>434</v>
      </c>
      <c r="G757" t="s">
        <v>435</v>
      </c>
      <c r="H757" t="s">
        <v>84</v>
      </c>
      <c r="I757" t="s">
        <v>438</v>
      </c>
      <c r="J757" t="s">
        <v>59</v>
      </c>
      <c r="K757">
        <v>-18455.619529790001</v>
      </c>
      <c r="L757" t="s">
        <v>89</v>
      </c>
      <c r="M757" t="s">
        <v>425</v>
      </c>
      <c r="N757">
        <v>2.5360775708E-3</v>
      </c>
      <c r="O757">
        <v>46.804882999999997</v>
      </c>
      <c r="P757" t="s">
        <v>421</v>
      </c>
      <c r="Q757">
        <v>1</v>
      </c>
      <c r="V757">
        <v>1</v>
      </c>
      <c r="W757">
        <v>1</v>
      </c>
      <c r="X757">
        <v>1</v>
      </c>
      <c r="Y757">
        <v>1</v>
      </c>
      <c r="Z757">
        <v>46.804882999999997</v>
      </c>
    </row>
    <row r="758" spans="1:26" x14ac:dyDescent="0.25">
      <c r="A758">
        <v>18988</v>
      </c>
      <c r="B758" t="s">
        <v>126</v>
      </c>
      <c r="C758">
        <v>2018</v>
      </c>
      <c r="D758">
        <v>1</v>
      </c>
      <c r="E758" t="s">
        <v>415</v>
      </c>
      <c r="F758" t="s">
        <v>416</v>
      </c>
      <c r="G758" t="s">
        <v>417</v>
      </c>
      <c r="H758" t="s">
        <v>84</v>
      </c>
      <c r="I758" t="s">
        <v>418</v>
      </c>
      <c r="J758" t="s">
        <v>419</v>
      </c>
      <c r="K758">
        <v>-11658.39226284</v>
      </c>
      <c r="L758" t="s">
        <v>85</v>
      </c>
      <c r="M758" t="s">
        <v>420</v>
      </c>
      <c r="N758">
        <v>0.24824931095561001</v>
      </c>
      <c r="O758">
        <v>2894.1878459999998</v>
      </c>
      <c r="P758" t="s">
        <v>421</v>
      </c>
      <c r="Q758">
        <v>1</v>
      </c>
      <c r="V758">
        <v>1</v>
      </c>
      <c r="W758">
        <v>1</v>
      </c>
      <c r="X758">
        <v>1</v>
      </c>
      <c r="Y758">
        <v>1</v>
      </c>
      <c r="Z758">
        <v>2894.1878459999998</v>
      </c>
    </row>
    <row r="759" spans="1:26" x14ac:dyDescent="0.25">
      <c r="A759">
        <v>18989</v>
      </c>
      <c r="B759" t="s">
        <v>126</v>
      </c>
      <c r="C759">
        <v>2018</v>
      </c>
      <c r="D759">
        <v>1</v>
      </c>
      <c r="E759" t="s">
        <v>415</v>
      </c>
      <c r="F759" t="s">
        <v>416</v>
      </c>
      <c r="G759" t="s">
        <v>417</v>
      </c>
      <c r="H759" t="s">
        <v>84</v>
      </c>
      <c r="I759" t="s">
        <v>418</v>
      </c>
      <c r="J759" t="s">
        <v>419</v>
      </c>
      <c r="K759">
        <v>-11658.39226284</v>
      </c>
      <c r="L759" t="s">
        <v>85</v>
      </c>
      <c r="M759" t="s">
        <v>422</v>
      </c>
      <c r="N759">
        <v>7.7540047892240005E-2</v>
      </c>
      <c r="O759">
        <v>903.99229400000002</v>
      </c>
      <c r="P759" t="s">
        <v>421</v>
      </c>
      <c r="Q759">
        <v>1</v>
      </c>
      <c r="V759">
        <v>1</v>
      </c>
      <c r="W759">
        <v>1</v>
      </c>
      <c r="X759">
        <v>1</v>
      </c>
      <c r="Y759">
        <v>1</v>
      </c>
      <c r="Z759">
        <v>903.99229400000002</v>
      </c>
    </row>
    <row r="760" spans="1:26" x14ac:dyDescent="0.25">
      <c r="A760">
        <v>18990</v>
      </c>
      <c r="B760" t="s">
        <v>126</v>
      </c>
      <c r="C760">
        <v>2018</v>
      </c>
      <c r="D760">
        <v>1</v>
      </c>
      <c r="E760" t="s">
        <v>415</v>
      </c>
      <c r="F760" t="s">
        <v>416</v>
      </c>
      <c r="G760" t="s">
        <v>417</v>
      </c>
      <c r="H760" t="s">
        <v>84</v>
      </c>
      <c r="I760" t="s">
        <v>418</v>
      </c>
      <c r="J760" t="s">
        <v>419</v>
      </c>
      <c r="K760">
        <v>-11658.39226284</v>
      </c>
      <c r="L760" t="s">
        <v>85</v>
      </c>
      <c r="M760" t="s">
        <v>423</v>
      </c>
      <c r="N760">
        <v>0.73979703899049998</v>
      </c>
      <c r="O760">
        <v>8624.8440750000009</v>
      </c>
      <c r="P760" t="s">
        <v>421</v>
      </c>
      <c r="Q760">
        <v>1</v>
      </c>
      <c r="V760">
        <v>1</v>
      </c>
      <c r="W760">
        <v>1</v>
      </c>
      <c r="X760">
        <v>1</v>
      </c>
      <c r="Y760">
        <v>1</v>
      </c>
      <c r="Z760">
        <v>8624.8440750000009</v>
      </c>
    </row>
    <row r="761" spans="1:26" x14ac:dyDescent="0.25">
      <c r="A761">
        <v>18991</v>
      </c>
      <c r="B761" t="s">
        <v>126</v>
      </c>
      <c r="C761">
        <v>2018</v>
      </c>
      <c r="D761">
        <v>1</v>
      </c>
      <c r="E761" t="s">
        <v>415</v>
      </c>
      <c r="F761" t="s">
        <v>416</v>
      </c>
      <c r="G761" t="s">
        <v>417</v>
      </c>
      <c r="H761" t="s">
        <v>84</v>
      </c>
      <c r="I761" t="s">
        <v>418</v>
      </c>
      <c r="J761" t="s">
        <v>419</v>
      </c>
      <c r="K761">
        <v>-11658.39226284</v>
      </c>
      <c r="L761" t="s">
        <v>85</v>
      </c>
      <c r="M761" t="s">
        <v>424</v>
      </c>
      <c r="N761">
        <v>2.9085775596699999E-3</v>
      </c>
      <c r="O761">
        <v>33.909337999999998</v>
      </c>
      <c r="P761" t="s">
        <v>421</v>
      </c>
      <c r="Q761">
        <v>1</v>
      </c>
      <c r="V761">
        <v>1</v>
      </c>
      <c r="W761">
        <v>1</v>
      </c>
      <c r="X761">
        <v>1</v>
      </c>
      <c r="Y761">
        <v>1</v>
      </c>
      <c r="Z761">
        <v>33.909337999999998</v>
      </c>
    </row>
    <row r="762" spans="1:26" x14ac:dyDescent="0.25">
      <c r="A762">
        <v>18992</v>
      </c>
      <c r="B762" t="s">
        <v>126</v>
      </c>
      <c r="C762">
        <v>2018</v>
      </c>
      <c r="D762">
        <v>1</v>
      </c>
      <c r="E762" t="s">
        <v>415</v>
      </c>
      <c r="F762" t="s">
        <v>416</v>
      </c>
      <c r="G762" t="s">
        <v>417</v>
      </c>
      <c r="H762" t="s">
        <v>84</v>
      </c>
      <c r="I762" t="s">
        <v>418</v>
      </c>
      <c r="J762" t="s">
        <v>419</v>
      </c>
      <c r="K762">
        <v>-11658.39226284</v>
      </c>
      <c r="L762" t="s">
        <v>85</v>
      </c>
      <c r="M762" t="s">
        <v>425</v>
      </c>
      <c r="N762">
        <v>2.6170694898000001E-3</v>
      </c>
      <c r="O762">
        <v>30.510822999999998</v>
      </c>
      <c r="P762" t="s">
        <v>421</v>
      </c>
      <c r="Q762">
        <v>1</v>
      </c>
      <c r="V762">
        <v>1</v>
      </c>
      <c r="W762">
        <v>1</v>
      </c>
      <c r="X762">
        <v>1</v>
      </c>
      <c r="Y762">
        <v>1</v>
      </c>
      <c r="Z762">
        <v>30.510822999999998</v>
      </c>
    </row>
    <row r="763" spans="1:26" x14ac:dyDescent="0.25">
      <c r="A763">
        <v>18993</v>
      </c>
      <c r="B763" t="s">
        <v>126</v>
      </c>
      <c r="C763">
        <v>2018</v>
      </c>
      <c r="D763">
        <v>1</v>
      </c>
      <c r="E763" t="s">
        <v>415</v>
      </c>
      <c r="F763" t="s">
        <v>416</v>
      </c>
      <c r="G763" t="s">
        <v>417</v>
      </c>
      <c r="H763" t="s">
        <v>84</v>
      </c>
      <c r="I763" t="s">
        <v>426</v>
      </c>
      <c r="J763" t="s">
        <v>87</v>
      </c>
      <c r="K763">
        <v>-2098.9114909499999</v>
      </c>
      <c r="L763" t="s">
        <v>427</v>
      </c>
      <c r="M763" t="s">
        <v>420</v>
      </c>
      <c r="N763">
        <v>0.45523813654234002</v>
      </c>
      <c r="O763">
        <v>955.50455599999998</v>
      </c>
      <c r="P763" t="s">
        <v>421</v>
      </c>
      <c r="Q763">
        <v>1</v>
      </c>
      <c r="V763">
        <v>1</v>
      </c>
      <c r="W763">
        <v>1</v>
      </c>
      <c r="X763">
        <v>1</v>
      </c>
      <c r="Y763">
        <v>1</v>
      </c>
      <c r="Z763">
        <v>955.50455599999998</v>
      </c>
    </row>
    <row r="764" spans="1:26" x14ac:dyDescent="0.25">
      <c r="A764">
        <v>18994</v>
      </c>
      <c r="B764" t="s">
        <v>126</v>
      </c>
      <c r="C764">
        <v>2018</v>
      </c>
      <c r="D764">
        <v>1</v>
      </c>
      <c r="E764" t="s">
        <v>415</v>
      </c>
      <c r="F764" t="s">
        <v>416</v>
      </c>
      <c r="G764" t="s">
        <v>417</v>
      </c>
      <c r="H764" t="s">
        <v>84</v>
      </c>
      <c r="I764" t="s">
        <v>426</v>
      </c>
      <c r="J764" t="s">
        <v>87</v>
      </c>
      <c r="K764">
        <v>-2098.9114909499999</v>
      </c>
      <c r="L764" t="s">
        <v>427</v>
      </c>
      <c r="M764" t="s">
        <v>422</v>
      </c>
      <c r="N764">
        <v>6.8896616392329996E-2</v>
      </c>
      <c r="O764">
        <v>144.6079</v>
      </c>
      <c r="P764" t="s">
        <v>421</v>
      </c>
      <c r="Q764">
        <v>1</v>
      </c>
      <c r="V764">
        <v>1</v>
      </c>
      <c r="W764">
        <v>1</v>
      </c>
      <c r="X764">
        <v>1</v>
      </c>
      <c r="Y764">
        <v>1</v>
      </c>
      <c r="Z764">
        <v>144.6079</v>
      </c>
    </row>
    <row r="765" spans="1:26" x14ac:dyDescent="0.25">
      <c r="A765">
        <v>18995</v>
      </c>
      <c r="B765" t="s">
        <v>126</v>
      </c>
      <c r="C765">
        <v>2018</v>
      </c>
      <c r="D765">
        <v>1</v>
      </c>
      <c r="E765" t="s">
        <v>415</v>
      </c>
      <c r="F765" t="s">
        <v>416</v>
      </c>
      <c r="G765" t="s">
        <v>417</v>
      </c>
      <c r="H765" t="s">
        <v>84</v>
      </c>
      <c r="I765" t="s">
        <v>426</v>
      </c>
      <c r="J765" t="s">
        <v>87</v>
      </c>
      <c r="K765">
        <v>-2098.9114909499999</v>
      </c>
      <c r="L765" t="s">
        <v>427</v>
      </c>
      <c r="M765" t="s">
        <v>423</v>
      </c>
      <c r="N765">
        <v>0.70986919705586005</v>
      </c>
      <c r="O765">
        <v>1489.9526149999999</v>
      </c>
      <c r="P765" t="s">
        <v>421</v>
      </c>
      <c r="Q765">
        <v>1</v>
      </c>
      <c r="V765">
        <v>1</v>
      </c>
      <c r="W765">
        <v>1</v>
      </c>
      <c r="X765">
        <v>1</v>
      </c>
      <c r="Y765">
        <v>1</v>
      </c>
      <c r="Z765">
        <v>1489.9526149999999</v>
      </c>
    </row>
    <row r="766" spans="1:26" x14ac:dyDescent="0.25">
      <c r="A766">
        <v>18996</v>
      </c>
      <c r="B766" t="s">
        <v>126</v>
      </c>
      <c r="C766">
        <v>2018</v>
      </c>
      <c r="D766">
        <v>1</v>
      </c>
      <c r="E766" t="s">
        <v>415</v>
      </c>
      <c r="F766" t="s">
        <v>416</v>
      </c>
      <c r="G766" t="s">
        <v>417</v>
      </c>
      <c r="H766" t="s">
        <v>84</v>
      </c>
      <c r="I766" t="s">
        <v>426</v>
      </c>
      <c r="J766" t="s">
        <v>87</v>
      </c>
      <c r="K766">
        <v>-2098.9114909499999</v>
      </c>
      <c r="L766" t="s">
        <v>427</v>
      </c>
      <c r="M766" t="s">
        <v>425</v>
      </c>
      <c r="N766">
        <v>1.4965642882E-3</v>
      </c>
      <c r="O766">
        <v>3.1411560000000001</v>
      </c>
      <c r="P766" t="s">
        <v>421</v>
      </c>
      <c r="Q766">
        <v>1</v>
      </c>
      <c r="V766">
        <v>1</v>
      </c>
      <c r="W766">
        <v>1</v>
      </c>
      <c r="X766">
        <v>1</v>
      </c>
      <c r="Y766">
        <v>1</v>
      </c>
      <c r="Z766">
        <v>3.1411560000000001</v>
      </c>
    </row>
    <row r="767" spans="1:26" x14ac:dyDescent="0.25">
      <c r="A767">
        <v>18997</v>
      </c>
      <c r="B767" t="s">
        <v>126</v>
      </c>
      <c r="C767">
        <v>2018</v>
      </c>
      <c r="D767">
        <v>1</v>
      </c>
      <c r="E767" t="s">
        <v>415</v>
      </c>
      <c r="F767" t="s">
        <v>416</v>
      </c>
      <c r="G767" t="s">
        <v>417</v>
      </c>
      <c r="H767" t="s">
        <v>84</v>
      </c>
      <c r="I767" t="s">
        <v>428</v>
      </c>
      <c r="J767" t="s">
        <v>59</v>
      </c>
      <c r="K767">
        <v>-5495.6569612100002</v>
      </c>
      <c r="L767" t="s">
        <v>89</v>
      </c>
      <c r="M767" t="s">
        <v>420</v>
      </c>
      <c r="N767">
        <v>0.26343870574139999</v>
      </c>
      <c r="O767">
        <v>1447.7687570000001</v>
      </c>
      <c r="P767" t="s">
        <v>421</v>
      </c>
      <c r="Q767">
        <v>1</v>
      </c>
      <c r="V767">
        <v>1</v>
      </c>
      <c r="W767">
        <v>1</v>
      </c>
      <c r="X767">
        <v>1</v>
      </c>
      <c r="Y767">
        <v>1</v>
      </c>
      <c r="Z767">
        <v>1447.7687570000001</v>
      </c>
    </row>
    <row r="768" spans="1:26" x14ac:dyDescent="0.25">
      <c r="A768">
        <v>18998</v>
      </c>
      <c r="B768" t="s">
        <v>126</v>
      </c>
      <c r="C768">
        <v>2018</v>
      </c>
      <c r="D768">
        <v>1</v>
      </c>
      <c r="E768" t="s">
        <v>415</v>
      </c>
      <c r="F768" t="s">
        <v>416</v>
      </c>
      <c r="G768" t="s">
        <v>417</v>
      </c>
      <c r="H768" t="s">
        <v>84</v>
      </c>
      <c r="I768" t="s">
        <v>428</v>
      </c>
      <c r="J768" t="s">
        <v>59</v>
      </c>
      <c r="K768">
        <v>-5495.6569612100002</v>
      </c>
      <c r="L768" t="s">
        <v>89</v>
      </c>
      <c r="M768" t="s">
        <v>422</v>
      </c>
      <c r="N768">
        <v>7.1262429683470005E-2</v>
      </c>
      <c r="O768">
        <v>391.63386800000001</v>
      </c>
      <c r="P768" t="s">
        <v>421</v>
      </c>
      <c r="Q768">
        <v>1</v>
      </c>
      <c r="V768">
        <v>1</v>
      </c>
      <c r="W768">
        <v>1</v>
      </c>
      <c r="X768">
        <v>1</v>
      </c>
      <c r="Y768">
        <v>1</v>
      </c>
      <c r="Z768">
        <v>391.63386800000001</v>
      </c>
    </row>
    <row r="769" spans="1:26" x14ac:dyDescent="0.25">
      <c r="A769">
        <v>18999</v>
      </c>
      <c r="B769" t="s">
        <v>126</v>
      </c>
      <c r="C769">
        <v>2018</v>
      </c>
      <c r="D769">
        <v>1</v>
      </c>
      <c r="E769" t="s">
        <v>415</v>
      </c>
      <c r="F769" t="s">
        <v>416</v>
      </c>
      <c r="G769" t="s">
        <v>417</v>
      </c>
      <c r="H769" t="s">
        <v>84</v>
      </c>
      <c r="I769" t="s">
        <v>428</v>
      </c>
      <c r="J769" t="s">
        <v>59</v>
      </c>
      <c r="K769">
        <v>-5495.6569612100002</v>
      </c>
      <c r="L769" t="s">
        <v>89</v>
      </c>
      <c r="M769" t="s">
        <v>423</v>
      </c>
      <c r="N769">
        <v>0.74738783869542003</v>
      </c>
      <c r="O769">
        <v>4107.3871779999999</v>
      </c>
      <c r="P769" t="s">
        <v>421</v>
      </c>
      <c r="Q769">
        <v>1</v>
      </c>
      <c r="V769">
        <v>1</v>
      </c>
      <c r="W769">
        <v>1</v>
      </c>
      <c r="X769">
        <v>1</v>
      </c>
      <c r="Y769">
        <v>1</v>
      </c>
      <c r="Z769">
        <v>4107.3871779999999</v>
      </c>
    </row>
    <row r="770" spans="1:26" x14ac:dyDescent="0.25">
      <c r="A770">
        <v>19000</v>
      </c>
      <c r="B770" t="s">
        <v>126</v>
      </c>
      <c r="C770">
        <v>2018</v>
      </c>
      <c r="D770">
        <v>1</v>
      </c>
      <c r="E770" t="s">
        <v>415</v>
      </c>
      <c r="F770" t="s">
        <v>416</v>
      </c>
      <c r="G770" t="s">
        <v>417</v>
      </c>
      <c r="H770" t="s">
        <v>84</v>
      </c>
      <c r="I770" t="s">
        <v>428</v>
      </c>
      <c r="J770" t="s">
        <v>59</v>
      </c>
      <c r="K770">
        <v>-5495.6569612100002</v>
      </c>
      <c r="L770" t="s">
        <v>89</v>
      </c>
      <c r="M770" t="s">
        <v>424</v>
      </c>
      <c r="N770">
        <v>3.08071516317E-3</v>
      </c>
      <c r="O770">
        <v>16.930554000000001</v>
      </c>
      <c r="P770" t="s">
        <v>421</v>
      </c>
      <c r="Q770">
        <v>1</v>
      </c>
      <c r="V770">
        <v>1</v>
      </c>
      <c r="W770">
        <v>1</v>
      </c>
      <c r="X770">
        <v>1</v>
      </c>
      <c r="Y770">
        <v>1</v>
      </c>
      <c r="Z770">
        <v>16.930554000000001</v>
      </c>
    </row>
    <row r="771" spans="1:26" x14ac:dyDescent="0.25">
      <c r="A771">
        <v>19001</v>
      </c>
      <c r="B771" t="s">
        <v>126</v>
      </c>
      <c r="C771">
        <v>2018</v>
      </c>
      <c r="D771">
        <v>1</v>
      </c>
      <c r="E771" t="s">
        <v>415</v>
      </c>
      <c r="F771" t="s">
        <v>416</v>
      </c>
      <c r="G771" t="s">
        <v>417</v>
      </c>
      <c r="H771" t="s">
        <v>84</v>
      </c>
      <c r="I771" t="s">
        <v>428</v>
      </c>
      <c r="J771" t="s">
        <v>59</v>
      </c>
      <c r="K771">
        <v>-5495.6569612100002</v>
      </c>
      <c r="L771" t="s">
        <v>89</v>
      </c>
      <c r="M771" t="s">
        <v>425</v>
      </c>
      <c r="N771">
        <v>2.5360775708E-3</v>
      </c>
      <c r="O771">
        <v>13.937412</v>
      </c>
      <c r="P771" t="s">
        <v>421</v>
      </c>
      <c r="Q771">
        <v>1</v>
      </c>
      <c r="V771">
        <v>1</v>
      </c>
      <c r="W771">
        <v>1</v>
      </c>
      <c r="X771">
        <v>1</v>
      </c>
      <c r="Y771">
        <v>1</v>
      </c>
      <c r="Z771">
        <v>13.937412</v>
      </c>
    </row>
    <row r="772" spans="1:26" x14ac:dyDescent="0.25">
      <c r="A772">
        <v>19002</v>
      </c>
      <c r="B772" t="s">
        <v>126</v>
      </c>
      <c r="C772">
        <v>2018</v>
      </c>
      <c r="D772">
        <v>1</v>
      </c>
      <c r="E772" t="s">
        <v>415</v>
      </c>
      <c r="F772" t="s">
        <v>429</v>
      </c>
      <c r="G772" t="s">
        <v>430</v>
      </c>
      <c r="H772" t="s">
        <v>84</v>
      </c>
      <c r="I772" t="s">
        <v>431</v>
      </c>
      <c r="J772" t="s">
        <v>419</v>
      </c>
      <c r="K772">
        <v>-16856.795818170001</v>
      </c>
      <c r="L772" t="s">
        <v>85</v>
      </c>
      <c r="M772" t="s">
        <v>420</v>
      </c>
      <c r="N772">
        <v>0.24824931095561001</v>
      </c>
      <c r="O772">
        <v>4184.6879470000003</v>
      </c>
      <c r="P772" t="s">
        <v>421</v>
      </c>
      <c r="Q772">
        <v>1</v>
      </c>
      <c r="V772">
        <v>1</v>
      </c>
      <c r="W772">
        <v>1</v>
      </c>
      <c r="X772">
        <v>1</v>
      </c>
      <c r="Y772">
        <v>1</v>
      </c>
      <c r="Z772">
        <v>4184.6879470000003</v>
      </c>
    </row>
    <row r="773" spans="1:26" x14ac:dyDescent="0.25">
      <c r="A773">
        <v>19003</v>
      </c>
      <c r="B773" t="s">
        <v>126</v>
      </c>
      <c r="C773">
        <v>2018</v>
      </c>
      <c r="D773">
        <v>1</v>
      </c>
      <c r="E773" t="s">
        <v>415</v>
      </c>
      <c r="F773" t="s">
        <v>429</v>
      </c>
      <c r="G773" t="s">
        <v>430</v>
      </c>
      <c r="H773" t="s">
        <v>84</v>
      </c>
      <c r="I773" t="s">
        <v>431</v>
      </c>
      <c r="J773" t="s">
        <v>419</v>
      </c>
      <c r="K773">
        <v>-16856.795818170001</v>
      </c>
      <c r="L773" t="s">
        <v>85</v>
      </c>
      <c r="M773" t="s">
        <v>422</v>
      </c>
      <c r="N773">
        <v>7.7540047892240005E-2</v>
      </c>
      <c r="O773">
        <v>1307.076755</v>
      </c>
      <c r="P773" t="s">
        <v>421</v>
      </c>
      <c r="Q773">
        <v>1</v>
      </c>
      <c r="V773">
        <v>1</v>
      </c>
      <c r="W773">
        <v>1</v>
      </c>
      <c r="X773">
        <v>1</v>
      </c>
      <c r="Y773">
        <v>1</v>
      </c>
      <c r="Z773">
        <v>1307.076755</v>
      </c>
    </row>
    <row r="774" spans="1:26" x14ac:dyDescent="0.25">
      <c r="A774">
        <v>19004</v>
      </c>
      <c r="B774" t="s">
        <v>126</v>
      </c>
      <c r="C774">
        <v>2018</v>
      </c>
      <c r="D774">
        <v>1</v>
      </c>
      <c r="E774" t="s">
        <v>415</v>
      </c>
      <c r="F774" t="s">
        <v>429</v>
      </c>
      <c r="G774" t="s">
        <v>430</v>
      </c>
      <c r="H774" t="s">
        <v>84</v>
      </c>
      <c r="I774" t="s">
        <v>431</v>
      </c>
      <c r="J774" t="s">
        <v>419</v>
      </c>
      <c r="K774">
        <v>-16856.795818170001</v>
      </c>
      <c r="L774" t="s">
        <v>85</v>
      </c>
      <c r="M774" t="s">
        <v>423</v>
      </c>
      <c r="N774">
        <v>0.73979703899049998</v>
      </c>
      <c r="O774">
        <v>12470.607633</v>
      </c>
      <c r="P774" t="s">
        <v>421</v>
      </c>
      <c r="Q774">
        <v>1</v>
      </c>
      <c r="V774">
        <v>1</v>
      </c>
      <c r="W774">
        <v>1</v>
      </c>
      <c r="X774">
        <v>1</v>
      </c>
      <c r="Y774">
        <v>1</v>
      </c>
      <c r="Z774">
        <v>12470.607633</v>
      </c>
    </row>
    <row r="775" spans="1:26" x14ac:dyDescent="0.25">
      <c r="A775">
        <v>19005</v>
      </c>
      <c r="B775" t="s">
        <v>126</v>
      </c>
      <c r="C775">
        <v>2018</v>
      </c>
      <c r="D775">
        <v>1</v>
      </c>
      <c r="E775" t="s">
        <v>415</v>
      </c>
      <c r="F775" t="s">
        <v>429</v>
      </c>
      <c r="G775" t="s">
        <v>430</v>
      </c>
      <c r="H775" t="s">
        <v>84</v>
      </c>
      <c r="I775" t="s">
        <v>431</v>
      </c>
      <c r="J775" t="s">
        <v>419</v>
      </c>
      <c r="K775">
        <v>-16856.795818170001</v>
      </c>
      <c r="L775" t="s">
        <v>85</v>
      </c>
      <c r="M775" t="s">
        <v>424</v>
      </c>
      <c r="N775">
        <v>2.9085775596699999E-3</v>
      </c>
      <c r="O775">
        <v>49.029297999999997</v>
      </c>
      <c r="P775" t="s">
        <v>421</v>
      </c>
      <c r="Q775">
        <v>1</v>
      </c>
      <c r="V775">
        <v>1</v>
      </c>
      <c r="W775">
        <v>1</v>
      </c>
      <c r="X775">
        <v>1</v>
      </c>
      <c r="Y775">
        <v>1</v>
      </c>
      <c r="Z775">
        <v>49.029297999999997</v>
      </c>
    </row>
    <row r="776" spans="1:26" x14ac:dyDescent="0.25">
      <c r="A776">
        <v>19006</v>
      </c>
      <c r="B776" t="s">
        <v>126</v>
      </c>
      <c r="C776">
        <v>2018</v>
      </c>
      <c r="D776">
        <v>1</v>
      </c>
      <c r="E776" t="s">
        <v>415</v>
      </c>
      <c r="F776" t="s">
        <v>429</v>
      </c>
      <c r="G776" t="s">
        <v>430</v>
      </c>
      <c r="H776" t="s">
        <v>84</v>
      </c>
      <c r="I776" t="s">
        <v>431</v>
      </c>
      <c r="J776" t="s">
        <v>419</v>
      </c>
      <c r="K776">
        <v>-16856.795818170001</v>
      </c>
      <c r="L776" t="s">
        <v>85</v>
      </c>
      <c r="M776" t="s">
        <v>425</v>
      </c>
      <c r="N776">
        <v>2.6170694898000001E-3</v>
      </c>
      <c r="O776">
        <v>44.115406</v>
      </c>
      <c r="P776" t="s">
        <v>421</v>
      </c>
      <c r="Q776">
        <v>1</v>
      </c>
      <c r="V776">
        <v>1</v>
      </c>
      <c r="W776">
        <v>1</v>
      </c>
      <c r="X776">
        <v>1</v>
      </c>
      <c r="Y776">
        <v>1</v>
      </c>
      <c r="Z776">
        <v>44.115406</v>
      </c>
    </row>
    <row r="777" spans="1:26" x14ac:dyDescent="0.25">
      <c r="A777">
        <v>19007</v>
      </c>
      <c r="B777" t="s">
        <v>126</v>
      </c>
      <c r="C777">
        <v>2018</v>
      </c>
      <c r="D777">
        <v>1</v>
      </c>
      <c r="E777" t="s">
        <v>415</v>
      </c>
      <c r="F777" t="s">
        <v>429</v>
      </c>
      <c r="G777" t="s">
        <v>430</v>
      </c>
      <c r="H777" t="s">
        <v>84</v>
      </c>
      <c r="I777" t="s">
        <v>432</v>
      </c>
      <c r="J777" t="s">
        <v>87</v>
      </c>
      <c r="K777">
        <v>-2488.6536909400002</v>
      </c>
      <c r="L777" t="s">
        <v>427</v>
      </c>
      <c r="M777" t="s">
        <v>420</v>
      </c>
      <c r="N777">
        <v>0.45523813654234002</v>
      </c>
      <c r="O777">
        <v>1132.930069</v>
      </c>
      <c r="P777" t="s">
        <v>421</v>
      </c>
      <c r="Q777">
        <v>1</v>
      </c>
      <c r="V777">
        <v>1</v>
      </c>
      <c r="W777">
        <v>1</v>
      </c>
      <c r="X777">
        <v>1</v>
      </c>
      <c r="Y777">
        <v>1</v>
      </c>
      <c r="Z777">
        <v>1132.930069</v>
      </c>
    </row>
    <row r="778" spans="1:26" x14ac:dyDescent="0.25">
      <c r="A778">
        <v>19008</v>
      </c>
      <c r="B778" t="s">
        <v>126</v>
      </c>
      <c r="C778">
        <v>2018</v>
      </c>
      <c r="D778">
        <v>1</v>
      </c>
      <c r="E778" t="s">
        <v>415</v>
      </c>
      <c r="F778" t="s">
        <v>429</v>
      </c>
      <c r="G778" t="s">
        <v>430</v>
      </c>
      <c r="H778" t="s">
        <v>84</v>
      </c>
      <c r="I778" t="s">
        <v>432</v>
      </c>
      <c r="J778" t="s">
        <v>87</v>
      </c>
      <c r="K778">
        <v>-2488.6536909400002</v>
      </c>
      <c r="L778" t="s">
        <v>427</v>
      </c>
      <c r="M778" t="s">
        <v>422</v>
      </c>
      <c r="N778">
        <v>6.8896616392329996E-2</v>
      </c>
      <c r="O778">
        <v>171.45981900000001</v>
      </c>
      <c r="P778" t="s">
        <v>421</v>
      </c>
      <c r="Q778">
        <v>1</v>
      </c>
      <c r="V778">
        <v>1</v>
      </c>
      <c r="W778">
        <v>1</v>
      </c>
      <c r="X778">
        <v>1</v>
      </c>
      <c r="Y778">
        <v>1</v>
      </c>
      <c r="Z778">
        <v>171.45981900000001</v>
      </c>
    </row>
    <row r="779" spans="1:26" x14ac:dyDescent="0.25">
      <c r="A779">
        <v>19009</v>
      </c>
      <c r="B779" t="s">
        <v>126</v>
      </c>
      <c r="C779">
        <v>2018</v>
      </c>
      <c r="D779">
        <v>1</v>
      </c>
      <c r="E779" t="s">
        <v>415</v>
      </c>
      <c r="F779" t="s">
        <v>429</v>
      </c>
      <c r="G779" t="s">
        <v>430</v>
      </c>
      <c r="H779" t="s">
        <v>84</v>
      </c>
      <c r="I779" t="s">
        <v>432</v>
      </c>
      <c r="J779" t="s">
        <v>87</v>
      </c>
      <c r="K779">
        <v>-2488.6536909400002</v>
      </c>
      <c r="L779" t="s">
        <v>427</v>
      </c>
      <c r="M779" t="s">
        <v>423</v>
      </c>
      <c r="N779">
        <v>0.70986919705586005</v>
      </c>
      <c r="O779">
        <v>1766.6185969999999</v>
      </c>
      <c r="P779" t="s">
        <v>421</v>
      </c>
      <c r="Q779">
        <v>1</v>
      </c>
      <c r="V779">
        <v>1</v>
      </c>
      <c r="W779">
        <v>1</v>
      </c>
      <c r="X779">
        <v>1</v>
      </c>
      <c r="Y779">
        <v>1</v>
      </c>
      <c r="Z779">
        <v>1766.6185969999999</v>
      </c>
    </row>
    <row r="780" spans="1:26" x14ac:dyDescent="0.25">
      <c r="A780">
        <v>19010</v>
      </c>
      <c r="B780" t="s">
        <v>126</v>
      </c>
      <c r="C780">
        <v>2018</v>
      </c>
      <c r="D780">
        <v>1</v>
      </c>
      <c r="E780" t="s">
        <v>415</v>
      </c>
      <c r="F780" t="s">
        <v>429</v>
      </c>
      <c r="G780" t="s">
        <v>430</v>
      </c>
      <c r="H780" t="s">
        <v>84</v>
      </c>
      <c r="I780" t="s">
        <v>432</v>
      </c>
      <c r="J780" t="s">
        <v>87</v>
      </c>
      <c r="K780">
        <v>-2488.6536909400002</v>
      </c>
      <c r="L780" t="s">
        <v>427</v>
      </c>
      <c r="M780" t="s">
        <v>425</v>
      </c>
      <c r="N780">
        <v>1.4965642882E-3</v>
      </c>
      <c r="O780">
        <v>3.7244299999999999</v>
      </c>
      <c r="P780" t="s">
        <v>421</v>
      </c>
      <c r="Q780">
        <v>1</v>
      </c>
      <c r="V780">
        <v>1</v>
      </c>
      <c r="W780">
        <v>1</v>
      </c>
      <c r="X780">
        <v>1</v>
      </c>
      <c r="Y780">
        <v>1</v>
      </c>
      <c r="Z780">
        <v>3.7244299999999999</v>
      </c>
    </row>
    <row r="781" spans="1:26" x14ac:dyDescent="0.25">
      <c r="A781">
        <v>19011</v>
      </c>
      <c r="B781" t="s">
        <v>126</v>
      </c>
      <c r="C781">
        <v>2018</v>
      </c>
      <c r="D781">
        <v>1</v>
      </c>
      <c r="E781" t="s">
        <v>415</v>
      </c>
      <c r="F781" t="s">
        <v>429</v>
      </c>
      <c r="G781" t="s">
        <v>430</v>
      </c>
      <c r="H781" t="s">
        <v>84</v>
      </c>
      <c r="I781" t="s">
        <v>433</v>
      </c>
      <c r="J781" t="s">
        <v>59</v>
      </c>
      <c r="K781">
        <v>-6661.05420435</v>
      </c>
      <c r="L781" t="s">
        <v>89</v>
      </c>
      <c r="M781" t="s">
        <v>420</v>
      </c>
      <c r="N781">
        <v>0.26343870574139999</v>
      </c>
      <c r="O781">
        <v>1754.7794980000001</v>
      </c>
      <c r="P781" t="s">
        <v>421</v>
      </c>
      <c r="Q781">
        <v>1</v>
      </c>
      <c r="V781">
        <v>1</v>
      </c>
      <c r="W781">
        <v>1</v>
      </c>
      <c r="X781">
        <v>1</v>
      </c>
      <c r="Y781">
        <v>1</v>
      </c>
      <c r="Z781">
        <v>1754.7794980000001</v>
      </c>
    </row>
    <row r="782" spans="1:26" x14ac:dyDescent="0.25">
      <c r="A782">
        <v>19012</v>
      </c>
      <c r="B782" t="s">
        <v>126</v>
      </c>
      <c r="C782">
        <v>2018</v>
      </c>
      <c r="D782">
        <v>1</v>
      </c>
      <c r="E782" t="s">
        <v>415</v>
      </c>
      <c r="F782" t="s">
        <v>429</v>
      </c>
      <c r="G782" t="s">
        <v>430</v>
      </c>
      <c r="H782" t="s">
        <v>84</v>
      </c>
      <c r="I782" t="s">
        <v>433</v>
      </c>
      <c r="J782" t="s">
        <v>59</v>
      </c>
      <c r="K782">
        <v>-6661.05420435</v>
      </c>
      <c r="L782" t="s">
        <v>89</v>
      </c>
      <c r="M782" t="s">
        <v>422</v>
      </c>
      <c r="N782">
        <v>7.1262429683470005E-2</v>
      </c>
      <c r="O782">
        <v>474.682907</v>
      </c>
      <c r="P782" t="s">
        <v>421</v>
      </c>
      <c r="Q782">
        <v>1</v>
      </c>
      <c r="V782">
        <v>1</v>
      </c>
      <c r="W782">
        <v>1</v>
      </c>
      <c r="X782">
        <v>1</v>
      </c>
      <c r="Y782">
        <v>1</v>
      </c>
      <c r="Z782">
        <v>474.682907</v>
      </c>
    </row>
    <row r="783" spans="1:26" x14ac:dyDescent="0.25">
      <c r="A783">
        <v>19013</v>
      </c>
      <c r="B783" t="s">
        <v>126</v>
      </c>
      <c r="C783">
        <v>2018</v>
      </c>
      <c r="D783">
        <v>1</v>
      </c>
      <c r="E783" t="s">
        <v>415</v>
      </c>
      <c r="F783" t="s">
        <v>429</v>
      </c>
      <c r="G783" t="s">
        <v>430</v>
      </c>
      <c r="H783" t="s">
        <v>84</v>
      </c>
      <c r="I783" t="s">
        <v>433</v>
      </c>
      <c r="J783" t="s">
        <v>59</v>
      </c>
      <c r="K783">
        <v>-6661.05420435</v>
      </c>
      <c r="L783" t="s">
        <v>89</v>
      </c>
      <c r="M783" t="s">
        <v>423</v>
      </c>
      <c r="N783">
        <v>0.74738783869542003</v>
      </c>
      <c r="O783">
        <v>4978.3909050000002</v>
      </c>
      <c r="P783" t="s">
        <v>421</v>
      </c>
      <c r="Q783">
        <v>1</v>
      </c>
      <c r="V783">
        <v>1</v>
      </c>
      <c r="W783">
        <v>1</v>
      </c>
      <c r="X783">
        <v>1</v>
      </c>
      <c r="Y783">
        <v>1</v>
      </c>
      <c r="Z783">
        <v>4978.3909050000002</v>
      </c>
    </row>
    <row r="784" spans="1:26" x14ac:dyDescent="0.25">
      <c r="A784">
        <v>19014</v>
      </c>
      <c r="B784" t="s">
        <v>126</v>
      </c>
      <c r="C784">
        <v>2018</v>
      </c>
      <c r="D784">
        <v>1</v>
      </c>
      <c r="E784" t="s">
        <v>415</v>
      </c>
      <c r="F784" t="s">
        <v>429</v>
      </c>
      <c r="G784" t="s">
        <v>430</v>
      </c>
      <c r="H784" t="s">
        <v>84</v>
      </c>
      <c r="I784" t="s">
        <v>433</v>
      </c>
      <c r="J784" t="s">
        <v>59</v>
      </c>
      <c r="K784">
        <v>-6661.05420435</v>
      </c>
      <c r="L784" t="s">
        <v>89</v>
      </c>
      <c r="M784" t="s">
        <v>424</v>
      </c>
      <c r="N784">
        <v>3.08071516317E-3</v>
      </c>
      <c r="O784">
        <v>20.520810999999998</v>
      </c>
      <c r="P784" t="s">
        <v>421</v>
      </c>
      <c r="Q784">
        <v>1</v>
      </c>
      <c r="V784">
        <v>1</v>
      </c>
      <c r="W784">
        <v>1</v>
      </c>
      <c r="X784">
        <v>1</v>
      </c>
      <c r="Y784">
        <v>1</v>
      </c>
      <c r="Z784">
        <v>20.520810999999998</v>
      </c>
    </row>
    <row r="785" spans="1:26" x14ac:dyDescent="0.25">
      <c r="A785">
        <v>19015</v>
      </c>
      <c r="B785" t="s">
        <v>126</v>
      </c>
      <c r="C785">
        <v>2018</v>
      </c>
      <c r="D785">
        <v>1</v>
      </c>
      <c r="E785" t="s">
        <v>415</v>
      </c>
      <c r="F785" t="s">
        <v>429</v>
      </c>
      <c r="G785" t="s">
        <v>430</v>
      </c>
      <c r="H785" t="s">
        <v>84</v>
      </c>
      <c r="I785" t="s">
        <v>433</v>
      </c>
      <c r="J785" t="s">
        <v>59</v>
      </c>
      <c r="K785">
        <v>-6661.05420435</v>
      </c>
      <c r="L785" t="s">
        <v>89</v>
      </c>
      <c r="M785" t="s">
        <v>425</v>
      </c>
      <c r="N785">
        <v>2.5360775708E-3</v>
      </c>
      <c r="O785">
        <v>16.892949999999999</v>
      </c>
      <c r="P785" t="s">
        <v>421</v>
      </c>
      <c r="Q785">
        <v>1</v>
      </c>
      <c r="V785">
        <v>1</v>
      </c>
      <c r="W785">
        <v>1</v>
      </c>
      <c r="X785">
        <v>1</v>
      </c>
      <c r="Y785">
        <v>1</v>
      </c>
      <c r="Z785">
        <v>16.892949999999999</v>
      </c>
    </row>
    <row r="786" spans="1:26" x14ac:dyDescent="0.25">
      <c r="A786">
        <v>19016</v>
      </c>
      <c r="B786" t="s">
        <v>126</v>
      </c>
      <c r="C786">
        <v>2018</v>
      </c>
      <c r="D786">
        <v>1</v>
      </c>
      <c r="E786" t="s">
        <v>415</v>
      </c>
      <c r="F786" t="s">
        <v>434</v>
      </c>
      <c r="G786" t="s">
        <v>435</v>
      </c>
      <c r="H786" t="s">
        <v>84</v>
      </c>
      <c r="I786" t="s">
        <v>436</v>
      </c>
      <c r="J786" t="s">
        <v>419</v>
      </c>
      <c r="K786">
        <v>-7181.62083876</v>
      </c>
      <c r="L786" t="s">
        <v>85</v>
      </c>
      <c r="M786" t="s">
        <v>420</v>
      </c>
      <c r="N786">
        <v>0.24824931095561001</v>
      </c>
      <c r="O786">
        <v>1782.8324250000001</v>
      </c>
      <c r="P786" t="s">
        <v>421</v>
      </c>
      <c r="Q786">
        <v>1</v>
      </c>
      <c r="V786">
        <v>1</v>
      </c>
      <c r="W786">
        <v>1</v>
      </c>
      <c r="X786">
        <v>1</v>
      </c>
      <c r="Y786">
        <v>1</v>
      </c>
      <c r="Z786">
        <v>1782.8324250000001</v>
      </c>
    </row>
    <row r="787" spans="1:26" x14ac:dyDescent="0.25">
      <c r="A787">
        <v>19017</v>
      </c>
      <c r="B787" t="s">
        <v>126</v>
      </c>
      <c r="C787">
        <v>2018</v>
      </c>
      <c r="D787">
        <v>1</v>
      </c>
      <c r="E787" t="s">
        <v>415</v>
      </c>
      <c r="F787" t="s">
        <v>434</v>
      </c>
      <c r="G787" t="s">
        <v>435</v>
      </c>
      <c r="H787" t="s">
        <v>84</v>
      </c>
      <c r="I787" t="s">
        <v>436</v>
      </c>
      <c r="J787" t="s">
        <v>419</v>
      </c>
      <c r="K787">
        <v>-7181.62083876</v>
      </c>
      <c r="L787" t="s">
        <v>85</v>
      </c>
      <c r="M787" t="s">
        <v>422</v>
      </c>
      <c r="N787">
        <v>7.7540047892240005E-2</v>
      </c>
      <c r="O787">
        <v>556.86322399999995</v>
      </c>
      <c r="P787" t="s">
        <v>421</v>
      </c>
      <c r="Q787">
        <v>1</v>
      </c>
      <c r="V787">
        <v>1</v>
      </c>
      <c r="W787">
        <v>1</v>
      </c>
      <c r="X787">
        <v>1</v>
      </c>
      <c r="Y787">
        <v>1</v>
      </c>
      <c r="Z787">
        <v>556.86322399999995</v>
      </c>
    </row>
    <row r="788" spans="1:26" x14ac:dyDescent="0.25">
      <c r="A788">
        <v>19018</v>
      </c>
      <c r="B788" t="s">
        <v>126</v>
      </c>
      <c r="C788">
        <v>2018</v>
      </c>
      <c r="D788">
        <v>1</v>
      </c>
      <c r="E788" t="s">
        <v>415</v>
      </c>
      <c r="F788" t="s">
        <v>434</v>
      </c>
      <c r="G788" t="s">
        <v>435</v>
      </c>
      <c r="H788" t="s">
        <v>84</v>
      </c>
      <c r="I788" t="s">
        <v>436</v>
      </c>
      <c r="J788" t="s">
        <v>419</v>
      </c>
      <c r="K788">
        <v>-7181.62083876</v>
      </c>
      <c r="L788" t="s">
        <v>85</v>
      </c>
      <c r="M788" t="s">
        <v>423</v>
      </c>
      <c r="N788">
        <v>0.73979703899049998</v>
      </c>
      <c r="O788">
        <v>5312.9418320000004</v>
      </c>
      <c r="P788" t="s">
        <v>421</v>
      </c>
      <c r="Q788">
        <v>1</v>
      </c>
      <c r="V788">
        <v>1</v>
      </c>
      <c r="W788">
        <v>1</v>
      </c>
      <c r="X788">
        <v>1</v>
      </c>
      <c r="Y788">
        <v>1</v>
      </c>
      <c r="Z788">
        <v>5312.9418320000004</v>
      </c>
    </row>
    <row r="789" spans="1:26" x14ac:dyDescent="0.25">
      <c r="A789">
        <v>19019</v>
      </c>
      <c r="B789" t="s">
        <v>126</v>
      </c>
      <c r="C789">
        <v>2018</v>
      </c>
      <c r="D789">
        <v>1</v>
      </c>
      <c r="E789" t="s">
        <v>415</v>
      </c>
      <c r="F789" t="s">
        <v>434</v>
      </c>
      <c r="G789" t="s">
        <v>435</v>
      </c>
      <c r="H789" t="s">
        <v>84</v>
      </c>
      <c r="I789" t="s">
        <v>436</v>
      </c>
      <c r="J789" t="s">
        <v>419</v>
      </c>
      <c r="K789">
        <v>-7181.62083876</v>
      </c>
      <c r="L789" t="s">
        <v>85</v>
      </c>
      <c r="M789" t="s">
        <v>424</v>
      </c>
      <c r="N789">
        <v>2.9085775596699999E-3</v>
      </c>
      <c r="O789">
        <v>20.888300999999998</v>
      </c>
      <c r="P789" t="s">
        <v>421</v>
      </c>
      <c r="Q789">
        <v>1</v>
      </c>
      <c r="V789">
        <v>1</v>
      </c>
      <c r="W789">
        <v>1</v>
      </c>
      <c r="X789">
        <v>1</v>
      </c>
      <c r="Y789">
        <v>1</v>
      </c>
      <c r="Z789">
        <v>20.888300999999998</v>
      </c>
    </row>
    <row r="790" spans="1:26" x14ac:dyDescent="0.25">
      <c r="A790">
        <v>19020</v>
      </c>
      <c r="B790" t="s">
        <v>126</v>
      </c>
      <c r="C790">
        <v>2018</v>
      </c>
      <c r="D790">
        <v>1</v>
      </c>
      <c r="E790" t="s">
        <v>415</v>
      </c>
      <c r="F790" t="s">
        <v>434</v>
      </c>
      <c r="G790" t="s">
        <v>435</v>
      </c>
      <c r="H790" t="s">
        <v>84</v>
      </c>
      <c r="I790" t="s">
        <v>436</v>
      </c>
      <c r="J790" t="s">
        <v>419</v>
      </c>
      <c r="K790">
        <v>-7181.62083876</v>
      </c>
      <c r="L790" t="s">
        <v>85</v>
      </c>
      <c r="M790" t="s">
        <v>425</v>
      </c>
      <c r="N790">
        <v>2.6170694898000001E-3</v>
      </c>
      <c r="O790">
        <v>18.794801</v>
      </c>
      <c r="P790" t="s">
        <v>421</v>
      </c>
      <c r="Q790">
        <v>1</v>
      </c>
      <c r="V790">
        <v>1</v>
      </c>
      <c r="W790">
        <v>1</v>
      </c>
      <c r="X790">
        <v>1</v>
      </c>
      <c r="Y790">
        <v>1</v>
      </c>
      <c r="Z790">
        <v>18.794801</v>
      </c>
    </row>
    <row r="791" spans="1:26" x14ac:dyDescent="0.25">
      <c r="A791">
        <v>19021</v>
      </c>
      <c r="B791" t="s">
        <v>126</v>
      </c>
      <c r="C791">
        <v>2018</v>
      </c>
      <c r="D791">
        <v>1</v>
      </c>
      <c r="E791" t="s">
        <v>415</v>
      </c>
      <c r="F791" t="s">
        <v>434</v>
      </c>
      <c r="G791" t="s">
        <v>435</v>
      </c>
      <c r="H791" t="s">
        <v>84</v>
      </c>
      <c r="I791" t="s">
        <v>437</v>
      </c>
      <c r="J791" t="s">
        <v>87</v>
      </c>
      <c r="K791">
        <v>-1339.0643030599999</v>
      </c>
      <c r="L791" t="s">
        <v>427</v>
      </c>
      <c r="M791" t="s">
        <v>420</v>
      </c>
      <c r="N791">
        <v>0.45523813654234002</v>
      </c>
      <c r="O791">
        <v>609.59313799999995</v>
      </c>
      <c r="P791" t="s">
        <v>421</v>
      </c>
      <c r="Q791">
        <v>1</v>
      </c>
      <c r="V791">
        <v>1</v>
      </c>
      <c r="W791">
        <v>1</v>
      </c>
      <c r="X791">
        <v>1</v>
      </c>
      <c r="Y791">
        <v>1</v>
      </c>
      <c r="Z791">
        <v>609.59313799999995</v>
      </c>
    </row>
    <row r="792" spans="1:26" x14ac:dyDescent="0.25">
      <c r="A792">
        <v>19022</v>
      </c>
      <c r="B792" t="s">
        <v>126</v>
      </c>
      <c r="C792">
        <v>2018</v>
      </c>
      <c r="D792">
        <v>1</v>
      </c>
      <c r="E792" t="s">
        <v>415</v>
      </c>
      <c r="F792" t="s">
        <v>434</v>
      </c>
      <c r="G792" t="s">
        <v>435</v>
      </c>
      <c r="H792" t="s">
        <v>84</v>
      </c>
      <c r="I792" t="s">
        <v>437</v>
      </c>
      <c r="J792" t="s">
        <v>87</v>
      </c>
      <c r="K792">
        <v>-1339.0643030599999</v>
      </c>
      <c r="L792" t="s">
        <v>427</v>
      </c>
      <c r="M792" t="s">
        <v>422</v>
      </c>
      <c r="N792">
        <v>6.8896616392329996E-2</v>
      </c>
      <c r="O792">
        <v>92.257000000000005</v>
      </c>
      <c r="P792" t="s">
        <v>421</v>
      </c>
      <c r="Q792">
        <v>1</v>
      </c>
      <c r="V792">
        <v>1</v>
      </c>
      <c r="W792">
        <v>1</v>
      </c>
      <c r="X792">
        <v>1</v>
      </c>
      <c r="Y792">
        <v>1</v>
      </c>
      <c r="Z792">
        <v>92.257000000000005</v>
      </c>
    </row>
    <row r="793" spans="1:26" x14ac:dyDescent="0.25">
      <c r="A793">
        <v>19023</v>
      </c>
      <c r="B793" t="s">
        <v>126</v>
      </c>
      <c r="C793">
        <v>2018</v>
      </c>
      <c r="D793">
        <v>1</v>
      </c>
      <c r="E793" t="s">
        <v>415</v>
      </c>
      <c r="F793" t="s">
        <v>434</v>
      </c>
      <c r="G793" t="s">
        <v>435</v>
      </c>
      <c r="H793" t="s">
        <v>84</v>
      </c>
      <c r="I793" t="s">
        <v>437</v>
      </c>
      <c r="J793" t="s">
        <v>87</v>
      </c>
      <c r="K793">
        <v>-1339.0643030599999</v>
      </c>
      <c r="L793" t="s">
        <v>427</v>
      </c>
      <c r="M793" t="s">
        <v>423</v>
      </c>
      <c r="N793">
        <v>0.70986919705586005</v>
      </c>
      <c r="O793">
        <v>950.56050200000004</v>
      </c>
      <c r="P793" t="s">
        <v>421</v>
      </c>
      <c r="Q793">
        <v>1</v>
      </c>
      <c r="V793">
        <v>1</v>
      </c>
      <c r="W793">
        <v>1</v>
      </c>
      <c r="X793">
        <v>1</v>
      </c>
      <c r="Y793">
        <v>1</v>
      </c>
      <c r="Z793">
        <v>950.56050200000004</v>
      </c>
    </row>
    <row r="794" spans="1:26" x14ac:dyDescent="0.25">
      <c r="A794">
        <v>19024</v>
      </c>
      <c r="B794" t="s">
        <v>126</v>
      </c>
      <c r="C794">
        <v>2018</v>
      </c>
      <c r="D794">
        <v>1</v>
      </c>
      <c r="E794" t="s">
        <v>415</v>
      </c>
      <c r="F794" t="s">
        <v>434</v>
      </c>
      <c r="G794" t="s">
        <v>435</v>
      </c>
      <c r="H794" t="s">
        <v>84</v>
      </c>
      <c r="I794" t="s">
        <v>437</v>
      </c>
      <c r="J794" t="s">
        <v>87</v>
      </c>
      <c r="K794">
        <v>-1339.0643030599999</v>
      </c>
      <c r="L794" t="s">
        <v>427</v>
      </c>
      <c r="M794" t="s">
        <v>425</v>
      </c>
      <c r="N794">
        <v>1.4965642882E-3</v>
      </c>
      <c r="O794">
        <v>2.0039959999999999</v>
      </c>
      <c r="P794" t="s">
        <v>421</v>
      </c>
      <c r="Q794">
        <v>1</v>
      </c>
      <c r="V794">
        <v>1</v>
      </c>
      <c r="W794">
        <v>1</v>
      </c>
      <c r="X794">
        <v>1</v>
      </c>
      <c r="Y794">
        <v>1</v>
      </c>
      <c r="Z794">
        <v>2.0039959999999999</v>
      </c>
    </row>
    <row r="795" spans="1:26" x14ac:dyDescent="0.25">
      <c r="A795">
        <v>19025</v>
      </c>
      <c r="B795" t="s">
        <v>126</v>
      </c>
      <c r="C795">
        <v>2018</v>
      </c>
      <c r="D795">
        <v>1</v>
      </c>
      <c r="E795" t="s">
        <v>415</v>
      </c>
      <c r="F795" t="s">
        <v>434</v>
      </c>
      <c r="G795" t="s">
        <v>435</v>
      </c>
      <c r="H795" t="s">
        <v>84</v>
      </c>
      <c r="I795" t="s">
        <v>438</v>
      </c>
      <c r="J795" t="s">
        <v>59</v>
      </c>
      <c r="K795">
        <v>-3789.5880287700002</v>
      </c>
      <c r="L795" t="s">
        <v>89</v>
      </c>
      <c r="M795" t="s">
        <v>420</v>
      </c>
      <c r="N795">
        <v>0.26343870574139999</v>
      </c>
      <c r="O795">
        <v>998.32416599999999</v>
      </c>
      <c r="P795" t="s">
        <v>421</v>
      </c>
      <c r="Q795">
        <v>1</v>
      </c>
      <c r="V795">
        <v>1</v>
      </c>
      <c r="W795">
        <v>1</v>
      </c>
      <c r="X795">
        <v>1</v>
      </c>
      <c r="Y795">
        <v>1</v>
      </c>
      <c r="Z795">
        <v>998.32416599999999</v>
      </c>
    </row>
    <row r="796" spans="1:26" x14ac:dyDescent="0.25">
      <c r="A796">
        <v>19026</v>
      </c>
      <c r="B796" t="s">
        <v>126</v>
      </c>
      <c r="C796">
        <v>2018</v>
      </c>
      <c r="D796">
        <v>1</v>
      </c>
      <c r="E796" t="s">
        <v>415</v>
      </c>
      <c r="F796" t="s">
        <v>434</v>
      </c>
      <c r="G796" t="s">
        <v>435</v>
      </c>
      <c r="H796" t="s">
        <v>84</v>
      </c>
      <c r="I796" t="s">
        <v>438</v>
      </c>
      <c r="J796" t="s">
        <v>59</v>
      </c>
      <c r="K796">
        <v>-3789.5880287700002</v>
      </c>
      <c r="L796" t="s">
        <v>89</v>
      </c>
      <c r="M796" t="s">
        <v>422</v>
      </c>
      <c r="N796">
        <v>7.1262429683470005E-2</v>
      </c>
      <c r="O796">
        <v>270.05525</v>
      </c>
      <c r="P796" t="s">
        <v>421</v>
      </c>
      <c r="Q796">
        <v>1</v>
      </c>
      <c r="V796">
        <v>1</v>
      </c>
      <c r="W796">
        <v>1</v>
      </c>
      <c r="X796">
        <v>1</v>
      </c>
      <c r="Y796">
        <v>1</v>
      </c>
      <c r="Z796">
        <v>270.05525</v>
      </c>
    </row>
    <row r="797" spans="1:26" x14ac:dyDescent="0.25">
      <c r="A797">
        <v>19027</v>
      </c>
      <c r="B797" t="s">
        <v>126</v>
      </c>
      <c r="C797">
        <v>2018</v>
      </c>
      <c r="D797">
        <v>1</v>
      </c>
      <c r="E797" t="s">
        <v>415</v>
      </c>
      <c r="F797" t="s">
        <v>434</v>
      </c>
      <c r="G797" t="s">
        <v>435</v>
      </c>
      <c r="H797" t="s">
        <v>84</v>
      </c>
      <c r="I797" t="s">
        <v>438</v>
      </c>
      <c r="J797" t="s">
        <v>59</v>
      </c>
      <c r="K797">
        <v>-3789.5880287700002</v>
      </c>
      <c r="L797" t="s">
        <v>89</v>
      </c>
      <c r="M797" t="s">
        <v>423</v>
      </c>
      <c r="N797">
        <v>0.74738783869542003</v>
      </c>
      <c r="O797">
        <v>2832.2920060000001</v>
      </c>
      <c r="P797" t="s">
        <v>421</v>
      </c>
      <c r="Q797">
        <v>1</v>
      </c>
      <c r="V797">
        <v>1</v>
      </c>
      <c r="W797">
        <v>1</v>
      </c>
      <c r="X797">
        <v>1</v>
      </c>
      <c r="Y797">
        <v>1</v>
      </c>
      <c r="Z797">
        <v>2832.2920060000001</v>
      </c>
    </row>
    <row r="798" spans="1:26" x14ac:dyDescent="0.25">
      <c r="A798">
        <v>19028</v>
      </c>
      <c r="B798" t="s">
        <v>126</v>
      </c>
      <c r="C798">
        <v>2018</v>
      </c>
      <c r="D798">
        <v>1</v>
      </c>
      <c r="E798" t="s">
        <v>415</v>
      </c>
      <c r="F798" t="s">
        <v>434</v>
      </c>
      <c r="G798" t="s">
        <v>435</v>
      </c>
      <c r="H798" t="s">
        <v>84</v>
      </c>
      <c r="I798" t="s">
        <v>438</v>
      </c>
      <c r="J798" t="s">
        <v>59</v>
      </c>
      <c r="K798">
        <v>-3789.5880287700002</v>
      </c>
      <c r="L798" t="s">
        <v>89</v>
      </c>
      <c r="M798" t="s">
        <v>424</v>
      </c>
      <c r="N798">
        <v>3.08071516317E-3</v>
      </c>
      <c r="O798">
        <v>11.674640999999999</v>
      </c>
      <c r="P798" t="s">
        <v>421</v>
      </c>
      <c r="Q798">
        <v>1</v>
      </c>
      <c r="V798">
        <v>1</v>
      </c>
      <c r="W798">
        <v>1</v>
      </c>
      <c r="X798">
        <v>1</v>
      </c>
      <c r="Y798">
        <v>1</v>
      </c>
      <c r="Z798">
        <v>11.674640999999999</v>
      </c>
    </row>
    <row r="799" spans="1:26" x14ac:dyDescent="0.25">
      <c r="A799">
        <v>19029</v>
      </c>
      <c r="B799" t="s">
        <v>126</v>
      </c>
      <c r="C799">
        <v>2018</v>
      </c>
      <c r="D799">
        <v>1</v>
      </c>
      <c r="E799" t="s">
        <v>415</v>
      </c>
      <c r="F799" t="s">
        <v>434</v>
      </c>
      <c r="G799" t="s">
        <v>435</v>
      </c>
      <c r="H799" t="s">
        <v>84</v>
      </c>
      <c r="I799" t="s">
        <v>438</v>
      </c>
      <c r="J799" t="s">
        <v>59</v>
      </c>
      <c r="K799">
        <v>-3789.5880287700002</v>
      </c>
      <c r="L799" t="s">
        <v>89</v>
      </c>
      <c r="M799" t="s">
        <v>425</v>
      </c>
      <c r="N799">
        <v>2.5360775708E-3</v>
      </c>
      <c r="O799">
        <v>9.6106890000000007</v>
      </c>
      <c r="P799" t="s">
        <v>421</v>
      </c>
      <c r="Q799">
        <v>1</v>
      </c>
      <c r="V799">
        <v>1</v>
      </c>
      <c r="W799">
        <v>1</v>
      </c>
      <c r="X799">
        <v>1</v>
      </c>
      <c r="Y799">
        <v>1</v>
      </c>
      <c r="Z799">
        <v>9.6106890000000007</v>
      </c>
    </row>
    <row r="800" spans="1:26" x14ac:dyDescent="0.25">
      <c r="A800">
        <v>72856</v>
      </c>
      <c r="B800" t="s">
        <v>153</v>
      </c>
      <c r="C800">
        <v>2019</v>
      </c>
      <c r="D800">
        <v>1</v>
      </c>
      <c r="E800" t="s">
        <v>415</v>
      </c>
      <c r="F800" t="s">
        <v>416</v>
      </c>
      <c r="G800" t="s">
        <v>417</v>
      </c>
      <c r="H800" t="s">
        <v>84</v>
      </c>
      <c r="I800" t="s">
        <v>418</v>
      </c>
      <c r="J800" t="s">
        <v>419</v>
      </c>
      <c r="K800">
        <v>-19084.629832400002</v>
      </c>
      <c r="L800" t="s">
        <v>85</v>
      </c>
      <c r="M800" t="s">
        <v>420</v>
      </c>
      <c r="N800">
        <v>0.24824931095561001</v>
      </c>
      <c r="O800">
        <v>4737.7462059999998</v>
      </c>
      <c r="P800" t="s">
        <v>421</v>
      </c>
      <c r="Q800">
        <v>1</v>
      </c>
      <c r="V800">
        <v>1</v>
      </c>
      <c r="W800">
        <v>1</v>
      </c>
      <c r="X800">
        <v>1</v>
      </c>
      <c r="Y800">
        <v>1</v>
      </c>
      <c r="Z800">
        <v>4737.7462059999998</v>
      </c>
    </row>
    <row r="801" spans="1:26" x14ac:dyDescent="0.25">
      <c r="A801">
        <v>72857</v>
      </c>
      <c r="B801" t="s">
        <v>153</v>
      </c>
      <c r="C801">
        <v>2019</v>
      </c>
      <c r="D801">
        <v>1</v>
      </c>
      <c r="E801" t="s">
        <v>415</v>
      </c>
      <c r="F801" t="s">
        <v>416</v>
      </c>
      <c r="G801" t="s">
        <v>417</v>
      </c>
      <c r="H801" t="s">
        <v>84</v>
      </c>
      <c r="I801" t="s">
        <v>418</v>
      </c>
      <c r="J801" t="s">
        <v>419</v>
      </c>
      <c r="K801">
        <v>-19084.629832400002</v>
      </c>
      <c r="L801" t="s">
        <v>85</v>
      </c>
      <c r="M801" t="s">
        <v>422</v>
      </c>
      <c r="N801">
        <v>7.7540047892240005E-2</v>
      </c>
      <c r="O801">
        <v>1479.8231109999999</v>
      </c>
      <c r="P801" t="s">
        <v>421</v>
      </c>
      <c r="Q801">
        <v>1</v>
      </c>
      <c r="V801">
        <v>1</v>
      </c>
      <c r="W801">
        <v>1</v>
      </c>
      <c r="X801">
        <v>1</v>
      </c>
      <c r="Y801">
        <v>1</v>
      </c>
      <c r="Z801">
        <v>1479.8231109999999</v>
      </c>
    </row>
    <row r="802" spans="1:26" x14ac:dyDescent="0.25">
      <c r="A802">
        <v>72858</v>
      </c>
      <c r="B802" t="s">
        <v>153</v>
      </c>
      <c r="C802">
        <v>2019</v>
      </c>
      <c r="D802">
        <v>1</v>
      </c>
      <c r="E802" t="s">
        <v>415</v>
      </c>
      <c r="F802" t="s">
        <v>416</v>
      </c>
      <c r="G802" t="s">
        <v>417</v>
      </c>
      <c r="H802" t="s">
        <v>84</v>
      </c>
      <c r="I802" t="s">
        <v>418</v>
      </c>
      <c r="J802" t="s">
        <v>419</v>
      </c>
      <c r="K802">
        <v>-19084.629832400002</v>
      </c>
      <c r="L802" t="s">
        <v>85</v>
      </c>
      <c r="M802" t="s">
        <v>423</v>
      </c>
      <c r="N802">
        <v>0.73979703899049998</v>
      </c>
      <c r="O802">
        <v>14118.752640000001</v>
      </c>
      <c r="P802" t="s">
        <v>421</v>
      </c>
      <c r="Q802">
        <v>1</v>
      </c>
      <c r="V802">
        <v>1</v>
      </c>
      <c r="W802">
        <v>1</v>
      </c>
      <c r="X802">
        <v>1</v>
      </c>
      <c r="Y802">
        <v>1</v>
      </c>
      <c r="Z802">
        <v>14118.752640000001</v>
      </c>
    </row>
    <row r="803" spans="1:26" x14ac:dyDescent="0.25">
      <c r="A803">
        <v>72859</v>
      </c>
      <c r="B803" t="s">
        <v>153</v>
      </c>
      <c r="C803">
        <v>2019</v>
      </c>
      <c r="D803">
        <v>1</v>
      </c>
      <c r="E803" t="s">
        <v>415</v>
      </c>
      <c r="F803" t="s">
        <v>416</v>
      </c>
      <c r="G803" t="s">
        <v>417</v>
      </c>
      <c r="H803" t="s">
        <v>84</v>
      </c>
      <c r="I803" t="s">
        <v>418</v>
      </c>
      <c r="J803" t="s">
        <v>419</v>
      </c>
      <c r="K803">
        <v>-19084.629832400002</v>
      </c>
      <c r="L803" t="s">
        <v>85</v>
      </c>
      <c r="M803" t="s">
        <v>424</v>
      </c>
      <c r="N803">
        <v>2.9085775596699999E-3</v>
      </c>
      <c r="O803">
        <v>55.509126000000002</v>
      </c>
      <c r="P803" t="s">
        <v>421</v>
      </c>
      <c r="Q803">
        <v>1</v>
      </c>
      <c r="V803">
        <v>1</v>
      </c>
      <c r="W803">
        <v>1</v>
      </c>
      <c r="X803">
        <v>1</v>
      </c>
      <c r="Y803">
        <v>1</v>
      </c>
      <c r="Z803">
        <v>55.509126000000002</v>
      </c>
    </row>
    <row r="804" spans="1:26" x14ac:dyDescent="0.25">
      <c r="A804">
        <v>72860</v>
      </c>
      <c r="B804" t="s">
        <v>153</v>
      </c>
      <c r="C804">
        <v>2019</v>
      </c>
      <c r="D804">
        <v>1</v>
      </c>
      <c r="E804" t="s">
        <v>415</v>
      </c>
      <c r="F804" t="s">
        <v>416</v>
      </c>
      <c r="G804" t="s">
        <v>417</v>
      </c>
      <c r="H804" t="s">
        <v>84</v>
      </c>
      <c r="I804" t="s">
        <v>418</v>
      </c>
      <c r="J804" t="s">
        <v>419</v>
      </c>
      <c r="K804">
        <v>-19084.629832400002</v>
      </c>
      <c r="L804" t="s">
        <v>85</v>
      </c>
      <c r="M804" t="s">
        <v>425</v>
      </c>
      <c r="N804">
        <v>2.6170694898000001E-3</v>
      </c>
      <c r="O804">
        <v>49.945802</v>
      </c>
      <c r="P804" t="s">
        <v>421</v>
      </c>
      <c r="Q804">
        <v>1</v>
      </c>
      <c r="V804">
        <v>1</v>
      </c>
      <c r="W804">
        <v>1</v>
      </c>
      <c r="X804">
        <v>1</v>
      </c>
      <c r="Y804">
        <v>1</v>
      </c>
      <c r="Z804">
        <v>49.945802</v>
      </c>
    </row>
    <row r="805" spans="1:26" x14ac:dyDescent="0.25">
      <c r="A805">
        <v>72861</v>
      </c>
      <c r="B805" t="s">
        <v>153</v>
      </c>
      <c r="C805">
        <v>2019</v>
      </c>
      <c r="D805">
        <v>1</v>
      </c>
      <c r="E805" t="s">
        <v>415</v>
      </c>
      <c r="F805" t="s">
        <v>416</v>
      </c>
      <c r="G805" t="s">
        <v>417</v>
      </c>
      <c r="H805" t="s">
        <v>84</v>
      </c>
      <c r="I805" t="s">
        <v>426</v>
      </c>
      <c r="J805" t="s">
        <v>87</v>
      </c>
      <c r="K805">
        <v>-3737.5105907799998</v>
      </c>
      <c r="L805" t="s">
        <v>427</v>
      </c>
      <c r="M805" t="s">
        <v>420</v>
      </c>
      <c r="N805">
        <v>0.45523813654234002</v>
      </c>
      <c r="O805">
        <v>1701.457357</v>
      </c>
      <c r="P805" t="s">
        <v>421</v>
      </c>
      <c r="Q805">
        <v>1</v>
      </c>
      <c r="V805">
        <v>1</v>
      </c>
      <c r="W805">
        <v>1</v>
      </c>
      <c r="X805">
        <v>1</v>
      </c>
      <c r="Y805">
        <v>1</v>
      </c>
      <c r="Z805">
        <v>1701.457357</v>
      </c>
    </row>
    <row r="806" spans="1:26" x14ac:dyDescent="0.25">
      <c r="A806">
        <v>72862</v>
      </c>
      <c r="B806" t="s">
        <v>153</v>
      </c>
      <c r="C806">
        <v>2019</v>
      </c>
      <c r="D806">
        <v>1</v>
      </c>
      <c r="E806" t="s">
        <v>415</v>
      </c>
      <c r="F806" t="s">
        <v>416</v>
      </c>
      <c r="G806" t="s">
        <v>417</v>
      </c>
      <c r="H806" t="s">
        <v>84</v>
      </c>
      <c r="I806" t="s">
        <v>426</v>
      </c>
      <c r="J806" t="s">
        <v>87</v>
      </c>
      <c r="K806">
        <v>-3737.5105907799998</v>
      </c>
      <c r="L806" t="s">
        <v>427</v>
      </c>
      <c r="M806" t="s">
        <v>422</v>
      </c>
      <c r="N806">
        <v>6.8896616392329996E-2</v>
      </c>
      <c r="O806">
        <v>257.50183299999998</v>
      </c>
      <c r="P806" t="s">
        <v>421</v>
      </c>
      <c r="Q806">
        <v>1</v>
      </c>
      <c r="V806">
        <v>1</v>
      </c>
      <c r="W806">
        <v>1</v>
      </c>
      <c r="X806">
        <v>1</v>
      </c>
      <c r="Y806">
        <v>1</v>
      </c>
      <c r="Z806">
        <v>257.50183299999998</v>
      </c>
    </row>
    <row r="807" spans="1:26" x14ac:dyDescent="0.25">
      <c r="A807">
        <v>72863</v>
      </c>
      <c r="B807" t="s">
        <v>153</v>
      </c>
      <c r="C807">
        <v>2019</v>
      </c>
      <c r="D807">
        <v>1</v>
      </c>
      <c r="E807" t="s">
        <v>415</v>
      </c>
      <c r="F807" t="s">
        <v>416</v>
      </c>
      <c r="G807" t="s">
        <v>417</v>
      </c>
      <c r="H807" t="s">
        <v>84</v>
      </c>
      <c r="I807" t="s">
        <v>426</v>
      </c>
      <c r="J807" t="s">
        <v>87</v>
      </c>
      <c r="K807">
        <v>-3737.5105907799998</v>
      </c>
      <c r="L807" t="s">
        <v>427</v>
      </c>
      <c r="M807" t="s">
        <v>423</v>
      </c>
      <c r="N807">
        <v>0.70986919705586005</v>
      </c>
      <c r="O807">
        <v>2653.143642</v>
      </c>
      <c r="P807" t="s">
        <v>421</v>
      </c>
      <c r="Q807">
        <v>1</v>
      </c>
      <c r="V807">
        <v>1</v>
      </c>
      <c r="W807">
        <v>1</v>
      </c>
      <c r="X807">
        <v>1</v>
      </c>
      <c r="Y807">
        <v>1</v>
      </c>
      <c r="Z807">
        <v>2653.143642</v>
      </c>
    </row>
    <row r="808" spans="1:26" x14ac:dyDescent="0.25">
      <c r="A808">
        <v>72864</v>
      </c>
      <c r="B808" t="s">
        <v>153</v>
      </c>
      <c r="C808">
        <v>2019</v>
      </c>
      <c r="D808">
        <v>1</v>
      </c>
      <c r="E808" t="s">
        <v>415</v>
      </c>
      <c r="F808" t="s">
        <v>416</v>
      </c>
      <c r="G808" t="s">
        <v>417</v>
      </c>
      <c r="H808" t="s">
        <v>84</v>
      </c>
      <c r="I808" t="s">
        <v>426</v>
      </c>
      <c r="J808" t="s">
        <v>87</v>
      </c>
      <c r="K808">
        <v>-3737.5105907799998</v>
      </c>
      <c r="L808" t="s">
        <v>427</v>
      </c>
      <c r="M808" t="s">
        <v>425</v>
      </c>
      <c r="N808">
        <v>1.4965642882E-3</v>
      </c>
      <c r="O808">
        <v>5.5934249999999999</v>
      </c>
      <c r="P808" t="s">
        <v>421</v>
      </c>
      <c r="Q808">
        <v>1</v>
      </c>
      <c r="V808">
        <v>1</v>
      </c>
      <c r="W808">
        <v>1</v>
      </c>
      <c r="X808">
        <v>1</v>
      </c>
      <c r="Y808">
        <v>1</v>
      </c>
      <c r="Z808">
        <v>5.5934249999999999</v>
      </c>
    </row>
    <row r="809" spans="1:26" x14ac:dyDescent="0.25">
      <c r="A809">
        <v>72865</v>
      </c>
      <c r="B809" t="s">
        <v>153</v>
      </c>
      <c r="C809">
        <v>2019</v>
      </c>
      <c r="D809">
        <v>1</v>
      </c>
      <c r="E809" t="s">
        <v>415</v>
      </c>
      <c r="F809" t="s">
        <v>416</v>
      </c>
      <c r="G809" t="s">
        <v>417</v>
      </c>
      <c r="H809" t="s">
        <v>84</v>
      </c>
      <c r="I809" t="s">
        <v>428</v>
      </c>
      <c r="J809" t="s">
        <v>59</v>
      </c>
      <c r="K809">
        <v>-10109.98774477</v>
      </c>
      <c r="L809" t="s">
        <v>89</v>
      </c>
      <c r="M809" t="s">
        <v>420</v>
      </c>
      <c r="N809">
        <v>0.26343870574139999</v>
      </c>
      <c r="O809">
        <v>2663.362087</v>
      </c>
      <c r="P809" t="s">
        <v>421</v>
      </c>
      <c r="Q809">
        <v>1</v>
      </c>
      <c r="V809">
        <v>1</v>
      </c>
      <c r="W809">
        <v>1</v>
      </c>
      <c r="X809">
        <v>1</v>
      </c>
      <c r="Y809">
        <v>1</v>
      </c>
      <c r="Z809">
        <v>2663.362087</v>
      </c>
    </row>
    <row r="810" spans="1:26" x14ac:dyDescent="0.25">
      <c r="A810">
        <v>72866</v>
      </c>
      <c r="B810" t="s">
        <v>153</v>
      </c>
      <c r="C810">
        <v>2019</v>
      </c>
      <c r="D810">
        <v>1</v>
      </c>
      <c r="E810" t="s">
        <v>415</v>
      </c>
      <c r="F810" t="s">
        <v>416</v>
      </c>
      <c r="G810" t="s">
        <v>417</v>
      </c>
      <c r="H810" t="s">
        <v>84</v>
      </c>
      <c r="I810" t="s">
        <v>428</v>
      </c>
      <c r="J810" t="s">
        <v>59</v>
      </c>
      <c r="K810">
        <v>-10109.98774477</v>
      </c>
      <c r="L810" t="s">
        <v>89</v>
      </c>
      <c r="M810" t="s">
        <v>422</v>
      </c>
      <c r="N810">
        <v>7.1262429683470005E-2</v>
      </c>
      <c r="O810">
        <v>720.46229100000005</v>
      </c>
      <c r="P810" t="s">
        <v>421</v>
      </c>
      <c r="Q810">
        <v>1</v>
      </c>
      <c r="V810">
        <v>1</v>
      </c>
      <c r="W810">
        <v>1</v>
      </c>
      <c r="X810">
        <v>1</v>
      </c>
      <c r="Y810">
        <v>1</v>
      </c>
      <c r="Z810">
        <v>720.46229100000005</v>
      </c>
    </row>
    <row r="811" spans="1:26" x14ac:dyDescent="0.25">
      <c r="A811">
        <v>72867</v>
      </c>
      <c r="B811" t="s">
        <v>153</v>
      </c>
      <c r="C811">
        <v>2019</v>
      </c>
      <c r="D811">
        <v>1</v>
      </c>
      <c r="E811" t="s">
        <v>415</v>
      </c>
      <c r="F811" t="s">
        <v>416</v>
      </c>
      <c r="G811" t="s">
        <v>417</v>
      </c>
      <c r="H811" t="s">
        <v>84</v>
      </c>
      <c r="I811" t="s">
        <v>428</v>
      </c>
      <c r="J811" t="s">
        <v>59</v>
      </c>
      <c r="K811">
        <v>-10109.98774477</v>
      </c>
      <c r="L811" t="s">
        <v>89</v>
      </c>
      <c r="M811" t="s">
        <v>423</v>
      </c>
      <c r="N811">
        <v>0.74738783869542003</v>
      </c>
      <c r="O811">
        <v>7556.0818900000004</v>
      </c>
      <c r="P811" t="s">
        <v>421</v>
      </c>
      <c r="Q811">
        <v>1</v>
      </c>
      <c r="V811">
        <v>1</v>
      </c>
      <c r="W811">
        <v>1</v>
      </c>
      <c r="X811">
        <v>1</v>
      </c>
      <c r="Y811">
        <v>1</v>
      </c>
      <c r="Z811">
        <v>7556.0818900000004</v>
      </c>
    </row>
    <row r="812" spans="1:26" x14ac:dyDescent="0.25">
      <c r="A812">
        <v>72868</v>
      </c>
      <c r="B812" t="s">
        <v>153</v>
      </c>
      <c r="C812">
        <v>2019</v>
      </c>
      <c r="D812">
        <v>1</v>
      </c>
      <c r="E812" t="s">
        <v>415</v>
      </c>
      <c r="F812" t="s">
        <v>416</v>
      </c>
      <c r="G812" t="s">
        <v>417</v>
      </c>
      <c r="H812" t="s">
        <v>84</v>
      </c>
      <c r="I812" t="s">
        <v>428</v>
      </c>
      <c r="J812" t="s">
        <v>59</v>
      </c>
      <c r="K812">
        <v>-10109.98774477</v>
      </c>
      <c r="L812" t="s">
        <v>89</v>
      </c>
      <c r="M812" t="s">
        <v>424</v>
      </c>
      <c r="N812">
        <v>3.08071516317E-3</v>
      </c>
      <c r="O812">
        <v>31.145993000000001</v>
      </c>
      <c r="P812" t="s">
        <v>421</v>
      </c>
      <c r="Q812">
        <v>1</v>
      </c>
      <c r="V812">
        <v>1</v>
      </c>
      <c r="W812">
        <v>1</v>
      </c>
      <c r="X812">
        <v>1</v>
      </c>
      <c r="Y812">
        <v>1</v>
      </c>
      <c r="Z812">
        <v>31.145993000000001</v>
      </c>
    </row>
    <row r="813" spans="1:26" x14ac:dyDescent="0.25">
      <c r="A813">
        <v>72869</v>
      </c>
      <c r="B813" t="s">
        <v>153</v>
      </c>
      <c r="C813">
        <v>2019</v>
      </c>
      <c r="D813">
        <v>1</v>
      </c>
      <c r="E813" t="s">
        <v>415</v>
      </c>
      <c r="F813" t="s">
        <v>416</v>
      </c>
      <c r="G813" t="s">
        <v>417</v>
      </c>
      <c r="H813" t="s">
        <v>84</v>
      </c>
      <c r="I813" t="s">
        <v>428</v>
      </c>
      <c r="J813" t="s">
        <v>59</v>
      </c>
      <c r="K813">
        <v>-10109.98774477</v>
      </c>
      <c r="L813" t="s">
        <v>89</v>
      </c>
      <c r="M813" t="s">
        <v>425</v>
      </c>
      <c r="N813">
        <v>2.5360775708E-3</v>
      </c>
      <c r="O813">
        <v>25.639713</v>
      </c>
      <c r="P813" t="s">
        <v>421</v>
      </c>
      <c r="Q813">
        <v>1</v>
      </c>
      <c r="V813">
        <v>1</v>
      </c>
      <c r="W813">
        <v>1</v>
      </c>
      <c r="X813">
        <v>1</v>
      </c>
      <c r="Y813">
        <v>1</v>
      </c>
      <c r="Z813">
        <v>25.639713</v>
      </c>
    </row>
    <row r="814" spans="1:26" x14ac:dyDescent="0.25">
      <c r="A814">
        <v>72870</v>
      </c>
      <c r="B814" t="s">
        <v>153</v>
      </c>
      <c r="C814">
        <v>2019</v>
      </c>
      <c r="D814">
        <v>1</v>
      </c>
      <c r="E814" t="s">
        <v>415</v>
      </c>
      <c r="F814" t="s">
        <v>429</v>
      </c>
      <c r="G814" t="s">
        <v>430</v>
      </c>
      <c r="H814" t="s">
        <v>84</v>
      </c>
      <c r="I814" t="s">
        <v>431</v>
      </c>
      <c r="J814" t="s">
        <v>419</v>
      </c>
      <c r="K814">
        <v>-28695.154490630001</v>
      </c>
      <c r="L814" t="s">
        <v>85</v>
      </c>
      <c r="M814" t="s">
        <v>420</v>
      </c>
      <c r="N814">
        <v>0.24824931095561001</v>
      </c>
      <c r="O814">
        <v>7123.5523300000004</v>
      </c>
      <c r="P814" t="s">
        <v>421</v>
      </c>
      <c r="Q814">
        <v>1</v>
      </c>
      <c r="V814">
        <v>1</v>
      </c>
      <c r="W814">
        <v>1</v>
      </c>
      <c r="X814">
        <v>1</v>
      </c>
      <c r="Y814">
        <v>1</v>
      </c>
      <c r="Z814">
        <v>7123.5523300000004</v>
      </c>
    </row>
    <row r="815" spans="1:26" x14ac:dyDescent="0.25">
      <c r="A815">
        <v>72871</v>
      </c>
      <c r="B815" t="s">
        <v>153</v>
      </c>
      <c r="C815">
        <v>2019</v>
      </c>
      <c r="D815">
        <v>1</v>
      </c>
      <c r="E815" t="s">
        <v>415</v>
      </c>
      <c r="F815" t="s">
        <v>429</v>
      </c>
      <c r="G815" t="s">
        <v>430</v>
      </c>
      <c r="H815" t="s">
        <v>84</v>
      </c>
      <c r="I815" t="s">
        <v>431</v>
      </c>
      <c r="J815" t="s">
        <v>419</v>
      </c>
      <c r="K815">
        <v>-28695.154490630001</v>
      </c>
      <c r="L815" t="s">
        <v>85</v>
      </c>
      <c r="M815" t="s">
        <v>422</v>
      </c>
      <c r="N815">
        <v>7.7540047892240005E-2</v>
      </c>
      <c r="O815">
        <v>2225.0236530000002</v>
      </c>
      <c r="P815" t="s">
        <v>421</v>
      </c>
      <c r="Q815">
        <v>1</v>
      </c>
      <c r="V815">
        <v>1</v>
      </c>
      <c r="W815">
        <v>1</v>
      </c>
      <c r="X815">
        <v>1</v>
      </c>
      <c r="Y815">
        <v>1</v>
      </c>
      <c r="Z815">
        <v>2225.0236530000002</v>
      </c>
    </row>
    <row r="816" spans="1:26" x14ac:dyDescent="0.25">
      <c r="A816">
        <v>72872</v>
      </c>
      <c r="B816" t="s">
        <v>153</v>
      </c>
      <c r="C816">
        <v>2019</v>
      </c>
      <c r="D816">
        <v>1</v>
      </c>
      <c r="E816" t="s">
        <v>415</v>
      </c>
      <c r="F816" t="s">
        <v>429</v>
      </c>
      <c r="G816" t="s">
        <v>430</v>
      </c>
      <c r="H816" t="s">
        <v>84</v>
      </c>
      <c r="I816" t="s">
        <v>431</v>
      </c>
      <c r="J816" t="s">
        <v>419</v>
      </c>
      <c r="K816">
        <v>-28695.154490630001</v>
      </c>
      <c r="L816" t="s">
        <v>85</v>
      </c>
      <c r="M816" t="s">
        <v>423</v>
      </c>
      <c r="N816">
        <v>0.73979703899049998</v>
      </c>
      <c r="O816">
        <v>21228.590326000001</v>
      </c>
      <c r="P816" t="s">
        <v>421</v>
      </c>
      <c r="Q816">
        <v>1</v>
      </c>
      <c r="V816">
        <v>1</v>
      </c>
      <c r="W816">
        <v>1</v>
      </c>
      <c r="X816">
        <v>1</v>
      </c>
      <c r="Y816">
        <v>1</v>
      </c>
      <c r="Z816">
        <v>21228.590326000001</v>
      </c>
    </row>
    <row r="817" spans="1:26" x14ac:dyDescent="0.25">
      <c r="A817">
        <v>72873</v>
      </c>
      <c r="B817" t="s">
        <v>153</v>
      </c>
      <c r="C817">
        <v>2019</v>
      </c>
      <c r="D817">
        <v>1</v>
      </c>
      <c r="E817" t="s">
        <v>415</v>
      </c>
      <c r="F817" t="s">
        <v>429</v>
      </c>
      <c r="G817" t="s">
        <v>430</v>
      </c>
      <c r="H817" t="s">
        <v>84</v>
      </c>
      <c r="I817" t="s">
        <v>431</v>
      </c>
      <c r="J817" t="s">
        <v>419</v>
      </c>
      <c r="K817">
        <v>-28695.154490630001</v>
      </c>
      <c r="L817" t="s">
        <v>85</v>
      </c>
      <c r="M817" t="s">
        <v>424</v>
      </c>
      <c r="N817">
        <v>2.9085775596699999E-3</v>
      </c>
      <c r="O817">
        <v>83.462081999999995</v>
      </c>
      <c r="P817" t="s">
        <v>421</v>
      </c>
      <c r="Q817">
        <v>1</v>
      </c>
      <c r="V817">
        <v>1</v>
      </c>
      <c r="W817">
        <v>1</v>
      </c>
      <c r="X817">
        <v>1</v>
      </c>
      <c r="Y817">
        <v>1</v>
      </c>
      <c r="Z817">
        <v>83.462081999999995</v>
      </c>
    </row>
    <row r="818" spans="1:26" x14ac:dyDescent="0.25">
      <c r="A818">
        <v>72874</v>
      </c>
      <c r="B818" t="s">
        <v>153</v>
      </c>
      <c r="C818">
        <v>2019</v>
      </c>
      <c r="D818">
        <v>1</v>
      </c>
      <c r="E818" t="s">
        <v>415</v>
      </c>
      <c r="F818" t="s">
        <v>429</v>
      </c>
      <c r="G818" t="s">
        <v>430</v>
      </c>
      <c r="H818" t="s">
        <v>84</v>
      </c>
      <c r="I818" t="s">
        <v>431</v>
      </c>
      <c r="J818" t="s">
        <v>419</v>
      </c>
      <c r="K818">
        <v>-28695.154490630001</v>
      </c>
      <c r="L818" t="s">
        <v>85</v>
      </c>
      <c r="M818" t="s">
        <v>425</v>
      </c>
      <c r="N818">
        <v>2.6170694898000001E-3</v>
      </c>
      <c r="O818">
        <v>75.097212999999996</v>
      </c>
      <c r="P818" t="s">
        <v>421</v>
      </c>
      <c r="Q818">
        <v>1</v>
      </c>
      <c r="V818">
        <v>1</v>
      </c>
      <c r="W818">
        <v>1</v>
      </c>
      <c r="X818">
        <v>1</v>
      </c>
      <c r="Y818">
        <v>1</v>
      </c>
      <c r="Z818">
        <v>75.097212999999996</v>
      </c>
    </row>
    <row r="819" spans="1:26" x14ac:dyDescent="0.25">
      <c r="A819">
        <v>72875</v>
      </c>
      <c r="B819" t="s">
        <v>153</v>
      </c>
      <c r="C819">
        <v>2019</v>
      </c>
      <c r="D819">
        <v>1</v>
      </c>
      <c r="E819" t="s">
        <v>415</v>
      </c>
      <c r="F819" t="s">
        <v>429</v>
      </c>
      <c r="G819" t="s">
        <v>430</v>
      </c>
      <c r="H819" t="s">
        <v>84</v>
      </c>
      <c r="I819" t="s">
        <v>432</v>
      </c>
      <c r="J819" t="s">
        <v>87</v>
      </c>
      <c r="K819">
        <v>-4595.8862216500002</v>
      </c>
      <c r="L819" t="s">
        <v>427</v>
      </c>
      <c r="M819" t="s">
        <v>420</v>
      </c>
      <c r="N819">
        <v>0.45523813654234002</v>
      </c>
      <c r="O819">
        <v>2092.222679</v>
      </c>
      <c r="P819" t="s">
        <v>421</v>
      </c>
      <c r="Q819">
        <v>1</v>
      </c>
      <c r="V819">
        <v>1</v>
      </c>
      <c r="W819">
        <v>1</v>
      </c>
      <c r="X819">
        <v>1</v>
      </c>
      <c r="Y819">
        <v>1</v>
      </c>
      <c r="Z819">
        <v>2092.222679</v>
      </c>
    </row>
    <row r="820" spans="1:26" x14ac:dyDescent="0.25">
      <c r="A820">
        <v>72876</v>
      </c>
      <c r="B820" t="s">
        <v>153</v>
      </c>
      <c r="C820">
        <v>2019</v>
      </c>
      <c r="D820">
        <v>1</v>
      </c>
      <c r="E820" t="s">
        <v>415</v>
      </c>
      <c r="F820" t="s">
        <v>429</v>
      </c>
      <c r="G820" t="s">
        <v>430</v>
      </c>
      <c r="H820" t="s">
        <v>84</v>
      </c>
      <c r="I820" t="s">
        <v>432</v>
      </c>
      <c r="J820" t="s">
        <v>87</v>
      </c>
      <c r="K820">
        <v>-4595.8862216500002</v>
      </c>
      <c r="L820" t="s">
        <v>427</v>
      </c>
      <c r="M820" t="s">
        <v>422</v>
      </c>
      <c r="N820">
        <v>6.8896616392329996E-2</v>
      </c>
      <c r="O820">
        <v>316.64100999999999</v>
      </c>
      <c r="P820" t="s">
        <v>421</v>
      </c>
      <c r="Q820">
        <v>1</v>
      </c>
      <c r="V820">
        <v>1</v>
      </c>
      <c r="W820">
        <v>1</v>
      </c>
      <c r="X820">
        <v>1</v>
      </c>
      <c r="Y820">
        <v>1</v>
      </c>
      <c r="Z820">
        <v>316.64100999999999</v>
      </c>
    </row>
    <row r="821" spans="1:26" x14ac:dyDescent="0.25">
      <c r="A821">
        <v>72877</v>
      </c>
      <c r="B821" t="s">
        <v>153</v>
      </c>
      <c r="C821">
        <v>2019</v>
      </c>
      <c r="D821">
        <v>1</v>
      </c>
      <c r="E821" t="s">
        <v>415</v>
      </c>
      <c r="F821" t="s">
        <v>429</v>
      </c>
      <c r="G821" t="s">
        <v>430</v>
      </c>
      <c r="H821" t="s">
        <v>84</v>
      </c>
      <c r="I821" t="s">
        <v>432</v>
      </c>
      <c r="J821" t="s">
        <v>87</v>
      </c>
      <c r="K821">
        <v>-4595.8862216500002</v>
      </c>
      <c r="L821" t="s">
        <v>427</v>
      </c>
      <c r="M821" t="s">
        <v>423</v>
      </c>
      <c r="N821">
        <v>0.70986919705586005</v>
      </c>
      <c r="O821">
        <v>3262.4780620000001</v>
      </c>
      <c r="P821" t="s">
        <v>421</v>
      </c>
      <c r="Q821">
        <v>1</v>
      </c>
      <c r="V821">
        <v>1</v>
      </c>
      <c r="W821">
        <v>1</v>
      </c>
      <c r="X821">
        <v>1</v>
      </c>
      <c r="Y821">
        <v>1</v>
      </c>
      <c r="Z821">
        <v>3262.4780620000001</v>
      </c>
    </row>
    <row r="822" spans="1:26" x14ac:dyDescent="0.25">
      <c r="A822">
        <v>72878</v>
      </c>
      <c r="B822" t="s">
        <v>153</v>
      </c>
      <c r="C822">
        <v>2019</v>
      </c>
      <c r="D822">
        <v>1</v>
      </c>
      <c r="E822" t="s">
        <v>415</v>
      </c>
      <c r="F822" t="s">
        <v>429</v>
      </c>
      <c r="G822" t="s">
        <v>430</v>
      </c>
      <c r="H822" t="s">
        <v>84</v>
      </c>
      <c r="I822" t="s">
        <v>432</v>
      </c>
      <c r="J822" t="s">
        <v>87</v>
      </c>
      <c r="K822">
        <v>-4595.8862216500002</v>
      </c>
      <c r="L822" t="s">
        <v>427</v>
      </c>
      <c r="M822" t="s">
        <v>425</v>
      </c>
      <c r="N822">
        <v>1.4965642882E-3</v>
      </c>
      <c r="O822">
        <v>6.8780390000000002</v>
      </c>
      <c r="P822" t="s">
        <v>421</v>
      </c>
      <c r="Q822">
        <v>1</v>
      </c>
      <c r="V822">
        <v>1</v>
      </c>
      <c r="W822">
        <v>1</v>
      </c>
      <c r="X822">
        <v>1</v>
      </c>
      <c r="Y822">
        <v>1</v>
      </c>
      <c r="Z822">
        <v>6.8780390000000002</v>
      </c>
    </row>
    <row r="823" spans="1:26" x14ac:dyDescent="0.25">
      <c r="A823">
        <v>72879</v>
      </c>
      <c r="B823" t="s">
        <v>153</v>
      </c>
      <c r="C823">
        <v>2019</v>
      </c>
      <c r="D823">
        <v>1</v>
      </c>
      <c r="E823" t="s">
        <v>415</v>
      </c>
      <c r="F823" t="s">
        <v>429</v>
      </c>
      <c r="G823" t="s">
        <v>430</v>
      </c>
      <c r="H823" t="s">
        <v>84</v>
      </c>
      <c r="I823" t="s">
        <v>433</v>
      </c>
      <c r="J823" t="s">
        <v>59</v>
      </c>
      <c r="K823">
        <v>-13417.61603861</v>
      </c>
      <c r="L823" t="s">
        <v>89</v>
      </c>
      <c r="M823" t="s">
        <v>420</v>
      </c>
      <c r="N823">
        <v>0.26343870574139999</v>
      </c>
      <c r="O823">
        <v>3534.7194030000001</v>
      </c>
      <c r="P823" t="s">
        <v>421</v>
      </c>
      <c r="Q823">
        <v>1</v>
      </c>
      <c r="V823">
        <v>1</v>
      </c>
      <c r="W823">
        <v>1</v>
      </c>
      <c r="X823">
        <v>1</v>
      </c>
      <c r="Y823">
        <v>1</v>
      </c>
      <c r="Z823">
        <v>3534.7194030000001</v>
      </c>
    </row>
    <row r="824" spans="1:26" x14ac:dyDescent="0.25">
      <c r="A824">
        <v>72880</v>
      </c>
      <c r="B824" t="s">
        <v>153</v>
      </c>
      <c r="C824">
        <v>2019</v>
      </c>
      <c r="D824">
        <v>1</v>
      </c>
      <c r="E824" t="s">
        <v>415</v>
      </c>
      <c r="F824" t="s">
        <v>429</v>
      </c>
      <c r="G824" t="s">
        <v>430</v>
      </c>
      <c r="H824" t="s">
        <v>84</v>
      </c>
      <c r="I824" t="s">
        <v>433</v>
      </c>
      <c r="J824" t="s">
        <v>59</v>
      </c>
      <c r="K824">
        <v>-13417.61603861</v>
      </c>
      <c r="L824" t="s">
        <v>89</v>
      </c>
      <c r="M824" t="s">
        <v>422</v>
      </c>
      <c r="N824">
        <v>7.1262429683470005E-2</v>
      </c>
      <c r="O824">
        <v>956.171919</v>
      </c>
      <c r="P824" t="s">
        <v>421</v>
      </c>
      <c r="Q824">
        <v>1</v>
      </c>
      <c r="V824">
        <v>1</v>
      </c>
      <c r="W824">
        <v>1</v>
      </c>
      <c r="X824">
        <v>1</v>
      </c>
      <c r="Y824">
        <v>1</v>
      </c>
      <c r="Z824">
        <v>956.171919</v>
      </c>
    </row>
    <row r="825" spans="1:26" x14ac:dyDescent="0.25">
      <c r="A825">
        <v>72881</v>
      </c>
      <c r="B825" t="s">
        <v>153</v>
      </c>
      <c r="C825">
        <v>2019</v>
      </c>
      <c r="D825">
        <v>1</v>
      </c>
      <c r="E825" t="s">
        <v>415</v>
      </c>
      <c r="F825" t="s">
        <v>429</v>
      </c>
      <c r="G825" t="s">
        <v>430</v>
      </c>
      <c r="H825" t="s">
        <v>84</v>
      </c>
      <c r="I825" t="s">
        <v>433</v>
      </c>
      <c r="J825" t="s">
        <v>59</v>
      </c>
      <c r="K825">
        <v>-13417.61603861</v>
      </c>
      <c r="L825" t="s">
        <v>89</v>
      </c>
      <c r="M825" t="s">
        <v>423</v>
      </c>
      <c r="N825">
        <v>0.74738783869542003</v>
      </c>
      <c r="O825">
        <v>10028.163052</v>
      </c>
      <c r="P825" t="s">
        <v>421</v>
      </c>
      <c r="Q825">
        <v>1</v>
      </c>
      <c r="V825">
        <v>1</v>
      </c>
      <c r="W825">
        <v>1</v>
      </c>
      <c r="X825">
        <v>1</v>
      </c>
      <c r="Y825">
        <v>1</v>
      </c>
      <c r="Z825">
        <v>10028.163052</v>
      </c>
    </row>
    <row r="826" spans="1:26" x14ac:dyDescent="0.25">
      <c r="A826">
        <v>72882</v>
      </c>
      <c r="B826" t="s">
        <v>153</v>
      </c>
      <c r="C826">
        <v>2019</v>
      </c>
      <c r="D826">
        <v>1</v>
      </c>
      <c r="E826" t="s">
        <v>415</v>
      </c>
      <c r="F826" t="s">
        <v>429</v>
      </c>
      <c r="G826" t="s">
        <v>430</v>
      </c>
      <c r="H826" t="s">
        <v>84</v>
      </c>
      <c r="I826" t="s">
        <v>433</v>
      </c>
      <c r="J826" t="s">
        <v>59</v>
      </c>
      <c r="K826">
        <v>-13417.61603861</v>
      </c>
      <c r="L826" t="s">
        <v>89</v>
      </c>
      <c r="M826" t="s">
        <v>424</v>
      </c>
      <c r="N826">
        <v>3.08071516317E-3</v>
      </c>
      <c r="O826">
        <v>41.335853</v>
      </c>
      <c r="P826" t="s">
        <v>421</v>
      </c>
      <c r="Q826">
        <v>1</v>
      </c>
      <c r="V826">
        <v>1</v>
      </c>
      <c r="W826">
        <v>1</v>
      </c>
      <c r="X826">
        <v>1</v>
      </c>
      <c r="Y826">
        <v>1</v>
      </c>
      <c r="Z826">
        <v>41.335853</v>
      </c>
    </row>
    <row r="827" spans="1:26" x14ac:dyDescent="0.25">
      <c r="A827">
        <v>72883</v>
      </c>
      <c r="B827" t="s">
        <v>153</v>
      </c>
      <c r="C827">
        <v>2019</v>
      </c>
      <c r="D827">
        <v>1</v>
      </c>
      <c r="E827" t="s">
        <v>415</v>
      </c>
      <c r="F827" t="s">
        <v>429</v>
      </c>
      <c r="G827" t="s">
        <v>430</v>
      </c>
      <c r="H827" t="s">
        <v>84</v>
      </c>
      <c r="I827" t="s">
        <v>433</v>
      </c>
      <c r="J827" t="s">
        <v>59</v>
      </c>
      <c r="K827">
        <v>-13417.61603861</v>
      </c>
      <c r="L827" t="s">
        <v>89</v>
      </c>
      <c r="M827" t="s">
        <v>425</v>
      </c>
      <c r="N827">
        <v>2.5360775708E-3</v>
      </c>
      <c r="O827">
        <v>34.028115</v>
      </c>
      <c r="P827" t="s">
        <v>421</v>
      </c>
      <c r="Q827">
        <v>1</v>
      </c>
      <c r="V827">
        <v>1</v>
      </c>
      <c r="W827">
        <v>1</v>
      </c>
      <c r="X827">
        <v>1</v>
      </c>
      <c r="Y827">
        <v>1</v>
      </c>
      <c r="Z827">
        <v>34.028115</v>
      </c>
    </row>
    <row r="828" spans="1:26" x14ac:dyDescent="0.25">
      <c r="A828">
        <v>72884</v>
      </c>
      <c r="B828" t="s">
        <v>153</v>
      </c>
      <c r="C828">
        <v>2019</v>
      </c>
      <c r="D828">
        <v>1</v>
      </c>
      <c r="E828" t="s">
        <v>415</v>
      </c>
      <c r="F828" t="s">
        <v>434</v>
      </c>
      <c r="G828" t="s">
        <v>435</v>
      </c>
      <c r="H828" t="s">
        <v>84</v>
      </c>
      <c r="I828" t="s">
        <v>436</v>
      </c>
      <c r="J828" t="s">
        <v>419</v>
      </c>
      <c r="K828">
        <v>-13317.439561159999</v>
      </c>
      <c r="L828" t="s">
        <v>85</v>
      </c>
      <c r="M828" t="s">
        <v>420</v>
      </c>
      <c r="N828">
        <v>0.24824931095561001</v>
      </c>
      <c r="O828">
        <v>3306.0451950000001</v>
      </c>
      <c r="P828" t="s">
        <v>421</v>
      </c>
      <c r="Q828">
        <v>1</v>
      </c>
      <c r="V828">
        <v>1</v>
      </c>
      <c r="W828">
        <v>1</v>
      </c>
      <c r="X828">
        <v>1</v>
      </c>
      <c r="Y828">
        <v>1</v>
      </c>
      <c r="Z828">
        <v>3306.0451950000001</v>
      </c>
    </row>
    <row r="829" spans="1:26" x14ac:dyDescent="0.25">
      <c r="A829">
        <v>72885</v>
      </c>
      <c r="B829" t="s">
        <v>153</v>
      </c>
      <c r="C829">
        <v>2019</v>
      </c>
      <c r="D829">
        <v>1</v>
      </c>
      <c r="E829" t="s">
        <v>415</v>
      </c>
      <c r="F829" t="s">
        <v>434</v>
      </c>
      <c r="G829" t="s">
        <v>435</v>
      </c>
      <c r="H829" t="s">
        <v>84</v>
      </c>
      <c r="I829" t="s">
        <v>436</v>
      </c>
      <c r="J829" t="s">
        <v>419</v>
      </c>
      <c r="K829">
        <v>-13317.439561159999</v>
      </c>
      <c r="L829" t="s">
        <v>85</v>
      </c>
      <c r="M829" t="s">
        <v>422</v>
      </c>
      <c r="N829">
        <v>7.7540047892240005E-2</v>
      </c>
      <c r="O829">
        <v>1032.6349009999999</v>
      </c>
      <c r="P829" t="s">
        <v>421</v>
      </c>
      <c r="Q829">
        <v>1</v>
      </c>
      <c r="V829">
        <v>1</v>
      </c>
      <c r="W829">
        <v>1</v>
      </c>
      <c r="X829">
        <v>1</v>
      </c>
      <c r="Y829">
        <v>1</v>
      </c>
      <c r="Z829">
        <v>1032.6349009999999</v>
      </c>
    </row>
    <row r="830" spans="1:26" x14ac:dyDescent="0.25">
      <c r="A830">
        <v>72886</v>
      </c>
      <c r="B830" t="s">
        <v>153</v>
      </c>
      <c r="C830">
        <v>2019</v>
      </c>
      <c r="D830">
        <v>1</v>
      </c>
      <c r="E830" t="s">
        <v>415</v>
      </c>
      <c r="F830" t="s">
        <v>434</v>
      </c>
      <c r="G830" t="s">
        <v>435</v>
      </c>
      <c r="H830" t="s">
        <v>84</v>
      </c>
      <c r="I830" t="s">
        <v>436</v>
      </c>
      <c r="J830" t="s">
        <v>419</v>
      </c>
      <c r="K830">
        <v>-13317.439561159999</v>
      </c>
      <c r="L830" t="s">
        <v>85</v>
      </c>
      <c r="M830" t="s">
        <v>423</v>
      </c>
      <c r="N830">
        <v>0.73979703899049998</v>
      </c>
      <c r="O830">
        <v>9852.2023539999991</v>
      </c>
      <c r="P830" t="s">
        <v>421</v>
      </c>
      <c r="Q830">
        <v>1</v>
      </c>
      <c r="V830">
        <v>1</v>
      </c>
      <c r="W830">
        <v>1</v>
      </c>
      <c r="X830">
        <v>1</v>
      </c>
      <c r="Y830">
        <v>1</v>
      </c>
      <c r="Z830">
        <v>9852.2023539999991</v>
      </c>
    </row>
    <row r="831" spans="1:26" x14ac:dyDescent="0.25">
      <c r="A831">
        <v>72887</v>
      </c>
      <c r="B831" t="s">
        <v>153</v>
      </c>
      <c r="C831">
        <v>2019</v>
      </c>
      <c r="D831">
        <v>1</v>
      </c>
      <c r="E831" t="s">
        <v>415</v>
      </c>
      <c r="F831" t="s">
        <v>434</v>
      </c>
      <c r="G831" t="s">
        <v>435</v>
      </c>
      <c r="H831" t="s">
        <v>84</v>
      </c>
      <c r="I831" t="s">
        <v>436</v>
      </c>
      <c r="J831" t="s">
        <v>419</v>
      </c>
      <c r="K831">
        <v>-13317.439561159999</v>
      </c>
      <c r="L831" t="s">
        <v>85</v>
      </c>
      <c r="M831" t="s">
        <v>424</v>
      </c>
      <c r="N831">
        <v>2.9085775596699999E-3</v>
      </c>
      <c r="O831">
        <v>38.734805999999999</v>
      </c>
      <c r="P831" t="s">
        <v>421</v>
      </c>
      <c r="Q831">
        <v>1</v>
      </c>
      <c r="V831">
        <v>1</v>
      </c>
      <c r="W831">
        <v>1</v>
      </c>
      <c r="X831">
        <v>1</v>
      </c>
      <c r="Y831">
        <v>1</v>
      </c>
      <c r="Z831">
        <v>38.734805999999999</v>
      </c>
    </row>
    <row r="832" spans="1:26" x14ac:dyDescent="0.25">
      <c r="A832">
        <v>72888</v>
      </c>
      <c r="B832" t="s">
        <v>153</v>
      </c>
      <c r="C832">
        <v>2019</v>
      </c>
      <c r="D832">
        <v>1</v>
      </c>
      <c r="E832" t="s">
        <v>415</v>
      </c>
      <c r="F832" t="s">
        <v>434</v>
      </c>
      <c r="G832" t="s">
        <v>435</v>
      </c>
      <c r="H832" t="s">
        <v>84</v>
      </c>
      <c r="I832" t="s">
        <v>436</v>
      </c>
      <c r="J832" t="s">
        <v>419</v>
      </c>
      <c r="K832">
        <v>-13317.439561159999</v>
      </c>
      <c r="L832" t="s">
        <v>85</v>
      </c>
      <c r="M832" t="s">
        <v>425</v>
      </c>
      <c r="N832">
        <v>2.6170694898000001E-3</v>
      </c>
      <c r="O832">
        <v>34.852665000000002</v>
      </c>
      <c r="P832" t="s">
        <v>421</v>
      </c>
      <c r="Q832">
        <v>1</v>
      </c>
      <c r="V832">
        <v>1</v>
      </c>
      <c r="W832">
        <v>1</v>
      </c>
      <c r="X832">
        <v>1</v>
      </c>
      <c r="Y832">
        <v>1</v>
      </c>
      <c r="Z832">
        <v>34.852665000000002</v>
      </c>
    </row>
    <row r="833" spans="1:26" x14ac:dyDescent="0.25">
      <c r="A833">
        <v>72889</v>
      </c>
      <c r="B833" t="s">
        <v>153</v>
      </c>
      <c r="C833">
        <v>2019</v>
      </c>
      <c r="D833">
        <v>1</v>
      </c>
      <c r="E833" t="s">
        <v>415</v>
      </c>
      <c r="F833" t="s">
        <v>434</v>
      </c>
      <c r="G833" t="s">
        <v>435</v>
      </c>
      <c r="H833" t="s">
        <v>84</v>
      </c>
      <c r="I833" t="s">
        <v>437</v>
      </c>
      <c r="J833" t="s">
        <v>87</v>
      </c>
      <c r="K833">
        <v>-2390.3421406799998</v>
      </c>
      <c r="L833" t="s">
        <v>427</v>
      </c>
      <c r="M833" t="s">
        <v>420</v>
      </c>
      <c r="N833">
        <v>0.45523813654234002</v>
      </c>
      <c r="O833">
        <v>1088.174902</v>
      </c>
      <c r="P833" t="s">
        <v>421</v>
      </c>
      <c r="Q833">
        <v>1</v>
      </c>
      <c r="V833">
        <v>1</v>
      </c>
      <c r="W833">
        <v>1</v>
      </c>
      <c r="X833">
        <v>1</v>
      </c>
      <c r="Y833">
        <v>1</v>
      </c>
      <c r="Z833">
        <v>1088.174902</v>
      </c>
    </row>
    <row r="834" spans="1:26" x14ac:dyDescent="0.25">
      <c r="A834">
        <v>72890</v>
      </c>
      <c r="B834" t="s">
        <v>153</v>
      </c>
      <c r="C834">
        <v>2019</v>
      </c>
      <c r="D834">
        <v>1</v>
      </c>
      <c r="E834" t="s">
        <v>415</v>
      </c>
      <c r="F834" t="s">
        <v>434</v>
      </c>
      <c r="G834" t="s">
        <v>435</v>
      </c>
      <c r="H834" t="s">
        <v>84</v>
      </c>
      <c r="I834" t="s">
        <v>437</v>
      </c>
      <c r="J834" t="s">
        <v>87</v>
      </c>
      <c r="K834">
        <v>-2390.3421406799998</v>
      </c>
      <c r="L834" t="s">
        <v>427</v>
      </c>
      <c r="M834" t="s">
        <v>422</v>
      </c>
      <c r="N834">
        <v>6.8896616392329996E-2</v>
      </c>
      <c r="O834">
        <v>164.686486</v>
      </c>
      <c r="P834" t="s">
        <v>421</v>
      </c>
      <c r="Q834">
        <v>1</v>
      </c>
      <c r="V834">
        <v>1</v>
      </c>
      <c r="W834">
        <v>1</v>
      </c>
      <c r="X834">
        <v>1</v>
      </c>
      <c r="Y834">
        <v>1</v>
      </c>
      <c r="Z834">
        <v>164.686486</v>
      </c>
    </row>
    <row r="835" spans="1:26" x14ac:dyDescent="0.25">
      <c r="A835">
        <v>72891</v>
      </c>
      <c r="B835" t="s">
        <v>153</v>
      </c>
      <c r="C835">
        <v>2019</v>
      </c>
      <c r="D835">
        <v>1</v>
      </c>
      <c r="E835" t="s">
        <v>415</v>
      </c>
      <c r="F835" t="s">
        <v>434</v>
      </c>
      <c r="G835" t="s">
        <v>435</v>
      </c>
      <c r="H835" t="s">
        <v>84</v>
      </c>
      <c r="I835" t="s">
        <v>437</v>
      </c>
      <c r="J835" t="s">
        <v>87</v>
      </c>
      <c r="K835">
        <v>-2390.3421406799998</v>
      </c>
      <c r="L835" t="s">
        <v>427</v>
      </c>
      <c r="M835" t="s">
        <v>423</v>
      </c>
      <c r="N835">
        <v>0.70986919705586005</v>
      </c>
      <c r="O835">
        <v>1696.830256</v>
      </c>
      <c r="P835" t="s">
        <v>421</v>
      </c>
      <c r="Q835">
        <v>1</v>
      </c>
      <c r="V835">
        <v>1</v>
      </c>
      <c r="W835">
        <v>1</v>
      </c>
      <c r="X835">
        <v>1</v>
      </c>
      <c r="Y835">
        <v>1</v>
      </c>
      <c r="Z835">
        <v>1696.830256</v>
      </c>
    </row>
    <row r="836" spans="1:26" x14ac:dyDescent="0.25">
      <c r="A836">
        <v>72892</v>
      </c>
      <c r="B836" t="s">
        <v>153</v>
      </c>
      <c r="C836">
        <v>2019</v>
      </c>
      <c r="D836">
        <v>1</v>
      </c>
      <c r="E836" t="s">
        <v>415</v>
      </c>
      <c r="F836" t="s">
        <v>434</v>
      </c>
      <c r="G836" t="s">
        <v>435</v>
      </c>
      <c r="H836" t="s">
        <v>84</v>
      </c>
      <c r="I836" t="s">
        <v>437</v>
      </c>
      <c r="J836" t="s">
        <v>87</v>
      </c>
      <c r="K836">
        <v>-2390.3421406799998</v>
      </c>
      <c r="L836" t="s">
        <v>427</v>
      </c>
      <c r="M836" t="s">
        <v>425</v>
      </c>
      <c r="N836">
        <v>1.4965642882E-3</v>
      </c>
      <c r="O836">
        <v>3.5773009999999998</v>
      </c>
      <c r="P836" t="s">
        <v>421</v>
      </c>
      <c r="Q836">
        <v>1</v>
      </c>
      <c r="V836">
        <v>1</v>
      </c>
      <c r="W836">
        <v>1</v>
      </c>
      <c r="X836">
        <v>1</v>
      </c>
      <c r="Y836">
        <v>1</v>
      </c>
      <c r="Z836">
        <v>3.5773009999999998</v>
      </c>
    </row>
    <row r="837" spans="1:26" x14ac:dyDescent="0.25">
      <c r="A837">
        <v>72893</v>
      </c>
      <c r="B837" t="s">
        <v>153</v>
      </c>
      <c r="C837">
        <v>2019</v>
      </c>
      <c r="D837">
        <v>1</v>
      </c>
      <c r="E837" t="s">
        <v>415</v>
      </c>
      <c r="F837" t="s">
        <v>434</v>
      </c>
      <c r="G837" t="s">
        <v>435</v>
      </c>
      <c r="H837" t="s">
        <v>84</v>
      </c>
      <c r="I837" t="s">
        <v>438</v>
      </c>
      <c r="J837" t="s">
        <v>59</v>
      </c>
      <c r="K837">
        <v>-6712.9302553899997</v>
      </c>
      <c r="L837" t="s">
        <v>89</v>
      </c>
      <c r="M837" t="s">
        <v>420</v>
      </c>
      <c r="N837">
        <v>0.26343870574139999</v>
      </c>
      <c r="O837">
        <v>1768.4456580000001</v>
      </c>
      <c r="P837" t="s">
        <v>421</v>
      </c>
      <c r="Q837">
        <v>1</v>
      </c>
      <c r="V837">
        <v>1</v>
      </c>
      <c r="W837">
        <v>1</v>
      </c>
      <c r="X837">
        <v>1</v>
      </c>
      <c r="Y837">
        <v>1</v>
      </c>
      <c r="Z837">
        <v>1768.4456580000001</v>
      </c>
    </row>
    <row r="838" spans="1:26" x14ac:dyDescent="0.25">
      <c r="A838">
        <v>72894</v>
      </c>
      <c r="B838" t="s">
        <v>153</v>
      </c>
      <c r="C838">
        <v>2019</v>
      </c>
      <c r="D838">
        <v>1</v>
      </c>
      <c r="E838" t="s">
        <v>415</v>
      </c>
      <c r="F838" t="s">
        <v>434</v>
      </c>
      <c r="G838" t="s">
        <v>435</v>
      </c>
      <c r="H838" t="s">
        <v>84</v>
      </c>
      <c r="I838" t="s">
        <v>438</v>
      </c>
      <c r="J838" t="s">
        <v>59</v>
      </c>
      <c r="K838">
        <v>-6712.9302553899997</v>
      </c>
      <c r="L838" t="s">
        <v>89</v>
      </c>
      <c r="M838" t="s">
        <v>422</v>
      </c>
      <c r="N838">
        <v>7.1262429683470005E-2</v>
      </c>
      <c r="O838">
        <v>478.37972000000002</v>
      </c>
      <c r="P838" t="s">
        <v>421</v>
      </c>
      <c r="Q838">
        <v>1</v>
      </c>
      <c r="V838">
        <v>1</v>
      </c>
      <c r="W838">
        <v>1</v>
      </c>
      <c r="X838">
        <v>1</v>
      </c>
      <c r="Y838">
        <v>1</v>
      </c>
      <c r="Z838">
        <v>478.37972000000002</v>
      </c>
    </row>
    <row r="839" spans="1:26" x14ac:dyDescent="0.25">
      <c r="A839">
        <v>72895</v>
      </c>
      <c r="B839" t="s">
        <v>153</v>
      </c>
      <c r="C839">
        <v>2019</v>
      </c>
      <c r="D839">
        <v>1</v>
      </c>
      <c r="E839" t="s">
        <v>415</v>
      </c>
      <c r="F839" t="s">
        <v>434</v>
      </c>
      <c r="G839" t="s">
        <v>435</v>
      </c>
      <c r="H839" t="s">
        <v>84</v>
      </c>
      <c r="I839" t="s">
        <v>438</v>
      </c>
      <c r="J839" t="s">
        <v>59</v>
      </c>
      <c r="K839">
        <v>-6712.9302553899997</v>
      </c>
      <c r="L839" t="s">
        <v>89</v>
      </c>
      <c r="M839" t="s">
        <v>423</v>
      </c>
      <c r="N839">
        <v>0.74738783869542003</v>
      </c>
      <c r="O839">
        <v>5017.1624350000002</v>
      </c>
      <c r="P839" t="s">
        <v>421</v>
      </c>
      <c r="Q839">
        <v>1</v>
      </c>
      <c r="V839">
        <v>1</v>
      </c>
      <c r="W839">
        <v>1</v>
      </c>
      <c r="X839">
        <v>1</v>
      </c>
      <c r="Y839">
        <v>1</v>
      </c>
      <c r="Z839">
        <v>5017.1624350000002</v>
      </c>
    </row>
    <row r="840" spans="1:26" x14ac:dyDescent="0.25">
      <c r="A840">
        <v>72896</v>
      </c>
      <c r="B840" t="s">
        <v>153</v>
      </c>
      <c r="C840">
        <v>2019</v>
      </c>
      <c r="D840">
        <v>1</v>
      </c>
      <c r="E840" t="s">
        <v>415</v>
      </c>
      <c r="F840" t="s">
        <v>434</v>
      </c>
      <c r="G840" t="s">
        <v>435</v>
      </c>
      <c r="H840" t="s">
        <v>84</v>
      </c>
      <c r="I840" t="s">
        <v>438</v>
      </c>
      <c r="J840" t="s">
        <v>59</v>
      </c>
      <c r="K840">
        <v>-6712.9302553899997</v>
      </c>
      <c r="L840" t="s">
        <v>89</v>
      </c>
      <c r="M840" t="s">
        <v>424</v>
      </c>
      <c r="N840">
        <v>3.08071516317E-3</v>
      </c>
      <c r="O840">
        <v>20.680626</v>
      </c>
      <c r="P840" t="s">
        <v>421</v>
      </c>
      <c r="Q840">
        <v>1</v>
      </c>
      <c r="V840">
        <v>1</v>
      </c>
      <c r="W840">
        <v>1</v>
      </c>
      <c r="X840">
        <v>1</v>
      </c>
      <c r="Y840">
        <v>1</v>
      </c>
      <c r="Z840">
        <v>20.680626</v>
      </c>
    </row>
    <row r="841" spans="1:26" x14ac:dyDescent="0.25">
      <c r="A841">
        <v>72897</v>
      </c>
      <c r="B841" t="s">
        <v>153</v>
      </c>
      <c r="C841">
        <v>2019</v>
      </c>
      <c r="D841">
        <v>1</v>
      </c>
      <c r="E841" t="s">
        <v>415</v>
      </c>
      <c r="F841" t="s">
        <v>434</v>
      </c>
      <c r="G841" t="s">
        <v>435</v>
      </c>
      <c r="H841" t="s">
        <v>84</v>
      </c>
      <c r="I841" t="s">
        <v>438</v>
      </c>
      <c r="J841" t="s">
        <v>59</v>
      </c>
      <c r="K841">
        <v>-6712.9302553899997</v>
      </c>
      <c r="L841" t="s">
        <v>89</v>
      </c>
      <c r="M841" t="s">
        <v>425</v>
      </c>
      <c r="N841">
        <v>2.5360775708E-3</v>
      </c>
      <c r="O841">
        <v>17.024512000000001</v>
      </c>
      <c r="P841" t="s">
        <v>421</v>
      </c>
      <c r="Q841">
        <v>1</v>
      </c>
      <c r="V841">
        <v>1</v>
      </c>
      <c r="W841">
        <v>1</v>
      </c>
      <c r="X841">
        <v>1</v>
      </c>
      <c r="Y841">
        <v>1</v>
      </c>
      <c r="Z841">
        <v>17.024512000000001</v>
      </c>
    </row>
    <row r="842" spans="1:26" x14ac:dyDescent="0.25">
      <c r="A842">
        <v>127504</v>
      </c>
      <c r="B842" t="s">
        <v>223</v>
      </c>
      <c r="C842">
        <v>2020</v>
      </c>
      <c r="D842">
        <v>1</v>
      </c>
      <c r="E842" t="s">
        <v>415</v>
      </c>
      <c r="F842" t="s">
        <v>416</v>
      </c>
      <c r="G842" t="s">
        <v>417</v>
      </c>
      <c r="H842" t="s">
        <v>84</v>
      </c>
      <c r="I842" t="s">
        <v>418</v>
      </c>
      <c r="J842" t="s">
        <v>419</v>
      </c>
      <c r="K842">
        <v>-40223.700239999998</v>
      </c>
      <c r="L842" t="s">
        <v>85</v>
      </c>
      <c r="M842" t="s">
        <v>420</v>
      </c>
      <c r="N842">
        <v>0.24824931095561001</v>
      </c>
      <c r="O842">
        <v>9985.5058690000005</v>
      </c>
      <c r="P842" t="s">
        <v>421</v>
      </c>
      <c r="Q842">
        <v>1</v>
      </c>
      <c r="V842">
        <v>1</v>
      </c>
      <c r="W842">
        <v>1</v>
      </c>
      <c r="X842">
        <v>1</v>
      </c>
      <c r="Y842">
        <v>1</v>
      </c>
      <c r="Z842">
        <v>9985.5058690000005</v>
      </c>
    </row>
    <row r="843" spans="1:26" x14ac:dyDescent="0.25">
      <c r="A843">
        <v>127505</v>
      </c>
      <c r="B843" t="s">
        <v>223</v>
      </c>
      <c r="C843">
        <v>2020</v>
      </c>
      <c r="D843">
        <v>1</v>
      </c>
      <c r="E843" t="s">
        <v>415</v>
      </c>
      <c r="F843" t="s">
        <v>416</v>
      </c>
      <c r="G843" t="s">
        <v>417</v>
      </c>
      <c r="H843" t="s">
        <v>84</v>
      </c>
      <c r="I843" t="s">
        <v>418</v>
      </c>
      <c r="J843" t="s">
        <v>419</v>
      </c>
      <c r="K843">
        <v>-40223.700239999998</v>
      </c>
      <c r="L843" t="s">
        <v>85</v>
      </c>
      <c r="M843" t="s">
        <v>422</v>
      </c>
      <c r="N843">
        <v>7.7540047892240005E-2</v>
      </c>
      <c r="O843">
        <v>3118.947643</v>
      </c>
      <c r="P843" t="s">
        <v>421</v>
      </c>
      <c r="Q843">
        <v>1</v>
      </c>
      <c r="V843">
        <v>1</v>
      </c>
      <c r="W843">
        <v>1</v>
      </c>
      <c r="X843">
        <v>1</v>
      </c>
      <c r="Y843">
        <v>1</v>
      </c>
      <c r="Z843">
        <v>3118.947643</v>
      </c>
    </row>
    <row r="844" spans="1:26" x14ac:dyDescent="0.25">
      <c r="A844">
        <v>127506</v>
      </c>
      <c r="B844" t="s">
        <v>223</v>
      </c>
      <c r="C844">
        <v>2020</v>
      </c>
      <c r="D844">
        <v>1</v>
      </c>
      <c r="E844" t="s">
        <v>415</v>
      </c>
      <c r="F844" t="s">
        <v>416</v>
      </c>
      <c r="G844" t="s">
        <v>417</v>
      </c>
      <c r="H844" t="s">
        <v>84</v>
      </c>
      <c r="I844" t="s">
        <v>418</v>
      </c>
      <c r="J844" t="s">
        <v>419</v>
      </c>
      <c r="K844">
        <v>-40223.700239999998</v>
      </c>
      <c r="L844" t="s">
        <v>85</v>
      </c>
      <c r="M844" t="s">
        <v>423</v>
      </c>
      <c r="N844">
        <v>0.73979703899049998</v>
      </c>
      <c r="O844">
        <v>29757.374335</v>
      </c>
      <c r="P844" t="s">
        <v>421</v>
      </c>
      <c r="Q844">
        <v>1</v>
      </c>
      <c r="V844">
        <v>1</v>
      </c>
      <c r="W844">
        <v>1</v>
      </c>
      <c r="X844">
        <v>1</v>
      </c>
      <c r="Y844">
        <v>1</v>
      </c>
      <c r="Z844">
        <v>29757.374335</v>
      </c>
    </row>
    <row r="845" spans="1:26" x14ac:dyDescent="0.25">
      <c r="A845">
        <v>127507</v>
      </c>
      <c r="B845" t="s">
        <v>223</v>
      </c>
      <c r="C845">
        <v>2020</v>
      </c>
      <c r="D845">
        <v>1</v>
      </c>
      <c r="E845" t="s">
        <v>415</v>
      </c>
      <c r="F845" t="s">
        <v>416</v>
      </c>
      <c r="G845" t="s">
        <v>417</v>
      </c>
      <c r="H845" t="s">
        <v>84</v>
      </c>
      <c r="I845" t="s">
        <v>418</v>
      </c>
      <c r="J845" t="s">
        <v>419</v>
      </c>
      <c r="K845">
        <v>-40223.700239999998</v>
      </c>
      <c r="L845" t="s">
        <v>85</v>
      </c>
      <c r="M845" t="s">
        <v>424</v>
      </c>
      <c r="N845">
        <v>2.9085775596699999E-3</v>
      </c>
      <c r="O845">
        <v>116.993752</v>
      </c>
      <c r="P845" t="s">
        <v>421</v>
      </c>
      <c r="Q845">
        <v>1</v>
      </c>
      <c r="V845">
        <v>1</v>
      </c>
      <c r="W845">
        <v>1</v>
      </c>
      <c r="X845">
        <v>1</v>
      </c>
      <c r="Y845">
        <v>1</v>
      </c>
      <c r="Z845">
        <v>116.993752</v>
      </c>
    </row>
    <row r="846" spans="1:26" x14ac:dyDescent="0.25">
      <c r="A846">
        <v>127508</v>
      </c>
      <c r="B846" t="s">
        <v>223</v>
      </c>
      <c r="C846">
        <v>2020</v>
      </c>
      <c r="D846">
        <v>1</v>
      </c>
      <c r="E846" t="s">
        <v>415</v>
      </c>
      <c r="F846" t="s">
        <v>416</v>
      </c>
      <c r="G846" t="s">
        <v>417</v>
      </c>
      <c r="H846" t="s">
        <v>84</v>
      </c>
      <c r="I846" t="s">
        <v>418</v>
      </c>
      <c r="J846" t="s">
        <v>419</v>
      </c>
      <c r="K846">
        <v>-40223.700239999998</v>
      </c>
      <c r="L846" t="s">
        <v>85</v>
      </c>
      <c r="M846" t="s">
        <v>425</v>
      </c>
      <c r="N846">
        <v>2.6170694898000001E-3</v>
      </c>
      <c r="O846">
        <v>105.268219</v>
      </c>
      <c r="P846" t="s">
        <v>421</v>
      </c>
      <c r="Q846">
        <v>1</v>
      </c>
      <c r="V846">
        <v>1</v>
      </c>
      <c r="W846">
        <v>1</v>
      </c>
      <c r="X846">
        <v>1</v>
      </c>
      <c r="Y846">
        <v>1</v>
      </c>
      <c r="Z846">
        <v>105.268219</v>
      </c>
    </row>
    <row r="847" spans="1:26" x14ac:dyDescent="0.25">
      <c r="A847">
        <v>127509</v>
      </c>
      <c r="B847" t="s">
        <v>223</v>
      </c>
      <c r="C847">
        <v>2020</v>
      </c>
      <c r="D847">
        <v>1</v>
      </c>
      <c r="E847" t="s">
        <v>415</v>
      </c>
      <c r="F847" t="s">
        <v>416</v>
      </c>
      <c r="G847" t="s">
        <v>417</v>
      </c>
      <c r="H847" t="s">
        <v>84</v>
      </c>
      <c r="I847" t="s">
        <v>426</v>
      </c>
      <c r="J847" t="s">
        <v>87</v>
      </c>
      <c r="K847">
        <v>-8606.6010247199993</v>
      </c>
      <c r="L847" t="s">
        <v>427</v>
      </c>
      <c r="M847" t="s">
        <v>420</v>
      </c>
      <c r="N847">
        <v>0.45523813654234002</v>
      </c>
      <c r="O847">
        <v>3918.0530119999999</v>
      </c>
      <c r="P847" t="s">
        <v>421</v>
      </c>
      <c r="Q847">
        <v>1</v>
      </c>
      <c r="V847">
        <v>1</v>
      </c>
      <c r="W847">
        <v>1</v>
      </c>
      <c r="X847">
        <v>1</v>
      </c>
      <c r="Y847">
        <v>1</v>
      </c>
      <c r="Z847">
        <v>3918.0530119999999</v>
      </c>
    </row>
    <row r="848" spans="1:26" x14ac:dyDescent="0.25">
      <c r="A848">
        <v>127510</v>
      </c>
      <c r="B848" t="s">
        <v>223</v>
      </c>
      <c r="C848">
        <v>2020</v>
      </c>
      <c r="D848">
        <v>1</v>
      </c>
      <c r="E848" t="s">
        <v>415</v>
      </c>
      <c r="F848" t="s">
        <v>416</v>
      </c>
      <c r="G848" t="s">
        <v>417</v>
      </c>
      <c r="H848" t="s">
        <v>84</v>
      </c>
      <c r="I848" t="s">
        <v>426</v>
      </c>
      <c r="J848" t="s">
        <v>87</v>
      </c>
      <c r="K848">
        <v>-8606.6010247199993</v>
      </c>
      <c r="L848" t="s">
        <v>427</v>
      </c>
      <c r="M848" t="s">
        <v>422</v>
      </c>
      <c r="N848">
        <v>6.8896616392329996E-2</v>
      </c>
      <c r="O848">
        <v>592.965689</v>
      </c>
      <c r="P848" t="s">
        <v>421</v>
      </c>
      <c r="Q848">
        <v>1</v>
      </c>
      <c r="V848">
        <v>1</v>
      </c>
      <c r="W848">
        <v>1</v>
      </c>
      <c r="X848">
        <v>1</v>
      </c>
      <c r="Y848">
        <v>1</v>
      </c>
      <c r="Z848">
        <v>592.965689</v>
      </c>
    </row>
    <row r="849" spans="1:26" x14ac:dyDescent="0.25">
      <c r="A849">
        <v>127511</v>
      </c>
      <c r="B849" t="s">
        <v>223</v>
      </c>
      <c r="C849">
        <v>2020</v>
      </c>
      <c r="D849">
        <v>1</v>
      </c>
      <c r="E849" t="s">
        <v>415</v>
      </c>
      <c r="F849" t="s">
        <v>416</v>
      </c>
      <c r="G849" t="s">
        <v>417</v>
      </c>
      <c r="H849" t="s">
        <v>84</v>
      </c>
      <c r="I849" t="s">
        <v>426</v>
      </c>
      <c r="J849" t="s">
        <v>87</v>
      </c>
      <c r="K849">
        <v>-8606.6010247199993</v>
      </c>
      <c r="L849" t="s">
        <v>427</v>
      </c>
      <c r="M849" t="s">
        <v>423</v>
      </c>
      <c r="N849">
        <v>0.70986919705586005</v>
      </c>
      <c r="O849">
        <v>6109.5609590000004</v>
      </c>
      <c r="P849" t="s">
        <v>421</v>
      </c>
      <c r="Q849">
        <v>1</v>
      </c>
      <c r="V849">
        <v>1</v>
      </c>
      <c r="W849">
        <v>1</v>
      </c>
      <c r="X849">
        <v>1</v>
      </c>
      <c r="Y849">
        <v>1</v>
      </c>
      <c r="Z849">
        <v>6109.5609590000004</v>
      </c>
    </row>
    <row r="850" spans="1:26" x14ac:dyDescent="0.25">
      <c r="A850">
        <v>127512</v>
      </c>
      <c r="B850" t="s">
        <v>223</v>
      </c>
      <c r="C850">
        <v>2020</v>
      </c>
      <c r="D850">
        <v>1</v>
      </c>
      <c r="E850" t="s">
        <v>415</v>
      </c>
      <c r="F850" t="s">
        <v>416</v>
      </c>
      <c r="G850" t="s">
        <v>417</v>
      </c>
      <c r="H850" t="s">
        <v>84</v>
      </c>
      <c r="I850" t="s">
        <v>426</v>
      </c>
      <c r="J850" t="s">
        <v>87</v>
      </c>
      <c r="K850">
        <v>-8606.6010247199993</v>
      </c>
      <c r="L850" t="s">
        <v>427</v>
      </c>
      <c r="M850" t="s">
        <v>425</v>
      </c>
      <c r="N850">
        <v>1.4965642882E-3</v>
      </c>
      <c r="O850">
        <v>12.880331999999999</v>
      </c>
      <c r="P850" t="s">
        <v>421</v>
      </c>
      <c r="Q850">
        <v>1</v>
      </c>
      <c r="V850">
        <v>1</v>
      </c>
      <c r="W850">
        <v>1</v>
      </c>
      <c r="X850">
        <v>1</v>
      </c>
      <c r="Y850">
        <v>1</v>
      </c>
      <c r="Z850">
        <v>12.880331999999999</v>
      </c>
    </row>
    <row r="851" spans="1:26" x14ac:dyDescent="0.25">
      <c r="A851">
        <v>127513</v>
      </c>
      <c r="B851" t="s">
        <v>223</v>
      </c>
      <c r="C851">
        <v>2020</v>
      </c>
      <c r="D851">
        <v>1</v>
      </c>
      <c r="E851" t="s">
        <v>415</v>
      </c>
      <c r="F851" t="s">
        <v>416</v>
      </c>
      <c r="G851" t="s">
        <v>417</v>
      </c>
      <c r="H851" t="s">
        <v>84</v>
      </c>
      <c r="I851" t="s">
        <v>428</v>
      </c>
      <c r="J851" t="s">
        <v>59</v>
      </c>
      <c r="K851">
        <v>-25267.476182769999</v>
      </c>
      <c r="L851" t="s">
        <v>89</v>
      </c>
      <c r="M851" t="s">
        <v>420</v>
      </c>
      <c r="N851">
        <v>0.26343870574139999</v>
      </c>
      <c r="O851">
        <v>6656.4312229999996</v>
      </c>
      <c r="P851" t="s">
        <v>421</v>
      </c>
      <c r="Q851">
        <v>1</v>
      </c>
      <c r="V851">
        <v>1</v>
      </c>
      <c r="W851">
        <v>1</v>
      </c>
      <c r="X851">
        <v>1</v>
      </c>
      <c r="Y851">
        <v>1</v>
      </c>
      <c r="Z851">
        <v>6656.4312229999996</v>
      </c>
    </row>
    <row r="852" spans="1:26" x14ac:dyDescent="0.25">
      <c r="A852">
        <v>127514</v>
      </c>
      <c r="B852" t="s">
        <v>223</v>
      </c>
      <c r="C852">
        <v>2020</v>
      </c>
      <c r="D852">
        <v>1</v>
      </c>
      <c r="E852" t="s">
        <v>415</v>
      </c>
      <c r="F852" t="s">
        <v>416</v>
      </c>
      <c r="G852" t="s">
        <v>417</v>
      </c>
      <c r="H852" t="s">
        <v>84</v>
      </c>
      <c r="I852" t="s">
        <v>428</v>
      </c>
      <c r="J852" t="s">
        <v>59</v>
      </c>
      <c r="K852">
        <v>-25267.476182769999</v>
      </c>
      <c r="L852" t="s">
        <v>89</v>
      </c>
      <c r="M852" t="s">
        <v>422</v>
      </c>
      <c r="N852">
        <v>7.1262429683470005E-2</v>
      </c>
      <c r="O852">
        <v>1800.6217449999999</v>
      </c>
      <c r="P852" t="s">
        <v>421</v>
      </c>
      <c r="Q852">
        <v>1</v>
      </c>
      <c r="V852">
        <v>1</v>
      </c>
      <c r="W852">
        <v>1</v>
      </c>
      <c r="X852">
        <v>1</v>
      </c>
      <c r="Y852">
        <v>1</v>
      </c>
      <c r="Z852">
        <v>1800.6217449999999</v>
      </c>
    </row>
    <row r="853" spans="1:26" x14ac:dyDescent="0.25">
      <c r="A853">
        <v>127515</v>
      </c>
      <c r="B853" t="s">
        <v>223</v>
      </c>
      <c r="C853">
        <v>2020</v>
      </c>
      <c r="D853">
        <v>1</v>
      </c>
      <c r="E853" t="s">
        <v>415</v>
      </c>
      <c r="F853" t="s">
        <v>416</v>
      </c>
      <c r="G853" t="s">
        <v>417</v>
      </c>
      <c r="H853" t="s">
        <v>84</v>
      </c>
      <c r="I853" t="s">
        <v>428</v>
      </c>
      <c r="J853" t="s">
        <v>59</v>
      </c>
      <c r="K853">
        <v>-25267.476182769999</v>
      </c>
      <c r="L853" t="s">
        <v>89</v>
      </c>
      <c r="M853" t="s">
        <v>423</v>
      </c>
      <c r="N853">
        <v>0.74738783869542003</v>
      </c>
      <c r="O853">
        <v>18884.604414000001</v>
      </c>
      <c r="P853" t="s">
        <v>421</v>
      </c>
      <c r="Q853">
        <v>1</v>
      </c>
      <c r="V853">
        <v>1</v>
      </c>
      <c r="W853">
        <v>1</v>
      </c>
      <c r="X853">
        <v>1</v>
      </c>
      <c r="Y853">
        <v>1</v>
      </c>
      <c r="Z853">
        <v>18884.604414000001</v>
      </c>
    </row>
    <row r="854" spans="1:26" x14ac:dyDescent="0.25">
      <c r="A854">
        <v>127516</v>
      </c>
      <c r="B854" t="s">
        <v>223</v>
      </c>
      <c r="C854">
        <v>2020</v>
      </c>
      <c r="D854">
        <v>1</v>
      </c>
      <c r="E854" t="s">
        <v>415</v>
      </c>
      <c r="F854" t="s">
        <v>416</v>
      </c>
      <c r="G854" t="s">
        <v>417</v>
      </c>
      <c r="H854" t="s">
        <v>84</v>
      </c>
      <c r="I854" t="s">
        <v>428</v>
      </c>
      <c r="J854" t="s">
        <v>59</v>
      </c>
      <c r="K854">
        <v>-25267.476182769999</v>
      </c>
      <c r="L854" t="s">
        <v>89</v>
      </c>
      <c r="M854" t="s">
        <v>424</v>
      </c>
      <c r="N854">
        <v>3.08071516317E-3</v>
      </c>
      <c r="O854">
        <v>77.841897000000003</v>
      </c>
      <c r="P854" t="s">
        <v>421</v>
      </c>
      <c r="Q854">
        <v>1</v>
      </c>
      <c r="V854">
        <v>1</v>
      </c>
      <c r="W854">
        <v>1</v>
      </c>
      <c r="X854">
        <v>1</v>
      </c>
      <c r="Y854">
        <v>1</v>
      </c>
      <c r="Z854">
        <v>77.841897000000003</v>
      </c>
    </row>
    <row r="855" spans="1:26" x14ac:dyDescent="0.25">
      <c r="A855">
        <v>127517</v>
      </c>
      <c r="B855" t="s">
        <v>223</v>
      </c>
      <c r="C855">
        <v>2020</v>
      </c>
      <c r="D855">
        <v>1</v>
      </c>
      <c r="E855" t="s">
        <v>415</v>
      </c>
      <c r="F855" t="s">
        <v>416</v>
      </c>
      <c r="G855" t="s">
        <v>417</v>
      </c>
      <c r="H855" t="s">
        <v>84</v>
      </c>
      <c r="I855" t="s">
        <v>428</v>
      </c>
      <c r="J855" t="s">
        <v>59</v>
      </c>
      <c r="K855">
        <v>-25267.476182769999</v>
      </c>
      <c r="L855" t="s">
        <v>89</v>
      </c>
      <c r="M855" t="s">
        <v>425</v>
      </c>
      <c r="N855">
        <v>2.5360775708E-3</v>
      </c>
      <c r="O855">
        <v>64.080280000000002</v>
      </c>
      <c r="P855" t="s">
        <v>421</v>
      </c>
      <c r="Q855">
        <v>1</v>
      </c>
      <c r="V855">
        <v>1</v>
      </c>
      <c r="W855">
        <v>1</v>
      </c>
      <c r="X855">
        <v>1</v>
      </c>
      <c r="Y855">
        <v>1</v>
      </c>
      <c r="Z855">
        <v>64.080280000000002</v>
      </c>
    </row>
    <row r="856" spans="1:26" x14ac:dyDescent="0.25">
      <c r="A856">
        <v>127518</v>
      </c>
      <c r="B856" t="s">
        <v>223</v>
      </c>
      <c r="C856">
        <v>2020</v>
      </c>
      <c r="D856">
        <v>1</v>
      </c>
      <c r="E856" t="s">
        <v>415</v>
      </c>
      <c r="F856" t="s">
        <v>429</v>
      </c>
      <c r="G856" t="s">
        <v>430</v>
      </c>
      <c r="H856" t="s">
        <v>84</v>
      </c>
      <c r="I856" t="s">
        <v>431</v>
      </c>
      <c r="J856" t="s">
        <v>419</v>
      </c>
      <c r="K856">
        <v>-60180.10028803</v>
      </c>
      <c r="L856" t="s">
        <v>85</v>
      </c>
      <c r="M856" t="s">
        <v>420</v>
      </c>
      <c r="N856">
        <v>0.24824931095561001</v>
      </c>
      <c r="O856">
        <v>14939.66843</v>
      </c>
      <c r="P856" t="s">
        <v>421</v>
      </c>
      <c r="Q856">
        <v>1</v>
      </c>
      <c r="V856">
        <v>1</v>
      </c>
      <c r="W856">
        <v>1</v>
      </c>
      <c r="X856">
        <v>1</v>
      </c>
      <c r="Y856">
        <v>1</v>
      </c>
      <c r="Z856">
        <v>14939.66843</v>
      </c>
    </row>
    <row r="857" spans="1:26" x14ac:dyDescent="0.25">
      <c r="A857">
        <v>127519</v>
      </c>
      <c r="B857" t="s">
        <v>223</v>
      </c>
      <c r="C857">
        <v>2020</v>
      </c>
      <c r="D857">
        <v>1</v>
      </c>
      <c r="E857" t="s">
        <v>415</v>
      </c>
      <c r="F857" t="s">
        <v>429</v>
      </c>
      <c r="G857" t="s">
        <v>430</v>
      </c>
      <c r="H857" t="s">
        <v>84</v>
      </c>
      <c r="I857" t="s">
        <v>431</v>
      </c>
      <c r="J857" t="s">
        <v>419</v>
      </c>
      <c r="K857">
        <v>-60180.10028803</v>
      </c>
      <c r="L857" t="s">
        <v>85</v>
      </c>
      <c r="M857" t="s">
        <v>422</v>
      </c>
      <c r="N857">
        <v>7.7540047892240005E-2</v>
      </c>
      <c r="O857">
        <v>4666.3678579999996</v>
      </c>
      <c r="P857" t="s">
        <v>421</v>
      </c>
      <c r="Q857">
        <v>1</v>
      </c>
      <c r="V857">
        <v>1</v>
      </c>
      <c r="W857">
        <v>1</v>
      </c>
      <c r="X857">
        <v>1</v>
      </c>
      <c r="Y857">
        <v>1</v>
      </c>
      <c r="Z857">
        <v>4666.3678579999996</v>
      </c>
    </row>
    <row r="858" spans="1:26" x14ac:dyDescent="0.25">
      <c r="A858">
        <v>127520</v>
      </c>
      <c r="B858" t="s">
        <v>223</v>
      </c>
      <c r="C858">
        <v>2020</v>
      </c>
      <c r="D858">
        <v>1</v>
      </c>
      <c r="E858" t="s">
        <v>415</v>
      </c>
      <c r="F858" t="s">
        <v>429</v>
      </c>
      <c r="G858" t="s">
        <v>430</v>
      </c>
      <c r="H858" t="s">
        <v>84</v>
      </c>
      <c r="I858" t="s">
        <v>431</v>
      </c>
      <c r="J858" t="s">
        <v>419</v>
      </c>
      <c r="K858">
        <v>-60180.10028803</v>
      </c>
      <c r="L858" t="s">
        <v>85</v>
      </c>
      <c r="M858" t="s">
        <v>423</v>
      </c>
      <c r="N858">
        <v>0.73979703899049998</v>
      </c>
      <c r="O858">
        <v>44521.059998999997</v>
      </c>
      <c r="P858" t="s">
        <v>421</v>
      </c>
      <c r="Q858">
        <v>1</v>
      </c>
      <c r="V858">
        <v>1</v>
      </c>
      <c r="W858">
        <v>1</v>
      </c>
      <c r="X858">
        <v>1</v>
      </c>
      <c r="Y858">
        <v>1</v>
      </c>
      <c r="Z858">
        <v>44521.059998999997</v>
      </c>
    </row>
    <row r="859" spans="1:26" x14ac:dyDescent="0.25">
      <c r="A859">
        <v>127521</v>
      </c>
      <c r="B859" t="s">
        <v>223</v>
      </c>
      <c r="C859">
        <v>2020</v>
      </c>
      <c r="D859">
        <v>1</v>
      </c>
      <c r="E859" t="s">
        <v>415</v>
      </c>
      <c r="F859" t="s">
        <v>429</v>
      </c>
      <c r="G859" t="s">
        <v>430</v>
      </c>
      <c r="H859" t="s">
        <v>84</v>
      </c>
      <c r="I859" t="s">
        <v>431</v>
      </c>
      <c r="J859" t="s">
        <v>419</v>
      </c>
      <c r="K859">
        <v>-60180.10028803</v>
      </c>
      <c r="L859" t="s">
        <v>85</v>
      </c>
      <c r="M859" t="s">
        <v>424</v>
      </c>
      <c r="N859">
        <v>2.9085775596699999E-3</v>
      </c>
      <c r="O859">
        <v>175.038489</v>
      </c>
      <c r="P859" t="s">
        <v>421</v>
      </c>
      <c r="Q859">
        <v>1</v>
      </c>
      <c r="V859">
        <v>1</v>
      </c>
      <c r="W859">
        <v>1</v>
      </c>
      <c r="X859">
        <v>1</v>
      </c>
      <c r="Y859">
        <v>1</v>
      </c>
      <c r="Z859">
        <v>175.038489</v>
      </c>
    </row>
    <row r="860" spans="1:26" x14ac:dyDescent="0.25">
      <c r="A860">
        <v>127522</v>
      </c>
      <c r="B860" t="s">
        <v>223</v>
      </c>
      <c r="C860">
        <v>2020</v>
      </c>
      <c r="D860">
        <v>1</v>
      </c>
      <c r="E860" t="s">
        <v>415</v>
      </c>
      <c r="F860" t="s">
        <v>429</v>
      </c>
      <c r="G860" t="s">
        <v>430</v>
      </c>
      <c r="H860" t="s">
        <v>84</v>
      </c>
      <c r="I860" t="s">
        <v>431</v>
      </c>
      <c r="J860" t="s">
        <v>419</v>
      </c>
      <c r="K860">
        <v>-60180.10028803</v>
      </c>
      <c r="L860" t="s">
        <v>85</v>
      </c>
      <c r="M860" t="s">
        <v>425</v>
      </c>
      <c r="N860">
        <v>2.6170694898000001E-3</v>
      </c>
      <c r="O860">
        <v>157.49550400000001</v>
      </c>
      <c r="P860" t="s">
        <v>421</v>
      </c>
      <c r="Q860">
        <v>1</v>
      </c>
      <c r="V860">
        <v>1</v>
      </c>
      <c r="W860">
        <v>1</v>
      </c>
      <c r="X860">
        <v>1</v>
      </c>
      <c r="Y860">
        <v>1</v>
      </c>
      <c r="Z860">
        <v>157.49550400000001</v>
      </c>
    </row>
    <row r="861" spans="1:26" x14ac:dyDescent="0.25">
      <c r="A861">
        <v>127523</v>
      </c>
      <c r="B861" t="s">
        <v>223</v>
      </c>
      <c r="C861">
        <v>2020</v>
      </c>
      <c r="D861">
        <v>1</v>
      </c>
      <c r="E861" t="s">
        <v>415</v>
      </c>
      <c r="F861" t="s">
        <v>429</v>
      </c>
      <c r="G861" t="s">
        <v>430</v>
      </c>
      <c r="H861" t="s">
        <v>84</v>
      </c>
      <c r="I861" t="s">
        <v>432</v>
      </c>
      <c r="J861" t="s">
        <v>87</v>
      </c>
      <c r="K861">
        <v>-10522.82184076</v>
      </c>
      <c r="L861" t="s">
        <v>427</v>
      </c>
      <c r="M861" t="s">
        <v>420</v>
      </c>
      <c r="N861">
        <v>0.45523813654234002</v>
      </c>
      <c r="O861">
        <v>4790.3898060000001</v>
      </c>
      <c r="P861" t="s">
        <v>421</v>
      </c>
      <c r="Q861">
        <v>1</v>
      </c>
      <c r="V861">
        <v>1</v>
      </c>
      <c r="W861">
        <v>1</v>
      </c>
      <c r="X861">
        <v>1</v>
      </c>
      <c r="Y861">
        <v>1</v>
      </c>
      <c r="Z861">
        <v>4790.3898060000001</v>
      </c>
    </row>
    <row r="862" spans="1:26" x14ac:dyDescent="0.25">
      <c r="A862">
        <v>127524</v>
      </c>
      <c r="B862" t="s">
        <v>223</v>
      </c>
      <c r="C862">
        <v>2020</v>
      </c>
      <c r="D862">
        <v>1</v>
      </c>
      <c r="E862" t="s">
        <v>415</v>
      </c>
      <c r="F862" t="s">
        <v>429</v>
      </c>
      <c r="G862" t="s">
        <v>430</v>
      </c>
      <c r="H862" t="s">
        <v>84</v>
      </c>
      <c r="I862" t="s">
        <v>432</v>
      </c>
      <c r="J862" t="s">
        <v>87</v>
      </c>
      <c r="K862">
        <v>-10522.82184076</v>
      </c>
      <c r="L862" t="s">
        <v>427</v>
      </c>
      <c r="M862" t="s">
        <v>422</v>
      </c>
      <c r="N862">
        <v>6.8896616392329996E-2</v>
      </c>
      <c r="O862">
        <v>724.98681999999997</v>
      </c>
      <c r="P862" t="s">
        <v>421</v>
      </c>
      <c r="Q862">
        <v>1</v>
      </c>
      <c r="V862">
        <v>1</v>
      </c>
      <c r="W862">
        <v>1</v>
      </c>
      <c r="X862">
        <v>1</v>
      </c>
      <c r="Y862">
        <v>1</v>
      </c>
      <c r="Z862">
        <v>724.98681999999997</v>
      </c>
    </row>
    <row r="863" spans="1:26" x14ac:dyDescent="0.25">
      <c r="A863">
        <v>127525</v>
      </c>
      <c r="B863" t="s">
        <v>223</v>
      </c>
      <c r="C863">
        <v>2020</v>
      </c>
      <c r="D863">
        <v>1</v>
      </c>
      <c r="E863" t="s">
        <v>415</v>
      </c>
      <c r="F863" t="s">
        <v>429</v>
      </c>
      <c r="G863" t="s">
        <v>430</v>
      </c>
      <c r="H863" t="s">
        <v>84</v>
      </c>
      <c r="I863" t="s">
        <v>432</v>
      </c>
      <c r="J863" t="s">
        <v>87</v>
      </c>
      <c r="K863">
        <v>-10522.82184076</v>
      </c>
      <c r="L863" t="s">
        <v>427</v>
      </c>
      <c r="M863" t="s">
        <v>423</v>
      </c>
      <c r="N863">
        <v>0.70986919705586005</v>
      </c>
      <c r="O863">
        <v>7469.8270910000001</v>
      </c>
      <c r="P863" t="s">
        <v>421</v>
      </c>
      <c r="Q863">
        <v>1</v>
      </c>
      <c r="V863">
        <v>1</v>
      </c>
      <c r="W863">
        <v>1</v>
      </c>
      <c r="X863">
        <v>1</v>
      </c>
      <c r="Y863">
        <v>1</v>
      </c>
      <c r="Z863">
        <v>7469.8270910000001</v>
      </c>
    </row>
    <row r="864" spans="1:26" x14ac:dyDescent="0.25">
      <c r="A864">
        <v>127526</v>
      </c>
      <c r="B864" t="s">
        <v>223</v>
      </c>
      <c r="C864">
        <v>2020</v>
      </c>
      <c r="D864">
        <v>1</v>
      </c>
      <c r="E864" t="s">
        <v>415</v>
      </c>
      <c r="F864" t="s">
        <v>429</v>
      </c>
      <c r="G864" t="s">
        <v>430</v>
      </c>
      <c r="H864" t="s">
        <v>84</v>
      </c>
      <c r="I864" t="s">
        <v>432</v>
      </c>
      <c r="J864" t="s">
        <v>87</v>
      </c>
      <c r="K864">
        <v>-10522.82184076</v>
      </c>
      <c r="L864" t="s">
        <v>427</v>
      </c>
      <c r="M864" t="s">
        <v>425</v>
      </c>
      <c r="N864">
        <v>1.4965642882E-3</v>
      </c>
      <c r="O864">
        <v>15.748079000000001</v>
      </c>
      <c r="P864" t="s">
        <v>421</v>
      </c>
      <c r="Q864">
        <v>1</v>
      </c>
      <c r="V864">
        <v>1</v>
      </c>
      <c r="W864">
        <v>1</v>
      </c>
      <c r="X864">
        <v>1</v>
      </c>
      <c r="Y864">
        <v>1</v>
      </c>
      <c r="Z864">
        <v>15.748079000000001</v>
      </c>
    </row>
    <row r="865" spans="1:26" x14ac:dyDescent="0.25">
      <c r="A865">
        <v>127527</v>
      </c>
      <c r="B865" t="s">
        <v>223</v>
      </c>
      <c r="C865">
        <v>2020</v>
      </c>
      <c r="D865">
        <v>1</v>
      </c>
      <c r="E865" t="s">
        <v>415</v>
      </c>
      <c r="F865" t="s">
        <v>429</v>
      </c>
      <c r="G865" t="s">
        <v>430</v>
      </c>
      <c r="H865" t="s">
        <v>84</v>
      </c>
      <c r="I865" t="s">
        <v>433</v>
      </c>
      <c r="J865" t="s">
        <v>59</v>
      </c>
      <c r="K865">
        <v>-33578.321915640001</v>
      </c>
      <c r="L865" t="s">
        <v>89</v>
      </c>
      <c r="M865" t="s">
        <v>420</v>
      </c>
      <c r="N865">
        <v>0.26343870574139999</v>
      </c>
      <c r="O865">
        <v>8845.8296659999996</v>
      </c>
      <c r="P865" t="s">
        <v>421</v>
      </c>
      <c r="Q865">
        <v>1</v>
      </c>
      <c r="V865">
        <v>1</v>
      </c>
      <c r="W865">
        <v>1</v>
      </c>
      <c r="X865">
        <v>1</v>
      </c>
      <c r="Y865">
        <v>1</v>
      </c>
      <c r="Z865">
        <v>8845.8296659999996</v>
      </c>
    </row>
    <row r="866" spans="1:26" x14ac:dyDescent="0.25">
      <c r="A866">
        <v>127528</v>
      </c>
      <c r="B866" t="s">
        <v>223</v>
      </c>
      <c r="C866">
        <v>2020</v>
      </c>
      <c r="D866">
        <v>1</v>
      </c>
      <c r="E866" t="s">
        <v>415</v>
      </c>
      <c r="F866" t="s">
        <v>429</v>
      </c>
      <c r="G866" t="s">
        <v>430</v>
      </c>
      <c r="H866" t="s">
        <v>84</v>
      </c>
      <c r="I866" t="s">
        <v>433</v>
      </c>
      <c r="J866" t="s">
        <v>59</v>
      </c>
      <c r="K866">
        <v>-33578.321915640001</v>
      </c>
      <c r="L866" t="s">
        <v>89</v>
      </c>
      <c r="M866" t="s">
        <v>422</v>
      </c>
      <c r="N866">
        <v>7.1262429683470005E-2</v>
      </c>
      <c r="O866">
        <v>2392.8728040000001</v>
      </c>
      <c r="P866" t="s">
        <v>421</v>
      </c>
      <c r="Q866">
        <v>1</v>
      </c>
      <c r="V866">
        <v>1</v>
      </c>
      <c r="W866">
        <v>1</v>
      </c>
      <c r="X866">
        <v>1</v>
      </c>
      <c r="Y866">
        <v>1</v>
      </c>
      <c r="Z866">
        <v>2392.8728040000001</v>
      </c>
    </row>
    <row r="867" spans="1:26" x14ac:dyDescent="0.25">
      <c r="A867">
        <v>127529</v>
      </c>
      <c r="B867" t="s">
        <v>223</v>
      </c>
      <c r="C867">
        <v>2020</v>
      </c>
      <c r="D867">
        <v>1</v>
      </c>
      <c r="E867" t="s">
        <v>415</v>
      </c>
      <c r="F867" t="s">
        <v>429</v>
      </c>
      <c r="G867" t="s">
        <v>430</v>
      </c>
      <c r="H867" t="s">
        <v>84</v>
      </c>
      <c r="I867" t="s">
        <v>433</v>
      </c>
      <c r="J867" t="s">
        <v>59</v>
      </c>
      <c r="K867">
        <v>-33578.321915640001</v>
      </c>
      <c r="L867" t="s">
        <v>89</v>
      </c>
      <c r="M867" t="s">
        <v>423</v>
      </c>
      <c r="N867">
        <v>0.74738783869542003</v>
      </c>
      <c r="O867">
        <v>25096.029444</v>
      </c>
      <c r="P867" t="s">
        <v>421</v>
      </c>
      <c r="Q867">
        <v>1</v>
      </c>
      <c r="V867">
        <v>1</v>
      </c>
      <c r="W867">
        <v>1</v>
      </c>
      <c r="X867">
        <v>1</v>
      </c>
      <c r="Y867">
        <v>1</v>
      </c>
      <c r="Z867">
        <v>25096.029444</v>
      </c>
    </row>
    <row r="868" spans="1:26" x14ac:dyDescent="0.25">
      <c r="A868">
        <v>127530</v>
      </c>
      <c r="B868" t="s">
        <v>223</v>
      </c>
      <c r="C868">
        <v>2020</v>
      </c>
      <c r="D868">
        <v>1</v>
      </c>
      <c r="E868" t="s">
        <v>415</v>
      </c>
      <c r="F868" t="s">
        <v>429</v>
      </c>
      <c r="G868" t="s">
        <v>430</v>
      </c>
      <c r="H868" t="s">
        <v>84</v>
      </c>
      <c r="I868" t="s">
        <v>433</v>
      </c>
      <c r="J868" t="s">
        <v>59</v>
      </c>
      <c r="K868">
        <v>-33578.321915640001</v>
      </c>
      <c r="L868" t="s">
        <v>89</v>
      </c>
      <c r="M868" t="s">
        <v>424</v>
      </c>
      <c r="N868">
        <v>3.08071516317E-3</v>
      </c>
      <c r="O868">
        <v>103.445245</v>
      </c>
      <c r="P868" t="s">
        <v>421</v>
      </c>
      <c r="Q868">
        <v>1</v>
      </c>
      <c r="V868">
        <v>1</v>
      </c>
      <c r="W868">
        <v>1</v>
      </c>
      <c r="X868">
        <v>1</v>
      </c>
      <c r="Y868">
        <v>1</v>
      </c>
      <c r="Z868">
        <v>103.445245</v>
      </c>
    </row>
    <row r="869" spans="1:26" x14ac:dyDescent="0.25">
      <c r="A869">
        <v>127531</v>
      </c>
      <c r="B869" t="s">
        <v>223</v>
      </c>
      <c r="C869">
        <v>2020</v>
      </c>
      <c r="D869">
        <v>1</v>
      </c>
      <c r="E869" t="s">
        <v>415</v>
      </c>
      <c r="F869" t="s">
        <v>429</v>
      </c>
      <c r="G869" t="s">
        <v>430</v>
      </c>
      <c r="H869" t="s">
        <v>84</v>
      </c>
      <c r="I869" t="s">
        <v>433</v>
      </c>
      <c r="J869" t="s">
        <v>59</v>
      </c>
      <c r="K869">
        <v>-33578.321915640001</v>
      </c>
      <c r="L869" t="s">
        <v>89</v>
      </c>
      <c r="M869" t="s">
        <v>425</v>
      </c>
      <c r="N869">
        <v>2.5360775708E-3</v>
      </c>
      <c r="O869">
        <v>85.157229000000001</v>
      </c>
      <c r="P869" t="s">
        <v>421</v>
      </c>
      <c r="Q869">
        <v>1</v>
      </c>
      <c r="V869">
        <v>1</v>
      </c>
      <c r="W869">
        <v>1</v>
      </c>
      <c r="X869">
        <v>1</v>
      </c>
      <c r="Y869">
        <v>1</v>
      </c>
      <c r="Z869">
        <v>85.157229000000001</v>
      </c>
    </row>
    <row r="870" spans="1:26" x14ac:dyDescent="0.25">
      <c r="A870">
        <v>127532</v>
      </c>
      <c r="B870" t="s">
        <v>223</v>
      </c>
      <c r="C870">
        <v>2020</v>
      </c>
      <c r="D870">
        <v>1</v>
      </c>
      <c r="E870" t="s">
        <v>415</v>
      </c>
      <c r="F870" t="s">
        <v>434</v>
      </c>
      <c r="G870" t="s">
        <v>435</v>
      </c>
      <c r="H870" t="s">
        <v>84</v>
      </c>
      <c r="I870" t="s">
        <v>436</v>
      </c>
      <c r="J870" t="s">
        <v>419</v>
      </c>
      <c r="K870">
        <v>-32063.902913409998</v>
      </c>
      <c r="L870" t="s">
        <v>85</v>
      </c>
      <c r="M870" t="s">
        <v>420</v>
      </c>
      <c r="N870">
        <v>0.24824931095561001</v>
      </c>
      <c r="O870">
        <v>7959.841805</v>
      </c>
      <c r="P870" t="s">
        <v>421</v>
      </c>
      <c r="Q870">
        <v>1</v>
      </c>
      <c r="V870">
        <v>1</v>
      </c>
      <c r="W870">
        <v>1</v>
      </c>
      <c r="X870">
        <v>1</v>
      </c>
      <c r="Y870">
        <v>1</v>
      </c>
      <c r="Z870">
        <v>7959.841805</v>
      </c>
    </row>
    <row r="871" spans="1:26" x14ac:dyDescent="0.25">
      <c r="A871">
        <v>127533</v>
      </c>
      <c r="B871" t="s">
        <v>223</v>
      </c>
      <c r="C871">
        <v>2020</v>
      </c>
      <c r="D871">
        <v>1</v>
      </c>
      <c r="E871" t="s">
        <v>415</v>
      </c>
      <c r="F871" t="s">
        <v>434</v>
      </c>
      <c r="G871" t="s">
        <v>435</v>
      </c>
      <c r="H871" t="s">
        <v>84</v>
      </c>
      <c r="I871" t="s">
        <v>436</v>
      </c>
      <c r="J871" t="s">
        <v>419</v>
      </c>
      <c r="K871">
        <v>-32063.902913409998</v>
      </c>
      <c r="L871" t="s">
        <v>85</v>
      </c>
      <c r="M871" t="s">
        <v>422</v>
      </c>
      <c r="N871">
        <v>7.7540047892240005E-2</v>
      </c>
      <c r="O871">
        <v>2486.2365679999998</v>
      </c>
      <c r="P871" t="s">
        <v>421</v>
      </c>
      <c r="Q871">
        <v>1</v>
      </c>
      <c r="V871">
        <v>1</v>
      </c>
      <c r="W871">
        <v>1</v>
      </c>
      <c r="X871">
        <v>1</v>
      </c>
      <c r="Y871">
        <v>1</v>
      </c>
      <c r="Z871">
        <v>2486.2365679999998</v>
      </c>
    </row>
    <row r="872" spans="1:26" x14ac:dyDescent="0.25">
      <c r="A872">
        <v>127534</v>
      </c>
      <c r="B872" t="s">
        <v>223</v>
      </c>
      <c r="C872">
        <v>2020</v>
      </c>
      <c r="D872">
        <v>1</v>
      </c>
      <c r="E872" t="s">
        <v>415</v>
      </c>
      <c r="F872" t="s">
        <v>434</v>
      </c>
      <c r="G872" t="s">
        <v>435</v>
      </c>
      <c r="H872" t="s">
        <v>84</v>
      </c>
      <c r="I872" t="s">
        <v>436</v>
      </c>
      <c r="J872" t="s">
        <v>419</v>
      </c>
      <c r="K872">
        <v>-32063.902913409998</v>
      </c>
      <c r="L872" t="s">
        <v>85</v>
      </c>
      <c r="M872" t="s">
        <v>423</v>
      </c>
      <c r="N872">
        <v>0.73979703899049998</v>
      </c>
      <c r="O872">
        <v>23720.780434</v>
      </c>
      <c r="P872" t="s">
        <v>421</v>
      </c>
      <c r="Q872">
        <v>1</v>
      </c>
      <c r="V872">
        <v>1</v>
      </c>
      <c r="W872">
        <v>1</v>
      </c>
      <c r="X872">
        <v>1</v>
      </c>
      <c r="Y872">
        <v>1</v>
      </c>
      <c r="Z872">
        <v>23720.780434</v>
      </c>
    </row>
    <row r="873" spans="1:26" x14ac:dyDescent="0.25">
      <c r="A873">
        <v>127535</v>
      </c>
      <c r="B873" t="s">
        <v>223</v>
      </c>
      <c r="C873">
        <v>2020</v>
      </c>
      <c r="D873">
        <v>1</v>
      </c>
      <c r="E873" t="s">
        <v>415</v>
      </c>
      <c r="F873" t="s">
        <v>434</v>
      </c>
      <c r="G873" t="s">
        <v>435</v>
      </c>
      <c r="H873" t="s">
        <v>84</v>
      </c>
      <c r="I873" t="s">
        <v>436</v>
      </c>
      <c r="J873" t="s">
        <v>419</v>
      </c>
      <c r="K873">
        <v>-32063.902913409998</v>
      </c>
      <c r="L873" t="s">
        <v>85</v>
      </c>
      <c r="M873" t="s">
        <v>424</v>
      </c>
      <c r="N873">
        <v>2.9085775596699999E-3</v>
      </c>
      <c r="O873">
        <v>93.260347999999993</v>
      </c>
      <c r="P873" t="s">
        <v>421</v>
      </c>
      <c r="Q873">
        <v>1</v>
      </c>
      <c r="V873">
        <v>1</v>
      </c>
      <c r="W873">
        <v>1</v>
      </c>
      <c r="X873">
        <v>1</v>
      </c>
      <c r="Y873">
        <v>1</v>
      </c>
      <c r="Z873">
        <v>93.260347999999993</v>
      </c>
    </row>
    <row r="874" spans="1:26" x14ac:dyDescent="0.25">
      <c r="A874">
        <v>127536</v>
      </c>
      <c r="B874" t="s">
        <v>223</v>
      </c>
      <c r="C874">
        <v>2020</v>
      </c>
      <c r="D874">
        <v>1</v>
      </c>
      <c r="E874" t="s">
        <v>415</v>
      </c>
      <c r="F874" t="s">
        <v>434</v>
      </c>
      <c r="G874" t="s">
        <v>435</v>
      </c>
      <c r="H874" t="s">
        <v>84</v>
      </c>
      <c r="I874" t="s">
        <v>436</v>
      </c>
      <c r="J874" t="s">
        <v>419</v>
      </c>
      <c r="K874">
        <v>-32063.902913409998</v>
      </c>
      <c r="L874" t="s">
        <v>85</v>
      </c>
      <c r="M874" t="s">
        <v>425</v>
      </c>
      <c r="N874">
        <v>2.6170694898000001E-3</v>
      </c>
      <c r="O874">
        <v>83.913461999999996</v>
      </c>
      <c r="P874" t="s">
        <v>421</v>
      </c>
      <c r="Q874">
        <v>1</v>
      </c>
      <c r="V874">
        <v>1</v>
      </c>
      <c r="W874">
        <v>1</v>
      </c>
      <c r="X874">
        <v>1</v>
      </c>
      <c r="Y874">
        <v>1</v>
      </c>
      <c r="Z874">
        <v>83.913461999999996</v>
      </c>
    </row>
    <row r="875" spans="1:26" x14ac:dyDescent="0.25">
      <c r="A875">
        <v>127537</v>
      </c>
      <c r="B875" t="s">
        <v>223</v>
      </c>
      <c r="C875">
        <v>2020</v>
      </c>
      <c r="D875">
        <v>1</v>
      </c>
      <c r="E875" t="s">
        <v>415</v>
      </c>
      <c r="F875" t="s">
        <v>434</v>
      </c>
      <c r="G875" t="s">
        <v>435</v>
      </c>
      <c r="H875" t="s">
        <v>84</v>
      </c>
      <c r="I875" t="s">
        <v>437</v>
      </c>
      <c r="J875" t="s">
        <v>87</v>
      </c>
      <c r="K875">
        <v>-5969.5231387100002</v>
      </c>
      <c r="L875" t="s">
        <v>427</v>
      </c>
      <c r="M875" t="s">
        <v>420</v>
      </c>
      <c r="N875">
        <v>0.45523813654234002</v>
      </c>
      <c r="O875">
        <v>2717.5545900000002</v>
      </c>
      <c r="P875" t="s">
        <v>421</v>
      </c>
      <c r="Q875">
        <v>1</v>
      </c>
      <c r="V875">
        <v>1</v>
      </c>
      <c r="W875">
        <v>1</v>
      </c>
      <c r="X875">
        <v>1</v>
      </c>
      <c r="Y875">
        <v>1</v>
      </c>
      <c r="Z875">
        <v>2717.5545900000002</v>
      </c>
    </row>
    <row r="876" spans="1:26" x14ac:dyDescent="0.25">
      <c r="A876">
        <v>127538</v>
      </c>
      <c r="B876" t="s">
        <v>223</v>
      </c>
      <c r="C876">
        <v>2020</v>
      </c>
      <c r="D876">
        <v>1</v>
      </c>
      <c r="E876" t="s">
        <v>415</v>
      </c>
      <c r="F876" t="s">
        <v>434</v>
      </c>
      <c r="G876" t="s">
        <v>435</v>
      </c>
      <c r="H876" t="s">
        <v>84</v>
      </c>
      <c r="I876" t="s">
        <v>437</v>
      </c>
      <c r="J876" t="s">
        <v>87</v>
      </c>
      <c r="K876">
        <v>-5969.5231387100002</v>
      </c>
      <c r="L876" t="s">
        <v>427</v>
      </c>
      <c r="M876" t="s">
        <v>422</v>
      </c>
      <c r="N876">
        <v>6.8896616392329996E-2</v>
      </c>
      <c r="O876">
        <v>411.279946</v>
      </c>
      <c r="P876" t="s">
        <v>421</v>
      </c>
      <c r="Q876">
        <v>1</v>
      </c>
      <c r="V876">
        <v>1</v>
      </c>
      <c r="W876">
        <v>1</v>
      </c>
      <c r="X876">
        <v>1</v>
      </c>
      <c r="Y876">
        <v>1</v>
      </c>
      <c r="Z876">
        <v>411.279946</v>
      </c>
    </row>
    <row r="877" spans="1:26" x14ac:dyDescent="0.25">
      <c r="A877">
        <v>127539</v>
      </c>
      <c r="B877" t="s">
        <v>223</v>
      </c>
      <c r="C877">
        <v>2020</v>
      </c>
      <c r="D877">
        <v>1</v>
      </c>
      <c r="E877" t="s">
        <v>415</v>
      </c>
      <c r="F877" t="s">
        <v>434</v>
      </c>
      <c r="G877" t="s">
        <v>435</v>
      </c>
      <c r="H877" t="s">
        <v>84</v>
      </c>
      <c r="I877" t="s">
        <v>437</v>
      </c>
      <c r="J877" t="s">
        <v>87</v>
      </c>
      <c r="K877">
        <v>-5969.5231387100002</v>
      </c>
      <c r="L877" t="s">
        <v>427</v>
      </c>
      <c r="M877" t="s">
        <v>423</v>
      </c>
      <c r="N877">
        <v>0.70986919705586005</v>
      </c>
      <c r="O877">
        <v>4237.5805970000001</v>
      </c>
      <c r="P877" t="s">
        <v>421</v>
      </c>
      <c r="Q877">
        <v>1</v>
      </c>
      <c r="V877">
        <v>1</v>
      </c>
      <c r="W877">
        <v>1</v>
      </c>
      <c r="X877">
        <v>1</v>
      </c>
      <c r="Y877">
        <v>1</v>
      </c>
      <c r="Z877">
        <v>4237.5805970000001</v>
      </c>
    </row>
    <row r="878" spans="1:26" x14ac:dyDescent="0.25">
      <c r="A878">
        <v>127540</v>
      </c>
      <c r="B878" t="s">
        <v>223</v>
      </c>
      <c r="C878">
        <v>2020</v>
      </c>
      <c r="D878">
        <v>1</v>
      </c>
      <c r="E878" t="s">
        <v>415</v>
      </c>
      <c r="F878" t="s">
        <v>434</v>
      </c>
      <c r="G878" t="s">
        <v>435</v>
      </c>
      <c r="H878" t="s">
        <v>84</v>
      </c>
      <c r="I878" t="s">
        <v>437</v>
      </c>
      <c r="J878" t="s">
        <v>87</v>
      </c>
      <c r="K878">
        <v>-5969.5231387100002</v>
      </c>
      <c r="L878" t="s">
        <v>427</v>
      </c>
      <c r="M878" t="s">
        <v>425</v>
      </c>
      <c r="N878">
        <v>1.4965642882E-3</v>
      </c>
      <c r="O878">
        <v>8.9337750000000007</v>
      </c>
      <c r="P878" t="s">
        <v>421</v>
      </c>
      <c r="Q878">
        <v>1</v>
      </c>
      <c r="V878">
        <v>1</v>
      </c>
      <c r="W878">
        <v>1</v>
      </c>
      <c r="X878">
        <v>1</v>
      </c>
      <c r="Y878">
        <v>1</v>
      </c>
      <c r="Z878">
        <v>8.9337750000000007</v>
      </c>
    </row>
    <row r="879" spans="1:26" x14ac:dyDescent="0.25">
      <c r="A879">
        <v>127541</v>
      </c>
      <c r="B879" t="s">
        <v>223</v>
      </c>
      <c r="C879">
        <v>2020</v>
      </c>
      <c r="D879">
        <v>1</v>
      </c>
      <c r="E879" t="s">
        <v>415</v>
      </c>
      <c r="F879" t="s">
        <v>434</v>
      </c>
      <c r="G879" t="s">
        <v>435</v>
      </c>
      <c r="H879" t="s">
        <v>84</v>
      </c>
      <c r="I879" t="s">
        <v>438</v>
      </c>
      <c r="J879" t="s">
        <v>59</v>
      </c>
      <c r="K879">
        <v>-17502.872386039999</v>
      </c>
      <c r="L879" t="s">
        <v>89</v>
      </c>
      <c r="M879" t="s">
        <v>420</v>
      </c>
      <c r="N879">
        <v>0.26343870574139999</v>
      </c>
      <c r="O879">
        <v>4610.9340480000001</v>
      </c>
      <c r="P879" t="s">
        <v>421</v>
      </c>
      <c r="Q879">
        <v>1</v>
      </c>
      <c r="V879">
        <v>1</v>
      </c>
      <c r="W879">
        <v>1</v>
      </c>
      <c r="X879">
        <v>1</v>
      </c>
      <c r="Y879">
        <v>1</v>
      </c>
      <c r="Z879">
        <v>4610.9340480000001</v>
      </c>
    </row>
    <row r="880" spans="1:26" x14ac:dyDescent="0.25">
      <c r="A880">
        <v>127542</v>
      </c>
      <c r="B880" t="s">
        <v>223</v>
      </c>
      <c r="C880">
        <v>2020</v>
      </c>
      <c r="D880">
        <v>1</v>
      </c>
      <c r="E880" t="s">
        <v>415</v>
      </c>
      <c r="F880" t="s">
        <v>434</v>
      </c>
      <c r="G880" t="s">
        <v>435</v>
      </c>
      <c r="H880" t="s">
        <v>84</v>
      </c>
      <c r="I880" t="s">
        <v>438</v>
      </c>
      <c r="J880" t="s">
        <v>59</v>
      </c>
      <c r="K880">
        <v>-17502.872386039999</v>
      </c>
      <c r="L880" t="s">
        <v>89</v>
      </c>
      <c r="M880" t="s">
        <v>422</v>
      </c>
      <c r="N880">
        <v>7.1262429683470005E-2</v>
      </c>
      <c r="O880">
        <v>1247.2972130000001</v>
      </c>
      <c r="P880" t="s">
        <v>421</v>
      </c>
      <c r="Q880">
        <v>1</v>
      </c>
      <c r="V880">
        <v>1</v>
      </c>
      <c r="W880">
        <v>1</v>
      </c>
      <c r="X880">
        <v>1</v>
      </c>
      <c r="Y880">
        <v>1</v>
      </c>
      <c r="Z880">
        <v>1247.2972130000001</v>
      </c>
    </row>
    <row r="881" spans="1:26" x14ac:dyDescent="0.25">
      <c r="A881">
        <v>127543</v>
      </c>
      <c r="B881" t="s">
        <v>223</v>
      </c>
      <c r="C881">
        <v>2020</v>
      </c>
      <c r="D881">
        <v>1</v>
      </c>
      <c r="E881" t="s">
        <v>415</v>
      </c>
      <c r="F881" t="s">
        <v>434</v>
      </c>
      <c r="G881" t="s">
        <v>435</v>
      </c>
      <c r="H881" t="s">
        <v>84</v>
      </c>
      <c r="I881" t="s">
        <v>438</v>
      </c>
      <c r="J881" t="s">
        <v>59</v>
      </c>
      <c r="K881">
        <v>-17502.872386039999</v>
      </c>
      <c r="L881" t="s">
        <v>89</v>
      </c>
      <c r="M881" t="s">
        <v>423</v>
      </c>
      <c r="N881">
        <v>0.74738783869542003</v>
      </c>
      <c r="O881">
        <v>13081.433964</v>
      </c>
      <c r="P881" t="s">
        <v>421</v>
      </c>
      <c r="Q881">
        <v>1</v>
      </c>
      <c r="V881">
        <v>1</v>
      </c>
      <c r="W881">
        <v>1</v>
      </c>
      <c r="X881">
        <v>1</v>
      </c>
      <c r="Y881">
        <v>1</v>
      </c>
      <c r="Z881">
        <v>13081.433964</v>
      </c>
    </row>
    <row r="882" spans="1:26" x14ac:dyDescent="0.25">
      <c r="A882">
        <v>127544</v>
      </c>
      <c r="B882" t="s">
        <v>223</v>
      </c>
      <c r="C882">
        <v>2020</v>
      </c>
      <c r="D882">
        <v>1</v>
      </c>
      <c r="E882" t="s">
        <v>415</v>
      </c>
      <c r="F882" t="s">
        <v>434</v>
      </c>
      <c r="G882" t="s">
        <v>435</v>
      </c>
      <c r="H882" t="s">
        <v>84</v>
      </c>
      <c r="I882" t="s">
        <v>438</v>
      </c>
      <c r="J882" t="s">
        <v>59</v>
      </c>
      <c r="K882">
        <v>-17502.872386039999</v>
      </c>
      <c r="L882" t="s">
        <v>89</v>
      </c>
      <c r="M882" t="s">
        <v>424</v>
      </c>
      <c r="N882">
        <v>3.08071516317E-3</v>
      </c>
      <c r="O882">
        <v>53.921363999999997</v>
      </c>
      <c r="P882" t="s">
        <v>421</v>
      </c>
      <c r="Q882">
        <v>1</v>
      </c>
      <c r="V882">
        <v>1</v>
      </c>
      <c r="W882">
        <v>1</v>
      </c>
      <c r="X882">
        <v>1</v>
      </c>
      <c r="Y882">
        <v>1</v>
      </c>
      <c r="Z882">
        <v>53.921363999999997</v>
      </c>
    </row>
    <row r="883" spans="1:26" x14ac:dyDescent="0.25">
      <c r="A883">
        <v>127545</v>
      </c>
      <c r="B883" t="s">
        <v>223</v>
      </c>
      <c r="C883">
        <v>2020</v>
      </c>
      <c r="D883">
        <v>1</v>
      </c>
      <c r="E883" t="s">
        <v>415</v>
      </c>
      <c r="F883" t="s">
        <v>434</v>
      </c>
      <c r="G883" t="s">
        <v>435</v>
      </c>
      <c r="H883" t="s">
        <v>84</v>
      </c>
      <c r="I883" t="s">
        <v>438</v>
      </c>
      <c r="J883" t="s">
        <v>59</v>
      </c>
      <c r="K883">
        <v>-17502.872386039999</v>
      </c>
      <c r="L883" t="s">
        <v>89</v>
      </c>
      <c r="M883" t="s">
        <v>425</v>
      </c>
      <c r="N883">
        <v>2.5360775708E-3</v>
      </c>
      <c r="O883">
        <v>44.388641999999997</v>
      </c>
      <c r="P883" t="s">
        <v>421</v>
      </c>
      <c r="Q883">
        <v>1</v>
      </c>
      <c r="V883">
        <v>1</v>
      </c>
      <c r="W883">
        <v>1</v>
      </c>
      <c r="X883">
        <v>1</v>
      </c>
      <c r="Y883">
        <v>1</v>
      </c>
      <c r="Z883">
        <v>44.388641999999997</v>
      </c>
    </row>
    <row r="884" spans="1:26" x14ac:dyDescent="0.25">
      <c r="A884">
        <v>23446</v>
      </c>
      <c r="B884" t="s">
        <v>139</v>
      </c>
      <c r="C884">
        <v>2018</v>
      </c>
      <c r="D884">
        <v>1</v>
      </c>
      <c r="E884" t="s">
        <v>415</v>
      </c>
      <c r="F884" t="s">
        <v>416</v>
      </c>
      <c r="G884" t="s">
        <v>417</v>
      </c>
      <c r="H884" t="s">
        <v>84</v>
      </c>
      <c r="I884" t="s">
        <v>418</v>
      </c>
      <c r="J884" t="s">
        <v>419</v>
      </c>
      <c r="K884">
        <v>-11223.753834020001</v>
      </c>
      <c r="L884" t="s">
        <v>85</v>
      </c>
      <c r="M884" t="s">
        <v>420</v>
      </c>
      <c r="N884">
        <v>0.24824931095561001</v>
      </c>
      <c r="O884">
        <v>2786.2891559999998</v>
      </c>
      <c r="P884" t="s">
        <v>421</v>
      </c>
      <c r="Q884">
        <v>1</v>
      </c>
      <c r="V884">
        <v>1</v>
      </c>
      <c r="W884">
        <v>1</v>
      </c>
      <c r="X884">
        <v>1</v>
      </c>
      <c r="Y884">
        <v>1</v>
      </c>
      <c r="Z884">
        <v>2786.2891559999998</v>
      </c>
    </row>
    <row r="885" spans="1:26" x14ac:dyDescent="0.25">
      <c r="A885">
        <v>23447</v>
      </c>
      <c r="B885" t="s">
        <v>139</v>
      </c>
      <c r="C885">
        <v>2018</v>
      </c>
      <c r="D885">
        <v>1</v>
      </c>
      <c r="E885" t="s">
        <v>415</v>
      </c>
      <c r="F885" t="s">
        <v>416</v>
      </c>
      <c r="G885" t="s">
        <v>417</v>
      </c>
      <c r="H885" t="s">
        <v>84</v>
      </c>
      <c r="I885" t="s">
        <v>418</v>
      </c>
      <c r="J885" t="s">
        <v>419</v>
      </c>
      <c r="K885">
        <v>-11223.753834020001</v>
      </c>
      <c r="L885" t="s">
        <v>85</v>
      </c>
      <c r="M885" t="s">
        <v>422</v>
      </c>
      <c r="N885">
        <v>7.7540047892240005E-2</v>
      </c>
      <c r="O885">
        <v>870.29040999999995</v>
      </c>
      <c r="P885" t="s">
        <v>421</v>
      </c>
      <c r="Q885">
        <v>1</v>
      </c>
      <c r="V885">
        <v>1</v>
      </c>
      <c r="W885">
        <v>1</v>
      </c>
      <c r="X885">
        <v>1</v>
      </c>
      <c r="Y885">
        <v>1</v>
      </c>
      <c r="Z885">
        <v>870.29040999999995</v>
      </c>
    </row>
    <row r="886" spans="1:26" x14ac:dyDescent="0.25">
      <c r="A886">
        <v>23448</v>
      </c>
      <c r="B886" t="s">
        <v>139</v>
      </c>
      <c r="C886">
        <v>2018</v>
      </c>
      <c r="D886">
        <v>1</v>
      </c>
      <c r="E886" t="s">
        <v>415</v>
      </c>
      <c r="F886" t="s">
        <v>416</v>
      </c>
      <c r="G886" t="s">
        <v>417</v>
      </c>
      <c r="H886" t="s">
        <v>84</v>
      </c>
      <c r="I886" t="s">
        <v>418</v>
      </c>
      <c r="J886" t="s">
        <v>419</v>
      </c>
      <c r="K886">
        <v>-11223.753834020001</v>
      </c>
      <c r="L886" t="s">
        <v>85</v>
      </c>
      <c r="M886" t="s">
        <v>423</v>
      </c>
      <c r="N886">
        <v>0.73979703899049998</v>
      </c>
      <c r="O886">
        <v>8303.2998530000004</v>
      </c>
      <c r="P886" t="s">
        <v>421</v>
      </c>
      <c r="Q886">
        <v>1</v>
      </c>
      <c r="V886">
        <v>1</v>
      </c>
      <c r="W886">
        <v>1</v>
      </c>
      <c r="X886">
        <v>1</v>
      </c>
      <c r="Y886">
        <v>1</v>
      </c>
      <c r="Z886">
        <v>8303.2998530000004</v>
      </c>
    </row>
    <row r="887" spans="1:26" x14ac:dyDescent="0.25">
      <c r="A887">
        <v>23449</v>
      </c>
      <c r="B887" t="s">
        <v>139</v>
      </c>
      <c r="C887">
        <v>2018</v>
      </c>
      <c r="D887">
        <v>1</v>
      </c>
      <c r="E887" t="s">
        <v>415</v>
      </c>
      <c r="F887" t="s">
        <v>416</v>
      </c>
      <c r="G887" t="s">
        <v>417</v>
      </c>
      <c r="H887" t="s">
        <v>84</v>
      </c>
      <c r="I887" t="s">
        <v>418</v>
      </c>
      <c r="J887" t="s">
        <v>419</v>
      </c>
      <c r="K887">
        <v>-11223.753834020001</v>
      </c>
      <c r="L887" t="s">
        <v>85</v>
      </c>
      <c r="M887" t="s">
        <v>424</v>
      </c>
      <c r="N887">
        <v>2.9085775596699999E-3</v>
      </c>
      <c r="O887">
        <v>32.645159</v>
      </c>
      <c r="P887" t="s">
        <v>421</v>
      </c>
      <c r="Q887">
        <v>1</v>
      </c>
      <c r="V887">
        <v>1</v>
      </c>
      <c r="W887">
        <v>1</v>
      </c>
      <c r="X887">
        <v>1</v>
      </c>
      <c r="Y887">
        <v>1</v>
      </c>
      <c r="Z887">
        <v>32.645159</v>
      </c>
    </row>
    <row r="888" spans="1:26" x14ac:dyDescent="0.25">
      <c r="A888">
        <v>23450</v>
      </c>
      <c r="B888" t="s">
        <v>139</v>
      </c>
      <c r="C888">
        <v>2018</v>
      </c>
      <c r="D888">
        <v>1</v>
      </c>
      <c r="E888" t="s">
        <v>415</v>
      </c>
      <c r="F888" t="s">
        <v>416</v>
      </c>
      <c r="G888" t="s">
        <v>417</v>
      </c>
      <c r="H888" t="s">
        <v>84</v>
      </c>
      <c r="I888" t="s">
        <v>418</v>
      </c>
      <c r="J888" t="s">
        <v>419</v>
      </c>
      <c r="K888">
        <v>-11223.753834020001</v>
      </c>
      <c r="L888" t="s">
        <v>85</v>
      </c>
      <c r="M888" t="s">
        <v>425</v>
      </c>
      <c r="N888">
        <v>2.6170694898000001E-3</v>
      </c>
      <c r="O888">
        <v>29.373343999999999</v>
      </c>
      <c r="P888" t="s">
        <v>421</v>
      </c>
      <c r="Q888">
        <v>1</v>
      </c>
      <c r="V888">
        <v>1</v>
      </c>
      <c r="W888">
        <v>1</v>
      </c>
      <c r="X888">
        <v>1</v>
      </c>
      <c r="Y888">
        <v>1</v>
      </c>
      <c r="Z888">
        <v>29.373343999999999</v>
      </c>
    </row>
    <row r="889" spans="1:26" x14ac:dyDescent="0.25">
      <c r="A889">
        <v>23451</v>
      </c>
      <c r="B889" t="s">
        <v>139</v>
      </c>
      <c r="C889">
        <v>2018</v>
      </c>
      <c r="D889">
        <v>1</v>
      </c>
      <c r="E889" t="s">
        <v>415</v>
      </c>
      <c r="F889" t="s">
        <v>416</v>
      </c>
      <c r="G889" t="s">
        <v>417</v>
      </c>
      <c r="H889" t="s">
        <v>84</v>
      </c>
      <c r="I889" t="s">
        <v>426</v>
      </c>
      <c r="J889" t="s">
        <v>87</v>
      </c>
      <c r="K889">
        <v>-2084.8163360600001</v>
      </c>
      <c r="L889" t="s">
        <v>427</v>
      </c>
      <c r="M889" t="s">
        <v>420</v>
      </c>
      <c r="N889">
        <v>0.45523813654234002</v>
      </c>
      <c r="O889">
        <v>949.08790399999998</v>
      </c>
      <c r="P889" t="s">
        <v>421</v>
      </c>
      <c r="Q889">
        <v>1</v>
      </c>
      <c r="V889">
        <v>1</v>
      </c>
      <c r="W889">
        <v>1</v>
      </c>
      <c r="X889">
        <v>1</v>
      </c>
      <c r="Y889">
        <v>1</v>
      </c>
      <c r="Z889">
        <v>949.08790399999998</v>
      </c>
    </row>
    <row r="890" spans="1:26" x14ac:dyDescent="0.25">
      <c r="A890">
        <v>23452</v>
      </c>
      <c r="B890" t="s">
        <v>139</v>
      </c>
      <c r="C890">
        <v>2018</v>
      </c>
      <c r="D890">
        <v>1</v>
      </c>
      <c r="E890" t="s">
        <v>415</v>
      </c>
      <c r="F890" t="s">
        <v>416</v>
      </c>
      <c r="G890" t="s">
        <v>417</v>
      </c>
      <c r="H890" t="s">
        <v>84</v>
      </c>
      <c r="I890" t="s">
        <v>426</v>
      </c>
      <c r="J890" t="s">
        <v>87</v>
      </c>
      <c r="K890">
        <v>-2084.8163360600001</v>
      </c>
      <c r="L890" t="s">
        <v>427</v>
      </c>
      <c r="M890" t="s">
        <v>422</v>
      </c>
      <c r="N890">
        <v>6.8896616392329996E-2</v>
      </c>
      <c r="O890">
        <v>143.63679099999999</v>
      </c>
      <c r="P890" t="s">
        <v>421</v>
      </c>
      <c r="Q890">
        <v>1</v>
      </c>
      <c r="V890">
        <v>1</v>
      </c>
      <c r="W890">
        <v>1</v>
      </c>
      <c r="X890">
        <v>1</v>
      </c>
      <c r="Y890">
        <v>1</v>
      </c>
      <c r="Z890">
        <v>143.63679099999999</v>
      </c>
    </row>
    <row r="891" spans="1:26" x14ac:dyDescent="0.25">
      <c r="A891">
        <v>23453</v>
      </c>
      <c r="B891" t="s">
        <v>139</v>
      </c>
      <c r="C891">
        <v>2018</v>
      </c>
      <c r="D891">
        <v>1</v>
      </c>
      <c r="E891" t="s">
        <v>415</v>
      </c>
      <c r="F891" t="s">
        <v>416</v>
      </c>
      <c r="G891" t="s">
        <v>417</v>
      </c>
      <c r="H891" t="s">
        <v>84</v>
      </c>
      <c r="I891" t="s">
        <v>426</v>
      </c>
      <c r="J891" t="s">
        <v>87</v>
      </c>
      <c r="K891">
        <v>-2084.8163360600001</v>
      </c>
      <c r="L891" t="s">
        <v>427</v>
      </c>
      <c r="M891" t="s">
        <v>423</v>
      </c>
      <c r="N891">
        <v>0.70986919705586005</v>
      </c>
      <c r="O891">
        <v>1479.9468979999999</v>
      </c>
      <c r="P891" t="s">
        <v>421</v>
      </c>
      <c r="Q891">
        <v>1</v>
      </c>
      <c r="V891">
        <v>1</v>
      </c>
      <c r="W891">
        <v>1</v>
      </c>
      <c r="X891">
        <v>1</v>
      </c>
      <c r="Y891">
        <v>1</v>
      </c>
      <c r="Z891">
        <v>1479.9468979999999</v>
      </c>
    </row>
    <row r="892" spans="1:26" x14ac:dyDescent="0.25">
      <c r="A892">
        <v>23454</v>
      </c>
      <c r="B892" t="s">
        <v>139</v>
      </c>
      <c r="C892">
        <v>2018</v>
      </c>
      <c r="D892">
        <v>1</v>
      </c>
      <c r="E892" t="s">
        <v>415</v>
      </c>
      <c r="F892" t="s">
        <v>416</v>
      </c>
      <c r="G892" t="s">
        <v>417</v>
      </c>
      <c r="H892" t="s">
        <v>84</v>
      </c>
      <c r="I892" t="s">
        <v>426</v>
      </c>
      <c r="J892" t="s">
        <v>87</v>
      </c>
      <c r="K892">
        <v>-2084.8163360600001</v>
      </c>
      <c r="L892" t="s">
        <v>427</v>
      </c>
      <c r="M892" t="s">
        <v>425</v>
      </c>
      <c r="N892">
        <v>1.4965642882E-3</v>
      </c>
      <c r="O892">
        <v>3.1200619999999999</v>
      </c>
      <c r="P892" t="s">
        <v>421</v>
      </c>
      <c r="Q892">
        <v>1</v>
      </c>
      <c r="V892">
        <v>1</v>
      </c>
      <c r="W892">
        <v>1</v>
      </c>
      <c r="X892">
        <v>1</v>
      </c>
      <c r="Y892">
        <v>1</v>
      </c>
      <c r="Z892">
        <v>3.1200619999999999</v>
      </c>
    </row>
    <row r="893" spans="1:26" x14ac:dyDescent="0.25">
      <c r="A893">
        <v>23455</v>
      </c>
      <c r="B893" t="s">
        <v>139</v>
      </c>
      <c r="C893">
        <v>2018</v>
      </c>
      <c r="D893">
        <v>1</v>
      </c>
      <c r="E893" t="s">
        <v>415</v>
      </c>
      <c r="F893" t="s">
        <v>416</v>
      </c>
      <c r="G893" t="s">
        <v>417</v>
      </c>
      <c r="H893" t="s">
        <v>84</v>
      </c>
      <c r="I893" t="s">
        <v>428</v>
      </c>
      <c r="J893" t="s">
        <v>59</v>
      </c>
      <c r="K893">
        <v>-5720.8248127400002</v>
      </c>
      <c r="L893" t="s">
        <v>89</v>
      </c>
      <c r="M893" t="s">
        <v>420</v>
      </c>
      <c r="N893">
        <v>0.26343870574139999</v>
      </c>
      <c r="O893">
        <v>1507.0866840000001</v>
      </c>
      <c r="P893" t="s">
        <v>421</v>
      </c>
      <c r="Q893">
        <v>1</v>
      </c>
      <c r="V893">
        <v>1</v>
      </c>
      <c r="W893">
        <v>1</v>
      </c>
      <c r="X893">
        <v>1</v>
      </c>
      <c r="Y893">
        <v>1</v>
      </c>
      <c r="Z893">
        <v>1507.0866840000001</v>
      </c>
    </row>
    <row r="894" spans="1:26" x14ac:dyDescent="0.25">
      <c r="A894">
        <v>23456</v>
      </c>
      <c r="B894" t="s">
        <v>139</v>
      </c>
      <c r="C894">
        <v>2018</v>
      </c>
      <c r="D894">
        <v>1</v>
      </c>
      <c r="E894" t="s">
        <v>415</v>
      </c>
      <c r="F894" t="s">
        <v>416</v>
      </c>
      <c r="G894" t="s">
        <v>417</v>
      </c>
      <c r="H894" t="s">
        <v>84</v>
      </c>
      <c r="I894" t="s">
        <v>428</v>
      </c>
      <c r="J894" t="s">
        <v>59</v>
      </c>
      <c r="K894">
        <v>-5720.8248127400002</v>
      </c>
      <c r="L894" t="s">
        <v>89</v>
      </c>
      <c r="M894" t="s">
        <v>422</v>
      </c>
      <c r="N894">
        <v>7.1262429683470005E-2</v>
      </c>
      <c r="O894">
        <v>407.67987599999998</v>
      </c>
      <c r="P894" t="s">
        <v>421</v>
      </c>
      <c r="Q894">
        <v>1</v>
      </c>
      <c r="V894">
        <v>1</v>
      </c>
      <c r="W894">
        <v>1</v>
      </c>
      <c r="X894">
        <v>1</v>
      </c>
      <c r="Y894">
        <v>1</v>
      </c>
      <c r="Z894">
        <v>407.67987599999998</v>
      </c>
    </row>
    <row r="895" spans="1:26" x14ac:dyDescent="0.25">
      <c r="A895">
        <v>23457</v>
      </c>
      <c r="B895" t="s">
        <v>139</v>
      </c>
      <c r="C895">
        <v>2018</v>
      </c>
      <c r="D895">
        <v>1</v>
      </c>
      <c r="E895" t="s">
        <v>415</v>
      </c>
      <c r="F895" t="s">
        <v>416</v>
      </c>
      <c r="G895" t="s">
        <v>417</v>
      </c>
      <c r="H895" t="s">
        <v>84</v>
      </c>
      <c r="I895" t="s">
        <v>428</v>
      </c>
      <c r="J895" t="s">
        <v>59</v>
      </c>
      <c r="K895">
        <v>-5720.8248127400002</v>
      </c>
      <c r="L895" t="s">
        <v>89</v>
      </c>
      <c r="M895" t="s">
        <v>423</v>
      </c>
      <c r="N895">
        <v>0.74738783869542003</v>
      </c>
      <c r="O895">
        <v>4275.674892</v>
      </c>
      <c r="P895" t="s">
        <v>421</v>
      </c>
      <c r="Q895">
        <v>1</v>
      </c>
      <c r="V895">
        <v>1</v>
      </c>
      <c r="W895">
        <v>1</v>
      </c>
      <c r="X895">
        <v>1</v>
      </c>
      <c r="Y895">
        <v>1</v>
      </c>
      <c r="Z895">
        <v>4275.674892</v>
      </c>
    </row>
    <row r="896" spans="1:26" x14ac:dyDescent="0.25">
      <c r="A896">
        <v>23458</v>
      </c>
      <c r="B896" t="s">
        <v>139</v>
      </c>
      <c r="C896">
        <v>2018</v>
      </c>
      <c r="D896">
        <v>1</v>
      </c>
      <c r="E896" t="s">
        <v>415</v>
      </c>
      <c r="F896" t="s">
        <v>416</v>
      </c>
      <c r="G896" t="s">
        <v>417</v>
      </c>
      <c r="H896" t="s">
        <v>84</v>
      </c>
      <c r="I896" t="s">
        <v>428</v>
      </c>
      <c r="J896" t="s">
        <v>59</v>
      </c>
      <c r="K896">
        <v>-5720.8248127400002</v>
      </c>
      <c r="L896" t="s">
        <v>89</v>
      </c>
      <c r="M896" t="s">
        <v>424</v>
      </c>
      <c r="N896">
        <v>3.08071516317E-3</v>
      </c>
      <c r="O896">
        <v>17.624231999999999</v>
      </c>
      <c r="P896" t="s">
        <v>421</v>
      </c>
      <c r="Q896">
        <v>1</v>
      </c>
      <c r="V896">
        <v>1</v>
      </c>
      <c r="W896">
        <v>1</v>
      </c>
      <c r="X896">
        <v>1</v>
      </c>
      <c r="Y896">
        <v>1</v>
      </c>
      <c r="Z896">
        <v>17.624231999999999</v>
      </c>
    </row>
    <row r="897" spans="1:26" x14ac:dyDescent="0.25">
      <c r="A897">
        <v>23459</v>
      </c>
      <c r="B897" t="s">
        <v>139</v>
      </c>
      <c r="C897">
        <v>2018</v>
      </c>
      <c r="D897">
        <v>1</v>
      </c>
      <c r="E897" t="s">
        <v>415</v>
      </c>
      <c r="F897" t="s">
        <v>416</v>
      </c>
      <c r="G897" t="s">
        <v>417</v>
      </c>
      <c r="H897" t="s">
        <v>84</v>
      </c>
      <c r="I897" t="s">
        <v>428</v>
      </c>
      <c r="J897" t="s">
        <v>59</v>
      </c>
      <c r="K897">
        <v>-5720.8248127400002</v>
      </c>
      <c r="L897" t="s">
        <v>89</v>
      </c>
      <c r="M897" t="s">
        <v>425</v>
      </c>
      <c r="N897">
        <v>2.5360775708E-3</v>
      </c>
      <c r="O897">
        <v>14.508455</v>
      </c>
      <c r="P897" t="s">
        <v>421</v>
      </c>
      <c r="Q897">
        <v>1</v>
      </c>
      <c r="V897">
        <v>1</v>
      </c>
      <c r="W897">
        <v>1</v>
      </c>
      <c r="X897">
        <v>1</v>
      </c>
      <c r="Y897">
        <v>1</v>
      </c>
      <c r="Z897">
        <v>14.508455</v>
      </c>
    </row>
    <row r="898" spans="1:26" x14ac:dyDescent="0.25">
      <c r="A898">
        <v>23460</v>
      </c>
      <c r="B898" t="s">
        <v>139</v>
      </c>
      <c r="C898">
        <v>2018</v>
      </c>
      <c r="D898">
        <v>1</v>
      </c>
      <c r="E898" t="s">
        <v>415</v>
      </c>
      <c r="F898" t="s">
        <v>429</v>
      </c>
      <c r="G898" t="s">
        <v>430</v>
      </c>
      <c r="H898" t="s">
        <v>84</v>
      </c>
      <c r="I898" t="s">
        <v>431</v>
      </c>
      <c r="J898" t="s">
        <v>419</v>
      </c>
      <c r="K898">
        <v>-15788.494892889999</v>
      </c>
      <c r="L898" t="s">
        <v>85</v>
      </c>
      <c r="M898" t="s">
        <v>420</v>
      </c>
      <c r="N898">
        <v>0.24824931095561001</v>
      </c>
      <c r="O898">
        <v>3919.482978</v>
      </c>
      <c r="P898" t="s">
        <v>421</v>
      </c>
      <c r="Q898">
        <v>1</v>
      </c>
      <c r="V898">
        <v>1</v>
      </c>
      <c r="W898">
        <v>1</v>
      </c>
      <c r="X898">
        <v>1</v>
      </c>
      <c r="Y898">
        <v>1</v>
      </c>
      <c r="Z898">
        <v>3919.482978</v>
      </c>
    </row>
    <row r="899" spans="1:26" x14ac:dyDescent="0.25">
      <c r="A899">
        <v>23461</v>
      </c>
      <c r="B899" t="s">
        <v>139</v>
      </c>
      <c r="C899">
        <v>2018</v>
      </c>
      <c r="D899">
        <v>1</v>
      </c>
      <c r="E899" t="s">
        <v>415</v>
      </c>
      <c r="F899" t="s">
        <v>429</v>
      </c>
      <c r="G899" t="s">
        <v>430</v>
      </c>
      <c r="H899" t="s">
        <v>84</v>
      </c>
      <c r="I899" t="s">
        <v>431</v>
      </c>
      <c r="J899" t="s">
        <v>419</v>
      </c>
      <c r="K899">
        <v>-15788.494892889999</v>
      </c>
      <c r="L899" t="s">
        <v>85</v>
      </c>
      <c r="M899" t="s">
        <v>422</v>
      </c>
      <c r="N899">
        <v>7.7540047892240005E-2</v>
      </c>
      <c r="O899">
        <v>1224.24065</v>
      </c>
      <c r="P899" t="s">
        <v>421</v>
      </c>
      <c r="Q899">
        <v>1</v>
      </c>
      <c r="V899">
        <v>1</v>
      </c>
      <c r="W899">
        <v>1</v>
      </c>
      <c r="X899">
        <v>1</v>
      </c>
      <c r="Y899">
        <v>1</v>
      </c>
      <c r="Z899">
        <v>1224.24065</v>
      </c>
    </row>
    <row r="900" spans="1:26" x14ac:dyDescent="0.25">
      <c r="A900">
        <v>23462</v>
      </c>
      <c r="B900" t="s">
        <v>139</v>
      </c>
      <c r="C900">
        <v>2018</v>
      </c>
      <c r="D900">
        <v>1</v>
      </c>
      <c r="E900" t="s">
        <v>415</v>
      </c>
      <c r="F900" t="s">
        <v>429</v>
      </c>
      <c r="G900" t="s">
        <v>430</v>
      </c>
      <c r="H900" t="s">
        <v>84</v>
      </c>
      <c r="I900" t="s">
        <v>431</v>
      </c>
      <c r="J900" t="s">
        <v>419</v>
      </c>
      <c r="K900">
        <v>-15788.494892889999</v>
      </c>
      <c r="L900" t="s">
        <v>85</v>
      </c>
      <c r="M900" t="s">
        <v>423</v>
      </c>
      <c r="N900">
        <v>0.73979703899049998</v>
      </c>
      <c r="O900">
        <v>11680.281772</v>
      </c>
      <c r="P900" t="s">
        <v>421</v>
      </c>
      <c r="Q900">
        <v>1</v>
      </c>
      <c r="V900">
        <v>1</v>
      </c>
      <c r="W900">
        <v>1</v>
      </c>
      <c r="X900">
        <v>1</v>
      </c>
      <c r="Y900">
        <v>1</v>
      </c>
      <c r="Z900">
        <v>11680.281772</v>
      </c>
    </row>
    <row r="901" spans="1:26" x14ac:dyDescent="0.25">
      <c r="A901">
        <v>23463</v>
      </c>
      <c r="B901" t="s">
        <v>139</v>
      </c>
      <c r="C901">
        <v>2018</v>
      </c>
      <c r="D901">
        <v>1</v>
      </c>
      <c r="E901" t="s">
        <v>415</v>
      </c>
      <c r="F901" t="s">
        <v>429</v>
      </c>
      <c r="G901" t="s">
        <v>430</v>
      </c>
      <c r="H901" t="s">
        <v>84</v>
      </c>
      <c r="I901" t="s">
        <v>431</v>
      </c>
      <c r="J901" t="s">
        <v>419</v>
      </c>
      <c r="K901">
        <v>-15788.494892889999</v>
      </c>
      <c r="L901" t="s">
        <v>85</v>
      </c>
      <c r="M901" t="s">
        <v>424</v>
      </c>
      <c r="N901">
        <v>2.9085775596699999E-3</v>
      </c>
      <c r="O901">
        <v>45.922061999999997</v>
      </c>
      <c r="P901" t="s">
        <v>421</v>
      </c>
      <c r="Q901">
        <v>1</v>
      </c>
      <c r="V901">
        <v>1</v>
      </c>
      <c r="W901">
        <v>1</v>
      </c>
      <c r="X901">
        <v>1</v>
      </c>
      <c r="Y901">
        <v>1</v>
      </c>
      <c r="Z901">
        <v>45.922061999999997</v>
      </c>
    </row>
    <row r="902" spans="1:26" x14ac:dyDescent="0.25">
      <c r="A902">
        <v>23464</v>
      </c>
      <c r="B902" t="s">
        <v>139</v>
      </c>
      <c r="C902">
        <v>2018</v>
      </c>
      <c r="D902">
        <v>1</v>
      </c>
      <c r="E902" t="s">
        <v>415</v>
      </c>
      <c r="F902" t="s">
        <v>429</v>
      </c>
      <c r="G902" t="s">
        <v>430</v>
      </c>
      <c r="H902" t="s">
        <v>84</v>
      </c>
      <c r="I902" t="s">
        <v>431</v>
      </c>
      <c r="J902" t="s">
        <v>419</v>
      </c>
      <c r="K902">
        <v>-15788.494892889999</v>
      </c>
      <c r="L902" t="s">
        <v>85</v>
      </c>
      <c r="M902" t="s">
        <v>425</v>
      </c>
      <c r="N902">
        <v>2.6170694898000001E-3</v>
      </c>
      <c r="O902">
        <v>41.319588000000003</v>
      </c>
      <c r="P902" t="s">
        <v>421</v>
      </c>
      <c r="Q902">
        <v>1</v>
      </c>
      <c r="V902">
        <v>1</v>
      </c>
      <c r="W902">
        <v>1</v>
      </c>
      <c r="X902">
        <v>1</v>
      </c>
      <c r="Y902">
        <v>1</v>
      </c>
      <c r="Z902">
        <v>41.319588000000003</v>
      </c>
    </row>
    <row r="903" spans="1:26" x14ac:dyDescent="0.25">
      <c r="A903">
        <v>23465</v>
      </c>
      <c r="B903" t="s">
        <v>139</v>
      </c>
      <c r="C903">
        <v>2018</v>
      </c>
      <c r="D903">
        <v>1</v>
      </c>
      <c r="E903" t="s">
        <v>415</v>
      </c>
      <c r="F903" t="s">
        <v>429</v>
      </c>
      <c r="G903" t="s">
        <v>430</v>
      </c>
      <c r="H903" t="s">
        <v>84</v>
      </c>
      <c r="I903" t="s">
        <v>432</v>
      </c>
      <c r="J903" t="s">
        <v>87</v>
      </c>
      <c r="K903">
        <v>-2450.5280441</v>
      </c>
      <c r="L903" t="s">
        <v>427</v>
      </c>
      <c r="M903" t="s">
        <v>420</v>
      </c>
      <c r="N903">
        <v>0.45523813654234002</v>
      </c>
      <c r="O903">
        <v>1115.5738200000001</v>
      </c>
      <c r="P903" t="s">
        <v>421</v>
      </c>
      <c r="Q903">
        <v>1</v>
      </c>
      <c r="V903">
        <v>1</v>
      </c>
      <c r="W903">
        <v>1</v>
      </c>
      <c r="X903">
        <v>1</v>
      </c>
      <c r="Y903">
        <v>1</v>
      </c>
      <c r="Z903">
        <v>1115.5738200000001</v>
      </c>
    </row>
    <row r="904" spans="1:26" x14ac:dyDescent="0.25">
      <c r="A904">
        <v>23466</v>
      </c>
      <c r="B904" t="s">
        <v>139</v>
      </c>
      <c r="C904">
        <v>2018</v>
      </c>
      <c r="D904">
        <v>1</v>
      </c>
      <c r="E904" t="s">
        <v>415</v>
      </c>
      <c r="F904" t="s">
        <v>429</v>
      </c>
      <c r="G904" t="s">
        <v>430</v>
      </c>
      <c r="H904" t="s">
        <v>84</v>
      </c>
      <c r="I904" t="s">
        <v>432</v>
      </c>
      <c r="J904" t="s">
        <v>87</v>
      </c>
      <c r="K904">
        <v>-2450.5280441</v>
      </c>
      <c r="L904" t="s">
        <v>427</v>
      </c>
      <c r="M904" t="s">
        <v>422</v>
      </c>
      <c r="N904">
        <v>6.8896616392329996E-2</v>
      </c>
      <c r="O904">
        <v>168.833091</v>
      </c>
      <c r="P904" t="s">
        <v>421</v>
      </c>
      <c r="Q904">
        <v>1</v>
      </c>
      <c r="V904">
        <v>1</v>
      </c>
      <c r="W904">
        <v>1</v>
      </c>
      <c r="X904">
        <v>1</v>
      </c>
      <c r="Y904">
        <v>1</v>
      </c>
      <c r="Z904">
        <v>168.833091</v>
      </c>
    </row>
    <row r="905" spans="1:26" x14ac:dyDescent="0.25">
      <c r="A905">
        <v>23467</v>
      </c>
      <c r="B905" t="s">
        <v>139</v>
      </c>
      <c r="C905">
        <v>2018</v>
      </c>
      <c r="D905">
        <v>1</v>
      </c>
      <c r="E905" t="s">
        <v>415</v>
      </c>
      <c r="F905" t="s">
        <v>429</v>
      </c>
      <c r="G905" t="s">
        <v>430</v>
      </c>
      <c r="H905" t="s">
        <v>84</v>
      </c>
      <c r="I905" t="s">
        <v>432</v>
      </c>
      <c r="J905" t="s">
        <v>87</v>
      </c>
      <c r="K905">
        <v>-2450.5280441</v>
      </c>
      <c r="L905" t="s">
        <v>427</v>
      </c>
      <c r="M905" t="s">
        <v>423</v>
      </c>
      <c r="N905">
        <v>0.70986919705586005</v>
      </c>
      <c r="O905">
        <v>1739.5543749999999</v>
      </c>
      <c r="P905" t="s">
        <v>421</v>
      </c>
      <c r="Q905">
        <v>1</v>
      </c>
      <c r="V905">
        <v>1</v>
      </c>
      <c r="W905">
        <v>1</v>
      </c>
      <c r="X905">
        <v>1</v>
      </c>
      <c r="Y905">
        <v>1</v>
      </c>
      <c r="Z905">
        <v>1739.5543749999999</v>
      </c>
    </row>
    <row r="906" spans="1:26" x14ac:dyDescent="0.25">
      <c r="A906">
        <v>23468</v>
      </c>
      <c r="B906" t="s">
        <v>139</v>
      </c>
      <c r="C906">
        <v>2018</v>
      </c>
      <c r="D906">
        <v>1</v>
      </c>
      <c r="E906" t="s">
        <v>415</v>
      </c>
      <c r="F906" t="s">
        <v>429</v>
      </c>
      <c r="G906" t="s">
        <v>430</v>
      </c>
      <c r="H906" t="s">
        <v>84</v>
      </c>
      <c r="I906" t="s">
        <v>432</v>
      </c>
      <c r="J906" t="s">
        <v>87</v>
      </c>
      <c r="K906">
        <v>-2450.5280441</v>
      </c>
      <c r="L906" t="s">
        <v>427</v>
      </c>
      <c r="M906" t="s">
        <v>425</v>
      </c>
      <c r="N906">
        <v>1.4965642882E-3</v>
      </c>
      <c r="O906">
        <v>3.667373</v>
      </c>
      <c r="P906" t="s">
        <v>421</v>
      </c>
      <c r="Q906">
        <v>1</v>
      </c>
      <c r="V906">
        <v>1</v>
      </c>
      <c r="W906">
        <v>1</v>
      </c>
      <c r="X906">
        <v>1</v>
      </c>
      <c r="Y906">
        <v>1</v>
      </c>
      <c r="Z906">
        <v>3.667373</v>
      </c>
    </row>
    <row r="907" spans="1:26" x14ac:dyDescent="0.25">
      <c r="A907">
        <v>23469</v>
      </c>
      <c r="B907" t="s">
        <v>139</v>
      </c>
      <c r="C907">
        <v>2018</v>
      </c>
      <c r="D907">
        <v>1</v>
      </c>
      <c r="E907" t="s">
        <v>415</v>
      </c>
      <c r="F907" t="s">
        <v>429</v>
      </c>
      <c r="G907" t="s">
        <v>430</v>
      </c>
      <c r="H907" t="s">
        <v>84</v>
      </c>
      <c r="I907" t="s">
        <v>433</v>
      </c>
      <c r="J907" t="s">
        <v>59</v>
      </c>
      <c r="K907">
        <v>-6855.1728169300004</v>
      </c>
      <c r="L907" t="s">
        <v>89</v>
      </c>
      <c r="M907" t="s">
        <v>420</v>
      </c>
      <c r="N907">
        <v>0.26343870574139999</v>
      </c>
      <c r="O907">
        <v>1805.9178549999999</v>
      </c>
      <c r="P907" t="s">
        <v>421</v>
      </c>
      <c r="Q907">
        <v>1</v>
      </c>
      <c r="V907">
        <v>1</v>
      </c>
      <c r="W907">
        <v>1</v>
      </c>
      <c r="X907">
        <v>1</v>
      </c>
      <c r="Y907">
        <v>1</v>
      </c>
      <c r="Z907">
        <v>1805.9178549999999</v>
      </c>
    </row>
    <row r="908" spans="1:26" x14ac:dyDescent="0.25">
      <c r="A908">
        <v>23470</v>
      </c>
      <c r="B908" t="s">
        <v>139</v>
      </c>
      <c r="C908">
        <v>2018</v>
      </c>
      <c r="D908">
        <v>1</v>
      </c>
      <c r="E908" t="s">
        <v>415</v>
      </c>
      <c r="F908" t="s">
        <v>429</v>
      </c>
      <c r="G908" t="s">
        <v>430</v>
      </c>
      <c r="H908" t="s">
        <v>84</v>
      </c>
      <c r="I908" t="s">
        <v>433</v>
      </c>
      <c r="J908" t="s">
        <v>59</v>
      </c>
      <c r="K908">
        <v>-6855.1728169300004</v>
      </c>
      <c r="L908" t="s">
        <v>89</v>
      </c>
      <c r="M908" t="s">
        <v>422</v>
      </c>
      <c r="N908">
        <v>7.1262429683470005E-2</v>
      </c>
      <c r="O908">
        <v>488.51627100000002</v>
      </c>
      <c r="P908" t="s">
        <v>421</v>
      </c>
      <c r="Q908">
        <v>1</v>
      </c>
      <c r="V908">
        <v>1</v>
      </c>
      <c r="W908">
        <v>1</v>
      </c>
      <c r="X908">
        <v>1</v>
      </c>
      <c r="Y908">
        <v>1</v>
      </c>
      <c r="Z908">
        <v>488.51627100000002</v>
      </c>
    </row>
    <row r="909" spans="1:26" x14ac:dyDescent="0.25">
      <c r="A909">
        <v>23471</v>
      </c>
      <c r="B909" t="s">
        <v>139</v>
      </c>
      <c r="C909">
        <v>2018</v>
      </c>
      <c r="D909">
        <v>1</v>
      </c>
      <c r="E909" t="s">
        <v>415</v>
      </c>
      <c r="F909" t="s">
        <v>429</v>
      </c>
      <c r="G909" t="s">
        <v>430</v>
      </c>
      <c r="H909" t="s">
        <v>84</v>
      </c>
      <c r="I909" t="s">
        <v>433</v>
      </c>
      <c r="J909" t="s">
        <v>59</v>
      </c>
      <c r="K909">
        <v>-6855.1728169300004</v>
      </c>
      <c r="L909" t="s">
        <v>89</v>
      </c>
      <c r="M909" t="s">
        <v>423</v>
      </c>
      <c r="N909">
        <v>0.74738783869542003</v>
      </c>
      <c r="O909">
        <v>5123.472796</v>
      </c>
      <c r="P909" t="s">
        <v>421</v>
      </c>
      <c r="Q909">
        <v>1</v>
      </c>
      <c r="V909">
        <v>1</v>
      </c>
      <c r="W909">
        <v>1</v>
      </c>
      <c r="X909">
        <v>1</v>
      </c>
      <c r="Y909">
        <v>1</v>
      </c>
      <c r="Z909">
        <v>5123.472796</v>
      </c>
    </row>
    <row r="910" spans="1:26" x14ac:dyDescent="0.25">
      <c r="A910">
        <v>23472</v>
      </c>
      <c r="B910" t="s">
        <v>139</v>
      </c>
      <c r="C910">
        <v>2018</v>
      </c>
      <c r="D910">
        <v>1</v>
      </c>
      <c r="E910" t="s">
        <v>415</v>
      </c>
      <c r="F910" t="s">
        <v>429</v>
      </c>
      <c r="G910" t="s">
        <v>430</v>
      </c>
      <c r="H910" t="s">
        <v>84</v>
      </c>
      <c r="I910" t="s">
        <v>433</v>
      </c>
      <c r="J910" t="s">
        <v>59</v>
      </c>
      <c r="K910">
        <v>-6855.1728169300004</v>
      </c>
      <c r="L910" t="s">
        <v>89</v>
      </c>
      <c r="M910" t="s">
        <v>424</v>
      </c>
      <c r="N910">
        <v>3.08071516317E-3</v>
      </c>
      <c r="O910">
        <v>21.118835000000001</v>
      </c>
      <c r="P910" t="s">
        <v>421</v>
      </c>
      <c r="Q910">
        <v>1</v>
      </c>
      <c r="V910">
        <v>1</v>
      </c>
      <c r="W910">
        <v>1</v>
      </c>
      <c r="X910">
        <v>1</v>
      </c>
      <c r="Y910">
        <v>1</v>
      </c>
      <c r="Z910">
        <v>21.118835000000001</v>
      </c>
    </row>
    <row r="911" spans="1:26" x14ac:dyDescent="0.25">
      <c r="A911">
        <v>23473</v>
      </c>
      <c r="B911" t="s">
        <v>139</v>
      </c>
      <c r="C911">
        <v>2018</v>
      </c>
      <c r="D911">
        <v>1</v>
      </c>
      <c r="E911" t="s">
        <v>415</v>
      </c>
      <c r="F911" t="s">
        <v>429</v>
      </c>
      <c r="G911" t="s">
        <v>430</v>
      </c>
      <c r="H911" t="s">
        <v>84</v>
      </c>
      <c r="I911" t="s">
        <v>433</v>
      </c>
      <c r="J911" t="s">
        <v>59</v>
      </c>
      <c r="K911">
        <v>-6855.1728169300004</v>
      </c>
      <c r="L911" t="s">
        <v>89</v>
      </c>
      <c r="M911" t="s">
        <v>425</v>
      </c>
      <c r="N911">
        <v>2.5360775708E-3</v>
      </c>
      <c r="O911">
        <v>17.385249999999999</v>
      </c>
      <c r="P911" t="s">
        <v>421</v>
      </c>
      <c r="Q911">
        <v>1</v>
      </c>
      <c r="V911">
        <v>1</v>
      </c>
      <c r="W911">
        <v>1</v>
      </c>
      <c r="X911">
        <v>1</v>
      </c>
      <c r="Y911">
        <v>1</v>
      </c>
      <c r="Z911">
        <v>17.385249999999999</v>
      </c>
    </row>
    <row r="912" spans="1:26" x14ac:dyDescent="0.25">
      <c r="A912">
        <v>23474</v>
      </c>
      <c r="B912" t="s">
        <v>139</v>
      </c>
      <c r="C912">
        <v>2018</v>
      </c>
      <c r="D912">
        <v>1</v>
      </c>
      <c r="E912" t="s">
        <v>415</v>
      </c>
      <c r="F912" t="s">
        <v>434</v>
      </c>
      <c r="G912" t="s">
        <v>435</v>
      </c>
      <c r="H912" t="s">
        <v>84</v>
      </c>
      <c r="I912" t="s">
        <v>436</v>
      </c>
      <c r="J912" t="s">
        <v>419</v>
      </c>
      <c r="K912">
        <v>-7322.4428039699997</v>
      </c>
      <c r="L912" t="s">
        <v>85</v>
      </c>
      <c r="M912" t="s">
        <v>420</v>
      </c>
      <c r="N912">
        <v>0.24824931095561001</v>
      </c>
      <c r="O912">
        <v>1817.791381</v>
      </c>
      <c r="P912" t="s">
        <v>421</v>
      </c>
      <c r="Q912">
        <v>1</v>
      </c>
      <c r="V912">
        <v>1</v>
      </c>
      <c r="W912">
        <v>1</v>
      </c>
      <c r="X912">
        <v>1</v>
      </c>
      <c r="Y912">
        <v>1</v>
      </c>
      <c r="Z912">
        <v>1817.791381</v>
      </c>
    </row>
    <row r="913" spans="1:26" x14ac:dyDescent="0.25">
      <c r="A913">
        <v>23475</v>
      </c>
      <c r="B913" t="s">
        <v>139</v>
      </c>
      <c r="C913">
        <v>2018</v>
      </c>
      <c r="D913">
        <v>1</v>
      </c>
      <c r="E913" t="s">
        <v>415</v>
      </c>
      <c r="F913" t="s">
        <v>434</v>
      </c>
      <c r="G913" t="s">
        <v>435</v>
      </c>
      <c r="H913" t="s">
        <v>84</v>
      </c>
      <c r="I913" t="s">
        <v>436</v>
      </c>
      <c r="J913" t="s">
        <v>419</v>
      </c>
      <c r="K913">
        <v>-7322.4428039699997</v>
      </c>
      <c r="L913" t="s">
        <v>85</v>
      </c>
      <c r="M913" t="s">
        <v>422</v>
      </c>
      <c r="N913">
        <v>7.7540047892240005E-2</v>
      </c>
      <c r="O913">
        <v>567.78256599999997</v>
      </c>
      <c r="P913" t="s">
        <v>421</v>
      </c>
      <c r="Q913">
        <v>1</v>
      </c>
      <c r="V913">
        <v>1</v>
      </c>
      <c r="W913">
        <v>1</v>
      </c>
      <c r="X913">
        <v>1</v>
      </c>
      <c r="Y913">
        <v>1</v>
      </c>
      <c r="Z913">
        <v>567.78256599999997</v>
      </c>
    </row>
    <row r="914" spans="1:26" x14ac:dyDescent="0.25">
      <c r="A914">
        <v>23476</v>
      </c>
      <c r="B914" t="s">
        <v>139</v>
      </c>
      <c r="C914">
        <v>2018</v>
      </c>
      <c r="D914">
        <v>1</v>
      </c>
      <c r="E914" t="s">
        <v>415</v>
      </c>
      <c r="F914" t="s">
        <v>434</v>
      </c>
      <c r="G914" t="s">
        <v>435</v>
      </c>
      <c r="H914" t="s">
        <v>84</v>
      </c>
      <c r="I914" t="s">
        <v>436</v>
      </c>
      <c r="J914" t="s">
        <v>419</v>
      </c>
      <c r="K914">
        <v>-7322.4428039699997</v>
      </c>
      <c r="L914" t="s">
        <v>85</v>
      </c>
      <c r="M914" t="s">
        <v>423</v>
      </c>
      <c r="N914">
        <v>0.73979703899049998</v>
      </c>
      <c r="O914">
        <v>5417.1215050000001</v>
      </c>
      <c r="P914" t="s">
        <v>421</v>
      </c>
      <c r="Q914">
        <v>1</v>
      </c>
      <c r="V914">
        <v>1</v>
      </c>
      <c r="W914">
        <v>1</v>
      </c>
      <c r="X914">
        <v>1</v>
      </c>
      <c r="Y914">
        <v>1</v>
      </c>
      <c r="Z914">
        <v>5417.1215050000001</v>
      </c>
    </row>
    <row r="915" spans="1:26" x14ac:dyDescent="0.25">
      <c r="A915">
        <v>23477</v>
      </c>
      <c r="B915" t="s">
        <v>139</v>
      </c>
      <c r="C915">
        <v>2018</v>
      </c>
      <c r="D915">
        <v>1</v>
      </c>
      <c r="E915" t="s">
        <v>415</v>
      </c>
      <c r="F915" t="s">
        <v>434</v>
      </c>
      <c r="G915" t="s">
        <v>435</v>
      </c>
      <c r="H915" t="s">
        <v>84</v>
      </c>
      <c r="I915" t="s">
        <v>436</v>
      </c>
      <c r="J915" t="s">
        <v>419</v>
      </c>
      <c r="K915">
        <v>-7322.4428039699997</v>
      </c>
      <c r="L915" t="s">
        <v>85</v>
      </c>
      <c r="M915" t="s">
        <v>424</v>
      </c>
      <c r="N915">
        <v>2.9085775596699999E-3</v>
      </c>
      <c r="O915">
        <v>21.297892999999998</v>
      </c>
      <c r="P915" t="s">
        <v>421</v>
      </c>
      <c r="Q915">
        <v>1</v>
      </c>
      <c r="V915">
        <v>1</v>
      </c>
      <c r="W915">
        <v>1</v>
      </c>
      <c r="X915">
        <v>1</v>
      </c>
      <c r="Y915">
        <v>1</v>
      </c>
      <c r="Z915">
        <v>21.297892999999998</v>
      </c>
    </row>
    <row r="916" spans="1:26" x14ac:dyDescent="0.25">
      <c r="A916">
        <v>23478</v>
      </c>
      <c r="B916" t="s">
        <v>139</v>
      </c>
      <c r="C916">
        <v>2018</v>
      </c>
      <c r="D916">
        <v>1</v>
      </c>
      <c r="E916" t="s">
        <v>415</v>
      </c>
      <c r="F916" t="s">
        <v>434</v>
      </c>
      <c r="G916" t="s">
        <v>435</v>
      </c>
      <c r="H916" t="s">
        <v>84</v>
      </c>
      <c r="I916" t="s">
        <v>436</v>
      </c>
      <c r="J916" t="s">
        <v>419</v>
      </c>
      <c r="K916">
        <v>-7322.4428039699997</v>
      </c>
      <c r="L916" t="s">
        <v>85</v>
      </c>
      <c r="M916" t="s">
        <v>425</v>
      </c>
      <c r="N916">
        <v>2.6170694898000001E-3</v>
      </c>
      <c r="O916">
        <v>19.163342</v>
      </c>
      <c r="P916" t="s">
        <v>421</v>
      </c>
      <c r="Q916">
        <v>1</v>
      </c>
      <c r="V916">
        <v>1</v>
      </c>
      <c r="W916">
        <v>1</v>
      </c>
      <c r="X916">
        <v>1</v>
      </c>
      <c r="Y916">
        <v>1</v>
      </c>
      <c r="Z916">
        <v>19.163342</v>
      </c>
    </row>
    <row r="917" spans="1:26" x14ac:dyDescent="0.25">
      <c r="A917">
        <v>23479</v>
      </c>
      <c r="B917" t="s">
        <v>139</v>
      </c>
      <c r="C917">
        <v>2018</v>
      </c>
      <c r="D917">
        <v>1</v>
      </c>
      <c r="E917" t="s">
        <v>415</v>
      </c>
      <c r="F917" t="s">
        <v>434</v>
      </c>
      <c r="G917" t="s">
        <v>435</v>
      </c>
      <c r="H917" t="s">
        <v>84</v>
      </c>
      <c r="I917" t="s">
        <v>437</v>
      </c>
      <c r="J917" t="s">
        <v>87</v>
      </c>
      <c r="K917">
        <v>-1379.9471952199999</v>
      </c>
      <c r="L917" t="s">
        <v>427</v>
      </c>
      <c r="M917" t="s">
        <v>420</v>
      </c>
      <c r="N917">
        <v>0.45523813654234002</v>
      </c>
      <c r="O917">
        <v>628.20459000000005</v>
      </c>
      <c r="P917" t="s">
        <v>421</v>
      </c>
      <c r="Q917">
        <v>1</v>
      </c>
      <c r="V917">
        <v>1</v>
      </c>
      <c r="W917">
        <v>1</v>
      </c>
      <c r="X917">
        <v>1</v>
      </c>
      <c r="Y917">
        <v>1</v>
      </c>
      <c r="Z917">
        <v>628.20459000000005</v>
      </c>
    </row>
    <row r="918" spans="1:26" x14ac:dyDescent="0.25">
      <c r="A918">
        <v>23480</v>
      </c>
      <c r="B918" t="s">
        <v>139</v>
      </c>
      <c r="C918">
        <v>2018</v>
      </c>
      <c r="D918">
        <v>1</v>
      </c>
      <c r="E918" t="s">
        <v>415</v>
      </c>
      <c r="F918" t="s">
        <v>434</v>
      </c>
      <c r="G918" t="s">
        <v>435</v>
      </c>
      <c r="H918" t="s">
        <v>84</v>
      </c>
      <c r="I918" t="s">
        <v>437</v>
      </c>
      <c r="J918" t="s">
        <v>87</v>
      </c>
      <c r="K918">
        <v>-1379.9471952199999</v>
      </c>
      <c r="L918" t="s">
        <v>427</v>
      </c>
      <c r="M918" t="s">
        <v>422</v>
      </c>
      <c r="N918">
        <v>6.8896616392329996E-2</v>
      </c>
      <c r="O918">
        <v>95.073693000000006</v>
      </c>
      <c r="P918" t="s">
        <v>421</v>
      </c>
      <c r="Q918">
        <v>1</v>
      </c>
      <c r="V918">
        <v>1</v>
      </c>
      <c r="W918">
        <v>1</v>
      </c>
      <c r="X918">
        <v>1</v>
      </c>
      <c r="Y918">
        <v>1</v>
      </c>
      <c r="Z918">
        <v>95.073693000000006</v>
      </c>
    </row>
    <row r="919" spans="1:26" x14ac:dyDescent="0.25">
      <c r="A919">
        <v>23481</v>
      </c>
      <c r="B919" t="s">
        <v>139</v>
      </c>
      <c r="C919">
        <v>2018</v>
      </c>
      <c r="D919">
        <v>1</v>
      </c>
      <c r="E919" t="s">
        <v>415</v>
      </c>
      <c r="F919" t="s">
        <v>434</v>
      </c>
      <c r="G919" t="s">
        <v>435</v>
      </c>
      <c r="H919" t="s">
        <v>84</v>
      </c>
      <c r="I919" t="s">
        <v>437</v>
      </c>
      <c r="J919" t="s">
        <v>87</v>
      </c>
      <c r="K919">
        <v>-1379.9471952199999</v>
      </c>
      <c r="L919" t="s">
        <v>427</v>
      </c>
      <c r="M919" t="s">
        <v>423</v>
      </c>
      <c r="N919">
        <v>0.70986919705586005</v>
      </c>
      <c r="O919">
        <v>979.58200699999998</v>
      </c>
      <c r="P919" t="s">
        <v>421</v>
      </c>
      <c r="Q919">
        <v>1</v>
      </c>
      <c r="V919">
        <v>1</v>
      </c>
      <c r="W919">
        <v>1</v>
      </c>
      <c r="X919">
        <v>1</v>
      </c>
      <c r="Y919">
        <v>1</v>
      </c>
      <c r="Z919">
        <v>979.58200699999998</v>
      </c>
    </row>
    <row r="920" spans="1:26" x14ac:dyDescent="0.25">
      <c r="A920">
        <v>23482</v>
      </c>
      <c r="B920" t="s">
        <v>139</v>
      </c>
      <c r="C920">
        <v>2018</v>
      </c>
      <c r="D920">
        <v>1</v>
      </c>
      <c r="E920" t="s">
        <v>415</v>
      </c>
      <c r="F920" t="s">
        <v>434</v>
      </c>
      <c r="G920" t="s">
        <v>435</v>
      </c>
      <c r="H920" t="s">
        <v>84</v>
      </c>
      <c r="I920" t="s">
        <v>437</v>
      </c>
      <c r="J920" t="s">
        <v>87</v>
      </c>
      <c r="K920">
        <v>-1379.9471952199999</v>
      </c>
      <c r="L920" t="s">
        <v>427</v>
      </c>
      <c r="M920" t="s">
        <v>425</v>
      </c>
      <c r="N920">
        <v>1.4965642882E-3</v>
      </c>
      <c r="O920">
        <v>2.0651799999999998</v>
      </c>
      <c r="P920" t="s">
        <v>421</v>
      </c>
      <c r="Q920">
        <v>1</v>
      </c>
      <c r="V920">
        <v>1</v>
      </c>
      <c r="W920">
        <v>1</v>
      </c>
      <c r="X920">
        <v>1</v>
      </c>
      <c r="Y920">
        <v>1</v>
      </c>
      <c r="Z920">
        <v>2.0651799999999998</v>
      </c>
    </row>
    <row r="921" spans="1:26" x14ac:dyDescent="0.25">
      <c r="A921">
        <v>23483</v>
      </c>
      <c r="B921" t="s">
        <v>139</v>
      </c>
      <c r="C921">
        <v>2018</v>
      </c>
      <c r="D921">
        <v>1</v>
      </c>
      <c r="E921" t="s">
        <v>415</v>
      </c>
      <c r="F921" t="s">
        <v>434</v>
      </c>
      <c r="G921" t="s">
        <v>435</v>
      </c>
      <c r="H921" t="s">
        <v>84</v>
      </c>
      <c r="I921" t="s">
        <v>438</v>
      </c>
      <c r="J921" t="s">
        <v>59</v>
      </c>
      <c r="K921">
        <v>-4009.5273123500001</v>
      </c>
      <c r="L921" t="s">
        <v>89</v>
      </c>
      <c r="M921" t="s">
        <v>420</v>
      </c>
      <c r="N921">
        <v>0.26343870574139999</v>
      </c>
      <c r="O921">
        <v>1056.264686</v>
      </c>
      <c r="P921" t="s">
        <v>421</v>
      </c>
      <c r="Q921">
        <v>1</v>
      </c>
      <c r="V921">
        <v>1</v>
      </c>
      <c r="W921">
        <v>1</v>
      </c>
      <c r="X921">
        <v>1</v>
      </c>
      <c r="Y921">
        <v>1</v>
      </c>
      <c r="Z921">
        <v>1056.264686</v>
      </c>
    </row>
    <row r="922" spans="1:26" x14ac:dyDescent="0.25">
      <c r="A922">
        <v>23484</v>
      </c>
      <c r="B922" t="s">
        <v>139</v>
      </c>
      <c r="C922">
        <v>2018</v>
      </c>
      <c r="D922">
        <v>1</v>
      </c>
      <c r="E922" t="s">
        <v>415</v>
      </c>
      <c r="F922" t="s">
        <v>434</v>
      </c>
      <c r="G922" t="s">
        <v>435</v>
      </c>
      <c r="H922" t="s">
        <v>84</v>
      </c>
      <c r="I922" t="s">
        <v>438</v>
      </c>
      <c r="J922" t="s">
        <v>59</v>
      </c>
      <c r="K922">
        <v>-4009.5273123500001</v>
      </c>
      <c r="L922" t="s">
        <v>89</v>
      </c>
      <c r="M922" t="s">
        <v>422</v>
      </c>
      <c r="N922">
        <v>7.1262429683470005E-2</v>
      </c>
      <c r="O922">
        <v>285.728658</v>
      </c>
      <c r="P922" t="s">
        <v>421</v>
      </c>
      <c r="Q922">
        <v>1</v>
      </c>
      <c r="V922">
        <v>1</v>
      </c>
      <c r="W922">
        <v>1</v>
      </c>
      <c r="X922">
        <v>1</v>
      </c>
      <c r="Y922">
        <v>1</v>
      </c>
      <c r="Z922">
        <v>285.728658</v>
      </c>
    </row>
    <row r="923" spans="1:26" x14ac:dyDescent="0.25">
      <c r="A923">
        <v>23485</v>
      </c>
      <c r="B923" t="s">
        <v>139</v>
      </c>
      <c r="C923">
        <v>2018</v>
      </c>
      <c r="D923">
        <v>1</v>
      </c>
      <c r="E923" t="s">
        <v>415</v>
      </c>
      <c r="F923" t="s">
        <v>434</v>
      </c>
      <c r="G923" t="s">
        <v>435</v>
      </c>
      <c r="H923" t="s">
        <v>84</v>
      </c>
      <c r="I923" t="s">
        <v>438</v>
      </c>
      <c r="J923" t="s">
        <v>59</v>
      </c>
      <c r="K923">
        <v>-4009.5273123500001</v>
      </c>
      <c r="L923" t="s">
        <v>89</v>
      </c>
      <c r="M923" t="s">
        <v>423</v>
      </c>
      <c r="N923">
        <v>0.74738783869542003</v>
      </c>
      <c r="O923">
        <v>2996.6719520000001</v>
      </c>
      <c r="P923" t="s">
        <v>421</v>
      </c>
      <c r="Q923">
        <v>1</v>
      </c>
      <c r="V923">
        <v>1</v>
      </c>
      <c r="W923">
        <v>1</v>
      </c>
      <c r="X923">
        <v>1</v>
      </c>
      <c r="Y923">
        <v>1</v>
      </c>
      <c r="Z923">
        <v>2996.6719520000001</v>
      </c>
    </row>
    <row r="924" spans="1:26" x14ac:dyDescent="0.25">
      <c r="A924">
        <v>23486</v>
      </c>
      <c r="B924" t="s">
        <v>139</v>
      </c>
      <c r="C924">
        <v>2018</v>
      </c>
      <c r="D924">
        <v>1</v>
      </c>
      <c r="E924" t="s">
        <v>415</v>
      </c>
      <c r="F924" t="s">
        <v>434</v>
      </c>
      <c r="G924" t="s">
        <v>435</v>
      </c>
      <c r="H924" t="s">
        <v>84</v>
      </c>
      <c r="I924" t="s">
        <v>438</v>
      </c>
      <c r="J924" t="s">
        <v>59</v>
      </c>
      <c r="K924">
        <v>-4009.5273123500001</v>
      </c>
      <c r="L924" t="s">
        <v>89</v>
      </c>
      <c r="M924" t="s">
        <v>424</v>
      </c>
      <c r="N924">
        <v>3.08071516317E-3</v>
      </c>
      <c r="O924">
        <v>12.352212</v>
      </c>
      <c r="P924" t="s">
        <v>421</v>
      </c>
      <c r="Q924">
        <v>1</v>
      </c>
      <c r="V924">
        <v>1</v>
      </c>
      <c r="W924">
        <v>1</v>
      </c>
      <c r="X924">
        <v>1</v>
      </c>
      <c r="Y924">
        <v>1</v>
      </c>
      <c r="Z924">
        <v>12.352212</v>
      </c>
    </row>
    <row r="925" spans="1:26" x14ac:dyDescent="0.25">
      <c r="A925">
        <v>23487</v>
      </c>
      <c r="B925" t="s">
        <v>139</v>
      </c>
      <c r="C925">
        <v>2018</v>
      </c>
      <c r="D925">
        <v>1</v>
      </c>
      <c r="E925" t="s">
        <v>415</v>
      </c>
      <c r="F925" t="s">
        <v>434</v>
      </c>
      <c r="G925" t="s">
        <v>435</v>
      </c>
      <c r="H925" t="s">
        <v>84</v>
      </c>
      <c r="I925" t="s">
        <v>438</v>
      </c>
      <c r="J925" t="s">
        <v>59</v>
      </c>
      <c r="K925">
        <v>-4009.5273123500001</v>
      </c>
      <c r="L925" t="s">
        <v>89</v>
      </c>
      <c r="M925" t="s">
        <v>425</v>
      </c>
      <c r="N925">
        <v>2.5360775708E-3</v>
      </c>
      <c r="O925">
        <v>10.168472</v>
      </c>
      <c r="P925" t="s">
        <v>421</v>
      </c>
      <c r="Q925">
        <v>1</v>
      </c>
      <c r="V925">
        <v>1</v>
      </c>
      <c r="W925">
        <v>1</v>
      </c>
      <c r="X925">
        <v>1</v>
      </c>
      <c r="Y925">
        <v>1</v>
      </c>
      <c r="Z925">
        <v>10.168472</v>
      </c>
    </row>
    <row r="926" spans="1:26" x14ac:dyDescent="0.25">
      <c r="A926">
        <v>77377</v>
      </c>
      <c r="B926" t="s">
        <v>146</v>
      </c>
      <c r="C926">
        <v>2019</v>
      </c>
      <c r="D926">
        <v>1</v>
      </c>
      <c r="E926" t="s">
        <v>415</v>
      </c>
      <c r="F926" t="s">
        <v>416</v>
      </c>
      <c r="G926" t="s">
        <v>417</v>
      </c>
      <c r="H926" t="s">
        <v>84</v>
      </c>
      <c r="I926" t="s">
        <v>418</v>
      </c>
      <c r="J926" t="s">
        <v>419</v>
      </c>
      <c r="K926">
        <v>-18549.580854709999</v>
      </c>
      <c r="L926" t="s">
        <v>85</v>
      </c>
      <c r="M926" t="s">
        <v>420</v>
      </c>
      <c r="N926">
        <v>0.24824931095561001</v>
      </c>
      <c r="O926">
        <v>4604.920666</v>
      </c>
      <c r="P926" t="s">
        <v>421</v>
      </c>
      <c r="Q926">
        <v>1</v>
      </c>
      <c r="V926">
        <v>1</v>
      </c>
      <c r="W926">
        <v>1</v>
      </c>
      <c r="X926">
        <v>1</v>
      </c>
      <c r="Y926">
        <v>1</v>
      </c>
      <c r="Z926">
        <v>4604.920666</v>
      </c>
    </row>
    <row r="927" spans="1:26" x14ac:dyDescent="0.25">
      <c r="A927">
        <v>77378</v>
      </c>
      <c r="B927" t="s">
        <v>146</v>
      </c>
      <c r="C927">
        <v>2019</v>
      </c>
      <c r="D927">
        <v>1</v>
      </c>
      <c r="E927" t="s">
        <v>415</v>
      </c>
      <c r="F927" t="s">
        <v>416</v>
      </c>
      <c r="G927" t="s">
        <v>417</v>
      </c>
      <c r="H927" t="s">
        <v>84</v>
      </c>
      <c r="I927" t="s">
        <v>418</v>
      </c>
      <c r="J927" t="s">
        <v>419</v>
      </c>
      <c r="K927">
        <v>-18549.580854709999</v>
      </c>
      <c r="L927" t="s">
        <v>85</v>
      </c>
      <c r="M927" t="s">
        <v>422</v>
      </c>
      <c r="N927">
        <v>7.7540047892240005E-2</v>
      </c>
      <c r="O927">
        <v>1438.335388</v>
      </c>
      <c r="P927" t="s">
        <v>421</v>
      </c>
      <c r="Q927">
        <v>1</v>
      </c>
      <c r="V927">
        <v>1</v>
      </c>
      <c r="W927">
        <v>1</v>
      </c>
      <c r="X927">
        <v>1</v>
      </c>
      <c r="Y927">
        <v>1</v>
      </c>
      <c r="Z927">
        <v>1438.335388</v>
      </c>
    </row>
    <row r="928" spans="1:26" x14ac:dyDescent="0.25">
      <c r="A928">
        <v>77379</v>
      </c>
      <c r="B928" t="s">
        <v>146</v>
      </c>
      <c r="C928">
        <v>2019</v>
      </c>
      <c r="D928">
        <v>1</v>
      </c>
      <c r="E928" t="s">
        <v>415</v>
      </c>
      <c r="F928" t="s">
        <v>416</v>
      </c>
      <c r="G928" t="s">
        <v>417</v>
      </c>
      <c r="H928" t="s">
        <v>84</v>
      </c>
      <c r="I928" t="s">
        <v>418</v>
      </c>
      <c r="J928" t="s">
        <v>419</v>
      </c>
      <c r="K928">
        <v>-18549.580854709999</v>
      </c>
      <c r="L928" t="s">
        <v>85</v>
      </c>
      <c r="M928" t="s">
        <v>423</v>
      </c>
      <c r="N928">
        <v>0.73979703899049998</v>
      </c>
      <c r="O928">
        <v>13722.924991</v>
      </c>
      <c r="P928" t="s">
        <v>421</v>
      </c>
      <c r="Q928">
        <v>1</v>
      </c>
      <c r="V928">
        <v>1</v>
      </c>
      <c r="W928">
        <v>1</v>
      </c>
      <c r="X928">
        <v>1</v>
      </c>
      <c r="Y928">
        <v>1</v>
      </c>
      <c r="Z928">
        <v>13722.924991</v>
      </c>
    </row>
    <row r="929" spans="1:26" x14ac:dyDescent="0.25">
      <c r="A929">
        <v>77380</v>
      </c>
      <c r="B929" t="s">
        <v>146</v>
      </c>
      <c r="C929">
        <v>2019</v>
      </c>
      <c r="D929">
        <v>1</v>
      </c>
      <c r="E929" t="s">
        <v>415</v>
      </c>
      <c r="F929" t="s">
        <v>416</v>
      </c>
      <c r="G929" t="s">
        <v>417</v>
      </c>
      <c r="H929" t="s">
        <v>84</v>
      </c>
      <c r="I929" t="s">
        <v>418</v>
      </c>
      <c r="J929" t="s">
        <v>419</v>
      </c>
      <c r="K929">
        <v>-18549.580854709999</v>
      </c>
      <c r="L929" t="s">
        <v>85</v>
      </c>
      <c r="M929" t="s">
        <v>424</v>
      </c>
      <c r="N929">
        <v>2.9085775596699999E-3</v>
      </c>
      <c r="O929">
        <v>53.952894999999998</v>
      </c>
      <c r="P929" t="s">
        <v>421</v>
      </c>
      <c r="Q929">
        <v>1</v>
      </c>
      <c r="V929">
        <v>1</v>
      </c>
      <c r="W929">
        <v>1</v>
      </c>
      <c r="X929">
        <v>1</v>
      </c>
      <c r="Y929">
        <v>1</v>
      </c>
      <c r="Z929">
        <v>53.952894999999998</v>
      </c>
    </row>
    <row r="930" spans="1:26" x14ac:dyDescent="0.25">
      <c r="A930">
        <v>77381</v>
      </c>
      <c r="B930" t="s">
        <v>146</v>
      </c>
      <c r="C930">
        <v>2019</v>
      </c>
      <c r="D930">
        <v>1</v>
      </c>
      <c r="E930" t="s">
        <v>415</v>
      </c>
      <c r="F930" t="s">
        <v>416</v>
      </c>
      <c r="G930" t="s">
        <v>417</v>
      </c>
      <c r="H930" t="s">
        <v>84</v>
      </c>
      <c r="I930" t="s">
        <v>418</v>
      </c>
      <c r="J930" t="s">
        <v>419</v>
      </c>
      <c r="K930">
        <v>-18549.580854709999</v>
      </c>
      <c r="L930" t="s">
        <v>85</v>
      </c>
      <c r="M930" t="s">
        <v>425</v>
      </c>
      <c r="N930">
        <v>2.6170694898000001E-3</v>
      </c>
      <c r="O930">
        <v>48.545541999999998</v>
      </c>
      <c r="P930" t="s">
        <v>421</v>
      </c>
      <c r="Q930">
        <v>1</v>
      </c>
      <c r="V930">
        <v>1</v>
      </c>
      <c r="W930">
        <v>1</v>
      </c>
      <c r="X930">
        <v>1</v>
      </c>
      <c r="Y930">
        <v>1</v>
      </c>
      <c r="Z930">
        <v>48.545541999999998</v>
      </c>
    </row>
    <row r="931" spans="1:26" x14ac:dyDescent="0.25">
      <c r="A931">
        <v>77382</v>
      </c>
      <c r="B931" t="s">
        <v>146</v>
      </c>
      <c r="C931">
        <v>2019</v>
      </c>
      <c r="D931">
        <v>1</v>
      </c>
      <c r="E931" t="s">
        <v>415</v>
      </c>
      <c r="F931" t="s">
        <v>416</v>
      </c>
      <c r="G931" t="s">
        <v>417</v>
      </c>
      <c r="H931" t="s">
        <v>84</v>
      </c>
      <c r="I931" t="s">
        <v>426</v>
      </c>
      <c r="J931" t="s">
        <v>87</v>
      </c>
      <c r="K931">
        <v>-3883.16640091</v>
      </c>
      <c r="L931" t="s">
        <v>427</v>
      </c>
      <c r="M931" t="s">
        <v>420</v>
      </c>
      <c r="N931">
        <v>0.45523813654234002</v>
      </c>
      <c r="O931">
        <v>1767.7654359999999</v>
      </c>
      <c r="P931" t="s">
        <v>421</v>
      </c>
      <c r="Q931">
        <v>1</v>
      </c>
      <c r="V931">
        <v>1</v>
      </c>
      <c r="W931">
        <v>1</v>
      </c>
      <c r="X931">
        <v>1</v>
      </c>
      <c r="Y931">
        <v>1</v>
      </c>
      <c r="Z931">
        <v>1767.7654359999999</v>
      </c>
    </row>
    <row r="932" spans="1:26" x14ac:dyDescent="0.25">
      <c r="A932">
        <v>77383</v>
      </c>
      <c r="B932" t="s">
        <v>146</v>
      </c>
      <c r="C932">
        <v>2019</v>
      </c>
      <c r="D932">
        <v>1</v>
      </c>
      <c r="E932" t="s">
        <v>415</v>
      </c>
      <c r="F932" t="s">
        <v>416</v>
      </c>
      <c r="G932" t="s">
        <v>417</v>
      </c>
      <c r="H932" t="s">
        <v>84</v>
      </c>
      <c r="I932" t="s">
        <v>426</v>
      </c>
      <c r="J932" t="s">
        <v>87</v>
      </c>
      <c r="K932">
        <v>-3883.16640091</v>
      </c>
      <c r="L932" t="s">
        <v>427</v>
      </c>
      <c r="M932" t="s">
        <v>422</v>
      </c>
      <c r="N932">
        <v>6.8896616392329996E-2</v>
      </c>
      <c r="O932">
        <v>267.53702600000003</v>
      </c>
      <c r="P932" t="s">
        <v>421</v>
      </c>
      <c r="Q932">
        <v>1</v>
      </c>
      <c r="V932">
        <v>1</v>
      </c>
      <c r="W932">
        <v>1</v>
      </c>
      <c r="X932">
        <v>1</v>
      </c>
      <c r="Y932">
        <v>1</v>
      </c>
      <c r="Z932">
        <v>267.53702600000003</v>
      </c>
    </row>
    <row r="933" spans="1:26" x14ac:dyDescent="0.25">
      <c r="A933">
        <v>77384</v>
      </c>
      <c r="B933" t="s">
        <v>146</v>
      </c>
      <c r="C933">
        <v>2019</v>
      </c>
      <c r="D933">
        <v>1</v>
      </c>
      <c r="E933" t="s">
        <v>415</v>
      </c>
      <c r="F933" t="s">
        <v>416</v>
      </c>
      <c r="G933" t="s">
        <v>417</v>
      </c>
      <c r="H933" t="s">
        <v>84</v>
      </c>
      <c r="I933" t="s">
        <v>426</v>
      </c>
      <c r="J933" t="s">
        <v>87</v>
      </c>
      <c r="K933">
        <v>-3883.16640091</v>
      </c>
      <c r="L933" t="s">
        <v>427</v>
      </c>
      <c r="M933" t="s">
        <v>423</v>
      </c>
      <c r="N933">
        <v>0.70986919705586005</v>
      </c>
      <c r="O933">
        <v>2756.540215</v>
      </c>
      <c r="P933" t="s">
        <v>421</v>
      </c>
      <c r="Q933">
        <v>1</v>
      </c>
      <c r="V933">
        <v>1</v>
      </c>
      <c r="W933">
        <v>1</v>
      </c>
      <c r="X933">
        <v>1</v>
      </c>
      <c r="Y933">
        <v>1</v>
      </c>
      <c r="Z933">
        <v>2756.540215</v>
      </c>
    </row>
    <row r="934" spans="1:26" x14ac:dyDescent="0.25">
      <c r="A934">
        <v>77385</v>
      </c>
      <c r="B934" t="s">
        <v>146</v>
      </c>
      <c r="C934">
        <v>2019</v>
      </c>
      <c r="D934">
        <v>1</v>
      </c>
      <c r="E934" t="s">
        <v>415</v>
      </c>
      <c r="F934" t="s">
        <v>416</v>
      </c>
      <c r="G934" t="s">
        <v>417</v>
      </c>
      <c r="H934" t="s">
        <v>84</v>
      </c>
      <c r="I934" t="s">
        <v>426</v>
      </c>
      <c r="J934" t="s">
        <v>87</v>
      </c>
      <c r="K934">
        <v>-3883.16640091</v>
      </c>
      <c r="L934" t="s">
        <v>427</v>
      </c>
      <c r="M934" t="s">
        <v>425</v>
      </c>
      <c r="N934">
        <v>1.4965642882E-3</v>
      </c>
      <c r="O934">
        <v>5.8114080000000001</v>
      </c>
      <c r="P934" t="s">
        <v>421</v>
      </c>
      <c r="Q934">
        <v>1</v>
      </c>
      <c r="V934">
        <v>1</v>
      </c>
      <c r="W934">
        <v>1</v>
      </c>
      <c r="X934">
        <v>1</v>
      </c>
      <c r="Y934">
        <v>1</v>
      </c>
      <c r="Z934">
        <v>5.8114080000000001</v>
      </c>
    </row>
    <row r="935" spans="1:26" x14ac:dyDescent="0.25">
      <c r="A935">
        <v>77386</v>
      </c>
      <c r="B935" t="s">
        <v>146</v>
      </c>
      <c r="C935">
        <v>2019</v>
      </c>
      <c r="D935">
        <v>1</v>
      </c>
      <c r="E935" t="s">
        <v>415</v>
      </c>
      <c r="F935" t="s">
        <v>416</v>
      </c>
      <c r="G935" t="s">
        <v>417</v>
      </c>
      <c r="H935" t="s">
        <v>84</v>
      </c>
      <c r="I935" t="s">
        <v>428</v>
      </c>
      <c r="J935" t="s">
        <v>59</v>
      </c>
      <c r="K935">
        <v>-9951.5891886400004</v>
      </c>
      <c r="L935" t="s">
        <v>89</v>
      </c>
      <c r="M935" t="s">
        <v>420</v>
      </c>
      <c r="N935">
        <v>0.26343870574139999</v>
      </c>
      <c r="O935">
        <v>2621.6337760000001</v>
      </c>
      <c r="P935" t="s">
        <v>421</v>
      </c>
      <c r="Q935">
        <v>1</v>
      </c>
      <c r="V935">
        <v>1</v>
      </c>
      <c r="W935">
        <v>1</v>
      </c>
      <c r="X935">
        <v>1</v>
      </c>
      <c r="Y935">
        <v>1</v>
      </c>
      <c r="Z935">
        <v>2621.6337760000001</v>
      </c>
    </row>
    <row r="936" spans="1:26" x14ac:dyDescent="0.25">
      <c r="A936">
        <v>77387</v>
      </c>
      <c r="B936" t="s">
        <v>146</v>
      </c>
      <c r="C936">
        <v>2019</v>
      </c>
      <c r="D936">
        <v>1</v>
      </c>
      <c r="E936" t="s">
        <v>415</v>
      </c>
      <c r="F936" t="s">
        <v>416</v>
      </c>
      <c r="G936" t="s">
        <v>417</v>
      </c>
      <c r="H936" t="s">
        <v>84</v>
      </c>
      <c r="I936" t="s">
        <v>428</v>
      </c>
      <c r="J936" t="s">
        <v>59</v>
      </c>
      <c r="K936">
        <v>-9951.5891886400004</v>
      </c>
      <c r="L936" t="s">
        <v>89</v>
      </c>
      <c r="M936" t="s">
        <v>422</v>
      </c>
      <c r="N936">
        <v>7.1262429683470005E-2</v>
      </c>
      <c r="O936">
        <v>709.17442500000004</v>
      </c>
      <c r="P936" t="s">
        <v>421</v>
      </c>
      <c r="Q936">
        <v>1</v>
      </c>
      <c r="V936">
        <v>1</v>
      </c>
      <c r="W936">
        <v>1</v>
      </c>
      <c r="X936">
        <v>1</v>
      </c>
      <c r="Y936">
        <v>1</v>
      </c>
      <c r="Z936">
        <v>709.17442500000004</v>
      </c>
    </row>
    <row r="937" spans="1:26" x14ac:dyDescent="0.25">
      <c r="A937">
        <v>77388</v>
      </c>
      <c r="B937" t="s">
        <v>146</v>
      </c>
      <c r="C937">
        <v>2019</v>
      </c>
      <c r="D937">
        <v>1</v>
      </c>
      <c r="E937" t="s">
        <v>415</v>
      </c>
      <c r="F937" t="s">
        <v>416</v>
      </c>
      <c r="G937" t="s">
        <v>417</v>
      </c>
      <c r="H937" t="s">
        <v>84</v>
      </c>
      <c r="I937" t="s">
        <v>428</v>
      </c>
      <c r="J937" t="s">
        <v>59</v>
      </c>
      <c r="K937">
        <v>-9951.5891886400004</v>
      </c>
      <c r="L937" t="s">
        <v>89</v>
      </c>
      <c r="M937" t="s">
        <v>423</v>
      </c>
      <c r="N937">
        <v>0.74738783869542003</v>
      </c>
      <c r="O937">
        <v>7437.6967350000004</v>
      </c>
      <c r="P937" t="s">
        <v>421</v>
      </c>
      <c r="Q937">
        <v>1</v>
      </c>
      <c r="V937">
        <v>1</v>
      </c>
      <c r="W937">
        <v>1</v>
      </c>
      <c r="X937">
        <v>1</v>
      </c>
      <c r="Y937">
        <v>1</v>
      </c>
      <c r="Z937">
        <v>7437.6967350000004</v>
      </c>
    </row>
    <row r="938" spans="1:26" x14ac:dyDescent="0.25">
      <c r="A938">
        <v>77389</v>
      </c>
      <c r="B938" t="s">
        <v>146</v>
      </c>
      <c r="C938">
        <v>2019</v>
      </c>
      <c r="D938">
        <v>1</v>
      </c>
      <c r="E938" t="s">
        <v>415</v>
      </c>
      <c r="F938" t="s">
        <v>416</v>
      </c>
      <c r="G938" t="s">
        <v>417</v>
      </c>
      <c r="H938" t="s">
        <v>84</v>
      </c>
      <c r="I938" t="s">
        <v>428</v>
      </c>
      <c r="J938" t="s">
        <v>59</v>
      </c>
      <c r="K938">
        <v>-9951.5891886400004</v>
      </c>
      <c r="L938" t="s">
        <v>89</v>
      </c>
      <c r="M938" t="s">
        <v>424</v>
      </c>
      <c r="N938">
        <v>3.08071516317E-3</v>
      </c>
      <c r="O938">
        <v>30.658011999999999</v>
      </c>
      <c r="P938" t="s">
        <v>421</v>
      </c>
      <c r="Q938">
        <v>1</v>
      </c>
      <c r="V938">
        <v>1</v>
      </c>
      <c r="W938">
        <v>1</v>
      </c>
      <c r="X938">
        <v>1</v>
      </c>
      <c r="Y938">
        <v>1</v>
      </c>
      <c r="Z938">
        <v>30.658011999999999</v>
      </c>
    </row>
    <row r="939" spans="1:26" x14ac:dyDescent="0.25">
      <c r="A939">
        <v>77390</v>
      </c>
      <c r="B939" t="s">
        <v>146</v>
      </c>
      <c r="C939">
        <v>2019</v>
      </c>
      <c r="D939">
        <v>1</v>
      </c>
      <c r="E939" t="s">
        <v>415</v>
      </c>
      <c r="F939" t="s">
        <v>416</v>
      </c>
      <c r="G939" t="s">
        <v>417</v>
      </c>
      <c r="H939" t="s">
        <v>84</v>
      </c>
      <c r="I939" t="s">
        <v>428</v>
      </c>
      <c r="J939" t="s">
        <v>59</v>
      </c>
      <c r="K939">
        <v>-9951.5891886400004</v>
      </c>
      <c r="L939" t="s">
        <v>89</v>
      </c>
      <c r="M939" t="s">
        <v>425</v>
      </c>
      <c r="N939">
        <v>2.5360775708E-3</v>
      </c>
      <c r="O939">
        <v>25.238002000000002</v>
      </c>
      <c r="P939" t="s">
        <v>421</v>
      </c>
      <c r="Q939">
        <v>1</v>
      </c>
      <c r="V939">
        <v>1</v>
      </c>
      <c r="W939">
        <v>1</v>
      </c>
      <c r="X939">
        <v>1</v>
      </c>
      <c r="Y939">
        <v>1</v>
      </c>
      <c r="Z939">
        <v>25.238002000000002</v>
      </c>
    </row>
    <row r="940" spans="1:26" x14ac:dyDescent="0.25">
      <c r="A940">
        <v>77391</v>
      </c>
      <c r="B940" t="s">
        <v>146</v>
      </c>
      <c r="C940">
        <v>2019</v>
      </c>
      <c r="D940">
        <v>1</v>
      </c>
      <c r="E940" t="s">
        <v>415</v>
      </c>
      <c r="F940" t="s">
        <v>429</v>
      </c>
      <c r="G940" t="s">
        <v>430</v>
      </c>
      <c r="H940" t="s">
        <v>84</v>
      </c>
      <c r="I940" t="s">
        <v>431</v>
      </c>
      <c r="J940" t="s">
        <v>419</v>
      </c>
      <c r="K940">
        <v>-27545.988387140002</v>
      </c>
      <c r="L940" t="s">
        <v>85</v>
      </c>
      <c r="M940" t="s">
        <v>420</v>
      </c>
      <c r="N940">
        <v>0.24824931095561001</v>
      </c>
      <c r="O940">
        <v>6838.272637</v>
      </c>
      <c r="P940" t="s">
        <v>421</v>
      </c>
      <c r="Q940">
        <v>1</v>
      </c>
      <c r="V940">
        <v>1</v>
      </c>
      <c r="W940">
        <v>1</v>
      </c>
      <c r="X940">
        <v>1</v>
      </c>
      <c r="Y940">
        <v>1</v>
      </c>
      <c r="Z940">
        <v>6838.272637</v>
      </c>
    </row>
    <row r="941" spans="1:26" x14ac:dyDescent="0.25">
      <c r="A941">
        <v>77392</v>
      </c>
      <c r="B941" t="s">
        <v>146</v>
      </c>
      <c r="C941">
        <v>2019</v>
      </c>
      <c r="D941">
        <v>1</v>
      </c>
      <c r="E941" t="s">
        <v>415</v>
      </c>
      <c r="F941" t="s">
        <v>429</v>
      </c>
      <c r="G941" t="s">
        <v>430</v>
      </c>
      <c r="H941" t="s">
        <v>84</v>
      </c>
      <c r="I941" t="s">
        <v>431</v>
      </c>
      <c r="J941" t="s">
        <v>419</v>
      </c>
      <c r="K941">
        <v>-27545.988387140002</v>
      </c>
      <c r="L941" t="s">
        <v>85</v>
      </c>
      <c r="M941" t="s">
        <v>422</v>
      </c>
      <c r="N941">
        <v>7.7540047892240005E-2</v>
      </c>
      <c r="O941">
        <v>2135.9172589999998</v>
      </c>
      <c r="P941" t="s">
        <v>421</v>
      </c>
      <c r="Q941">
        <v>1</v>
      </c>
      <c r="V941">
        <v>1</v>
      </c>
      <c r="W941">
        <v>1</v>
      </c>
      <c r="X941">
        <v>1</v>
      </c>
      <c r="Y941">
        <v>1</v>
      </c>
      <c r="Z941">
        <v>2135.9172589999998</v>
      </c>
    </row>
    <row r="942" spans="1:26" x14ac:dyDescent="0.25">
      <c r="A942">
        <v>77393</v>
      </c>
      <c r="B942" t="s">
        <v>146</v>
      </c>
      <c r="C942">
        <v>2019</v>
      </c>
      <c r="D942">
        <v>1</v>
      </c>
      <c r="E942" t="s">
        <v>415</v>
      </c>
      <c r="F942" t="s">
        <v>429</v>
      </c>
      <c r="G942" t="s">
        <v>430</v>
      </c>
      <c r="H942" t="s">
        <v>84</v>
      </c>
      <c r="I942" t="s">
        <v>431</v>
      </c>
      <c r="J942" t="s">
        <v>419</v>
      </c>
      <c r="K942">
        <v>-27545.988387140002</v>
      </c>
      <c r="L942" t="s">
        <v>85</v>
      </c>
      <c r="M942" t="s">
        <v>423</v>
      </c>
      <c r="N942">
        <v>0.73979703899049998</v>
      </c>
      <c r="O942">
        <v>20378.440644999999</v>
      </c>
      <c r="P942" t="s">
        <v>421</v>
      </c>
      <c r="Q942">
        <v>1</v>
      </c>
      <c r="V942">
        <v>1</v>
      </c>
      <c r="W942">
        <v>1</v>
      </c>
      <c r="X942">
        <v>1</v>
      </c>
      <c r="Y942">
        <v>1</v>
      </c>
      <c r="Z942">
        <v>20378.440644999999</v>
      </c>
    </row>
    <row r="943" spans="1:26" x14ac:dyDescent="0.25">
      <c r="A943">
        <v>77394</v>
      </c>
      <c r="B943" t="s">
        <v>146</v>
      </c>
      <c r="C943">
        <v>2019</v>
      </c>
      <c r="D943">
        <v>1</v>
      </c>
      <c r="E943" t="s">
        <v>415</v>
      </c>
      <c r="F943" t="s">
        <v>429</v>
      </c>
      <c r="G943" t="s">
        <v>430</v>
      </c>
      <c r="H943" t="s">
        <v>84</v>
      </c>
      <c r="I943" t="s">
        <v>431</v>
      </c>
      <c r="J943" t="s">
        <v>419</v>
      </c>
      <c r="K943">
        <v>-27545.988387140002</v>
      </c>
      <c r="L943" t="s">
        <v>85</v>
      </c>
      <c r="M943" t="s">
        <v>424</v>
      </c>
      <c r="N943">
        <v>2.9085775596699999E-3</v>
      </c>
      <c r="O943">
        <v>80.119643999999994</v>
      </c>
      <c r="P943" t="s">
        <v>421</v>
      </c>
      <c r="Q943">
        <v>1</v>
      </c>
      <c r="V943">
        <v>1</v>
      </c>
      <c r="W943">
        <v>1</v>
      </c>
      <c r="X943">
        <v>1</v>
      </c>
      <c r="Y943">
        <v>1</v>
      </c>
      <c r="Z943">
        <v>80.119643999999994</v>
      </c>
    </row>
    <row r="944" spans="1:26" x14ac:dyDescent="0.25">
      <c r="A944">
        <v>77395</v>
      </c>
      <c r="B944" t="s">
        <v>146</v>
      </c>
      <c r="C944">
        <v>2019</v>
      </c>
      <c r="D944">
        <v>1</v>
      </c>
      <c r="E944" t="s">
        <v>415</v>
      </c>
      <c r="F944" t="s">
        <v>429</v>
      </c>
      <c r="G944" t="s">
        <v>430</v>
      </c>
      <c r="H944" t="s">
        <v>84</v>
      </c>
      <c r="I944" t="s">
        <v>431</v>
      </c>
      <c r="J944" t="s">
        <v>419</v>
      </c>
      <c r="K944">
        <v>-27545.988387140002</v>
      </c>
      <c r="L944" t="s">
        <v>85</v>
      </c>
      <c r="M944" t="s">
        <v>425</v>
      </c>
      <c r="N944">
        <v>2.6170694898000001E-3</v>
      </c>
      <c r="O944">
        <v>72.089765999999997</v>
      </c>
      <c r="P944" t="s">
        <v>421</v>
      </c>
      <c r="Q944">
        <v>1</v>
      </c>
      <c r="V944">
        <v>1</v>
      </c>
      <c r="W944">
        <v>1</v>
      </c>
      <c r="X944">
        <v>1</v>
      </c>
      <c r="Y944">
        <v>1</v>
      </c>
      <c r="Z944">
        <v>72.089765999999997</v>
      </c>
    </row>
    <row r="945" spans="1:26" x14ac:dyDescent="0.25">
      <c r="A945">
        <v>77396</v>
      </c>
      <c r="B945" t="s">
        <v>146</v>
      </c>
      <c r="C945">
        <v>2019</v>
      </c>
      <c r="D945">
        <v>1</v>
      </c>
      <c r="E945" t="s">
        <v>415</v>
      </c>
      <c r="F945" t="s">
        <v>429</v>
      </c>
      <c r="G945" t="s">
        <v>430</v>
      </c>
      <c r="H945" t="s">
        <v>84</v>
      </c>
      <c r="I945" t="s">
        <v>432</v>
      </c>
      <c r="J945" t="s">
        <v>87</v>
      </c>
      <c r="K945">
        <v>-4550.1453192299996</v>
      </c>
      <c r="L945" t="s">
        <v>427</v>
      </c>
      <c r="M945" t="s">
        <v>420</v>
      </c>
      <c r="N945">
        <v>0.45523813654234002</v>
      </c>
      <c r="O945">
        <v>2071.399676</v>
      </c>
      <c r="P945" t="s">
        <v>421</v>
      </c>
      <c r="Q945">
        <v>1</v>
      </c>
      <c r="V945">
        <v>1</v>
      </c>
      <c r="W945">
        <v>1</v>
      </c>
      <c r="X945">
        <v>1</v>
      </c>
      <c r="Y945">
        <v>1</v>
      </c>
      <c r="Z945">
        <v>2071.399676</v>
      </c>
    </row>
    <row r="946" spans="1:26" x14ac:dyDescent="0.25">
      <c r="A946">
        <v>77397</v>
      </c>
      <c r="B946" t="s">
        <v>146</v>
      </c>
      <c r="C946">
        <v>2019</v>
      </c>
      <c r="D946">
        <v>1</v>
      </c>
      <c r="E946" t="s">
        <v>415</v>
      </c>
      <c r="F946" t="s">
        <v>429</v>
      </c>
      <c r="G946" t="s">
        <v>430</v>
      </c>
      <c r="H946" t="s">
        <v>84</v>
      </c>
      <c r="I946" t="s">
        <v>432</v>
      </c>
      <c r="J946" t="s">
        <v>87</v>
      </c>
      <c r="K946">
        <v>-4550.1453192299996</v>
      </c>
      <c r="L946" t="s">
        <v>427</v>
      </c>
      <c r="M946" t="s">
        <v>422</v>
      </c>
      <c r="N946">
        <v>6.8896616392329996E-2</v>
      </c>
      <c r="O946">
        <v>313.48961700000001</v>
      </c>
      <c r="P946" t="s">
        <v>421</v>
      </c>
      <c r="Q946">
        <v>1</v>
      </c>
      <c r="V946">
        <v>1</v>
      </c>
      <c r="W946">
        <v>1</v>
      </c>
      <c r="X946">
        <v>1</v>
      </c>
      <c r="Y946">
        <v>1</v>
      </c>
      <c r="Z946">
        <v>313.48961700000001</v>
      </c>
    </row>
    <row r="947" spans="1:26" x14ac:dyDescent="0.25">
      <c r="A947">
        <v>77398</v>
      </c>
      <c r="B947" t="s">
        <v>146</v>
      </c>
      <c r="C947">
        <v>2019</v>
      </c>
      <c r="D947">
        <v>1</v>
      </c>
      <c r="E947" t="s">
        <v>415</v>
      </c>
      <c r="F947" t="s">
        <v>429</v>
      </c>
      <c r="G947" t="s">
        <v>430</v>
      </c>
      <c r="H947" t="s">
        <v>84</v>
      </c>
      <c r="I947" t="s">
        <v>432</v>
      </c>
      <c r="J947" t="s">
        <v>87</v>
      </c>
      <c r="K947">
        <v>-4550.1453192299996</v>
      </c>
      <c r="L947" t="s">
        <v>427</v>
      </c>
      <c r="M947" t="s">
        <v>423</v>
      </c>
      <c r="N947">
        <v>0.70986919705586005</v>
      </c>
      <c r="O947">
        <v>3230.0080039999998</v>
      </c>
      <c r="P947" t="s">
        <v>421</v>
      </c>
      <c r="Q947">
        <v>1</v>
      </c>
      <c r="V947">
        <v>1</v>
      </c>
      <c r="W947">
        <v>1</v>
      </c>
      <c r="X947">
        <v>1</v>
      </c>
      <c r="Y947">
        <v>1</v>
      </c>
      <c r="Z947">
        <v>3230.0080039999998</v>
      </c>
    </row>
    <row r="948" spans="1:26" x14ac:dyDescent="0.25">
      <c r="A948">
        <v>77399</v>
      </c>
      <c r="B948" t="s">
        <v>146</v>
      </c>
      <c r="C948">
        <v>2019</v>
      </c>
      <c r="D948">
        <v>1</v>
      </c>
      <c r="E948" t="s">
        <v>415</v>
      </c>
      <c r="F948" t="s">
        <v>429</v>
      </c>
      <c r="G948" t="s">
        <v>430</v>
      </c>
      <c r="H948" t="s">
        <v>84</v>
      </c>
      <c r="I948" t="s">
        <v>432</v>
      </c>
      <c r="J948" t="s">
        <v>87</v>
      </c>
      <c r="K948">
        <v>-4550.1453192299996</v>
      </c>
      <c r="L948" t="s">
        <v>427</v>
      </c>
      <c r="M948" t="s">
        <v>425</v>
      </c>
      <c r="N948">
        <v>1.4965642882E-3</v>
      </c>
      <c r="O948">
        <v>6.8095850000000002</v>
      </c>
      <c r="P948" t="s">
        <v>421</v>
      </c>
      <c r="Q948">
        <v>1</v>
      </c>
      <c r="V948">
        <v>1</v>
      </c>
      <c r="W948">
        <v>1</v>
      </c>
      <c r="X948">
        <v>1</v>
      </c>
      <c r="Y948">
        <v>1</v>
      </c>
      <c r="Z948">
        <v>6.8095850000000002</v>
      </c>
    </row>
    <row r="949" spans="1:26" x14ac:dyDescent="0.25">
      <c r="A949">
        <v>77400</v>
      </c>
      <c r="B949" t="s">
        <v>146</v>
      </c>
      <c r="C949">
        <v>2019</v>
      </c>
      <c r="D949">
        <v>1</v>
      </c>
      <c r="E949" t="s">
        <v>415</v>
      </c>
      <c r="F949" t="s">
        <v>429</v>
      </c>
      <c r="G949" t="s">
        <v>430</v>
      </c>
      <c r="H949" t="s">
        <v>84</v>
      </c>
      <c r="I949" t="s">
        <v>433</v>
      </c>
      <c r="J949" t="s">
        <v>59</v>
      </c>
      <c r="K949">
        <v>-13675.39322321</v>
      </c>
      <c r="L949" t="s">
        <v>89</v>
      </c>
      <c r="M949" t="s">
        <v>420</v>
      </c>
      <c r="N949">
        <v>0.26343870574139999</v>
      </c>
      <c r="O949">
        <v>3602.6278910000001</v>
      </c>
      <c r="P949" t="s">
        <v>421</v>
      </c>
      <c r="Q949">
        <v>1</v>
      </c>
      <c r="V949">
        <v>1</v>
      </c>
      <c r="W949">
        <v>1</v>
      </c>
      <c r="X949">
        <v>1</v>
      </c>
      <c r="Y949">
        <v>1</v>
      </c>
      <c r="Z949">
        <v>3602.6278910000001</v>
      </c>
    </row>
    <row r="950" spans="1:26" x14ac:dyDescent="0.25">
      <c r="A950">
        <v>77401</v>
      </c>
      <c r="B950" t="s">
        <v>146</v>
      </c>
      <c r="C950">
        <v>2019</v>
      </c>
      <c r="D950">
        <v>1</v>
      </c>
      <c r="E950" t="s">
        <v>415</v>
      </c>
      <c r="F950" t="s">
        <v>429</v>
      </c>
      <c r="G950" t="s">
        <v>430</v>
      </c>
      <c r="H950" t="s">
        <v>84</v>
      </c>
      <c r="I950" t="s">
        <v>433</v>
      </c>
      <c r="J950" t="s">
        <v>59</v>
      </c>
      <c r="K950">
        <v>-13675.39322321</v>
      </c>
      <c r="L950" t="s">
        <v>89</v>
      </c>
      <c r="M950" t="s">
        <v>422</v>
      </c>
      <c r="N950">
        <v>7.1262429683470005E-2</v>
      </c>
      <c r="O950">
        <v>974.54174799999998</v>
      </c>
      <c r="P950" t="s">
        <v>421</v>
      </c>
      <c r="Q950">
        <v>1</v>
      </c>
      <c r="V950">
        <v>1</v>
      </c>
      <c r="W950">
        <v>1</v>
      </c>
      <c r="X950">
        <v>1</v>
      </c>
      <c r="Y950">
        <v>1</v>
      </c>
      <c r="Z950">
        <v>974.54174799999998</v>
      </c>
    </row>
    <row r="951" spans="1:26" x14ac:dyDescent="0.25">
      <c r="A951">
        <v>77402</v>
      </c>
      <c r="B951" t="s">
        <v>146</v>
      </c>
      <c r="C951">
        <v>2019</v>
      </c>
      <c r="D951">
        <v>1</v>
      </c>
      <c r="E951" t="s">
        <v>415</v>
      </c>
      <c r="F951" t="s">
        <v>429</v>
      </c>
      <c r="G951" t="s">
        <v>430</v>
      </c>
      <c r="H951" t="s">
        <v>84</v>
      </c>
      <c r="I951" t="s">
        <v>433</v>
      </c>
      <c r="J951" t="s">
        <v>59</v>
      </c>
      <c r="K951">
        <v>-13675.39322321</v>
      </c>
      <c r="L951" t="s">
        <v>89</v>
      </c>
      <c r="M951" t="s">
        <v>423</v>
      </c>
      <c r="N951">
        <v>0.74738783869542003</v>
      </c>
      <c r="O951">
        <v>10220.822584</v>
      </c>
      <c r="P951" t="s">
        <v>421</v>
      </c>
      <c r="Q951">
        <v>1</v>
      </c>
      <c r="V951">
        <v>1</v>
      </c>
      <c r="W951">
        <v>1</v>
      </c>
      <c r="X951">
        <v>1</v>
      </c>
      <c r="Y951">
        <v>1</v>
      </c>
      <c r="Z951">
        <v>10220.822584</v>
      </c>
    </row>
    <row r="952" spans="1:26" x14ac:dyDescent="0.25">
      <c r="A952">
        <v>77403</v>
      </c>
      <c r="B952" t="s">
        <v>146</v>
      </c>
      <c r="C952">
        <v>2019</v>
      </c>
      <c r="D952">
        <v>1</v>
      </c>
      <c r="E952" t="s">
        <v>415</v>
      </c>
      <c r="F952" t="s">
        <v>429</v>
      </c>
      <c r="G952" t="s">
        <v>430</v>
      </c>
      <c r="H952" t="s">
        <v>84</v>
      </c>
      <c r="I952" t="s">
        <v>433</v>
      </c>
      <c r="J952" t="s">
        <v>59</v>
      </c>
      <c r="K952">
        <v>-13675.39322321</v>
      </c>
      <c r="L952" t="s">
        <v>89</v>
      </c>
      <c r="M952" t="s">
        <v>424</v>
      </c>
      <c r="N952">
        <v>3.08071516317E-3</v>
      </c>
      <c r="O952">
        <v>42.129990999999997</v>
      </c>
      <c r="P952" t="s">
        <v>421</v>
      </c>
      <c r="Q952">
        <v>1</v>
      </c>
      <c r="V952">
        <v>1</v>
      </c>
      <c r="W952">
        <v>1</v>
      </c>
      <c r="X952">
        <v>1</v>
      </c>
      <c r="Y952">
        <v>1</v>
      </c>
      <c r="Z952">
        <v>42.129990999999997</v>
      </c>
    </row>
    <row r="953" spans="1:26" x14ac:dyDescent="0.25">
      <c r="A953">
        <v>77404</v>
      </c>
      <c r="B953" t="s">
        <v>146</v>
      </c>
      <c r="C953">
        <v>2019</v>
      </c>
      <c r="D953">
        <v>1</v>
      </c>
      <c r="E953" t="s">
        <v>415</v>
      </c>
      <c r="F953" t="s">
        <v>429</v>
      </c>
      <c r="G953" t="s">
        <v>430</v>
      </c>
      <c r="H953" t="s">
        <v>84</v>
      </c>
      <c r="I953" t="s">
        <v>433</v>
      </c>
      <c r="J953" t="s">
        <v>59</v>
      </c>
      <c r="K953">
        <v>-13675.39322321</v>
      </c>
      <c r="L953" t="s">
        <v>89</v>
      </c>
      <c r="M953" t="s">
        <v>425</v>
      </c>
      <c r="N953">
        <v>2.5360775708E-3</v>
      </c>
      <c r="O953">
        <v>34.681857999999998</v>
      </c>
      <c r="P953" t="s">
        <v>421</v>
      </c>
      <c r="Q953">
        <v>1</v>
      </c>
      <c r="V953">
        <v>1</v>
      </c>
      <c r="W953">
        <v>1</v>
      </c>
      <c r="X953">
        <v>1</v>
      </c>
      <c r="Y953">
        <v>1</v>
      </c>
      <c r="Z953">
        <v>34.681857999999998</v>
      </c>
    </row>
    <row r="954" spans="1:26" x14ac:dyDescent="0.25">
      <c r="A954">
        <v>77405</v>
      </c>
      <c r="B954" t="s">
        <v>146</v>
      </c>
      <c r="C954">
        <v>2019</v>
      </c>
      <c r="D954">
        <v>1</v>
      </c>
      <c r="E954" t="s">
        <v>415</v>
      </c>
      <c r="F954" t="s">
        <v>434</v>
      </c>
      <c r="G954" t="s">
        <v>435</v>
      </c>
      <c r="H954" t="s">
        <v>84</v>
      </c>
      <c r="I954" t="s">
        <v>436</v>
      </c>
      <c r="J954" t="s">
        <v>419</v>
      </c>
      <c r="K954">
        <v>-14252.813841339999</v>
      </c>
      <c r="L954" t="s">
        <v>85</v>
      </c>
      <c r="M954" t="s">
        <v>420</v>
      </c>
      <c r="N954">
        <v>0.24824931095561001</v>
      </c>
      <c r="O954">
        <v>3538.2512149999998</v>
      </c>
      <c r="P954" t="s">
        <v>421</v>
      </c>
      <c r="Q954">
        <v>1</v>
      </c>
      <c r="V954">
        <v>1</v>
      </c>
      <c r="W954">
        <v>1</v>
      </c>
      <c r="X954">
        <v>1</v>
      </c>
      <c r="Y954">
        <v>1</v>
      </c>
      <c r="Z954">
        <v>3538.2512149999998</v>
      </c>
    </row>
    <row r="955" spans="1:26" x14ac:dyDescent="0.25">
      <c r="A955">
        <v>77406</v>
      </c>
      <c r="B955" t="s">
        <v>146</v>
      </c>
      <c r="C955">
        <v>2019</v>
      </c>
      <c r="D955">
        <v>1</v>
      </c>
      <c r="E955" t="s">
        <v>415</v>
      </c>
      <c r="F955" t="s">
        <v>434</v>
      </c>
      <c r="G955" t="s">
        <v>435</v>
      </c>
      <c r="H955" t="s">
        <v>84</v>
      </c>
      <c r="I955" t="s">
        <v>436</v>
      </c>
      <c r="J955" t="s">
        <v>419</v>
      </c>
      <c r="K955">
        <v>-14252.813841339999</v>
      </c>
      <c r="L955" t="s">
        <v>85</v>
      </c>
      <c r="M955" t="s">
        <v>422</v>
      </c>
      <c r="N955">
        <v>7.7540047892240005E-2</v>
      </c>
      <c r="O955">
        <v>1105.1638680000001</v>
      </c>
      <c r="P955" t="s">
        <v>421</v>
      </c>
      <c r="Q955">
        <v>1</v>
      </c>
      <c r="V955">
        <v>1</v>
      </c>
      <c r="W955">
        <v>1</v>
      </c>
      <c r="X955">
        <v>1</v>
      </c>
      <c r="Y955">
        <v>1</v>
      </c>
      <c r="Z955">
        <v>1105.1638680000001</v>
      </c>
    </row>
    <row r="956" spans="1:26" x14ac:dyDescent="0.25">
      <c r="A956">
        <v>77407</v>
      </c>
      <c r="B956" t="s">
        <v>146</v>
      </c>
      <c r="C956">
        <v>2019</v>
      </c>
      <c r="D956">
        <v>1</v>
      </c>
      <c r="E956" t="s">
        <v>415</v>
      </c>
      <c r="F956" t="s">
        <v>434</v>
      </c>
      <c r="G956" t="s">
        <v>435</v>
      </c>
      <c r="H956" t="s">
        <v>84</v>
      </c>
      <c r="I956" t="s">
        <v>436</v>
      </c>
      <c r="J956" t="s">
        <v>419</v>
      </c>
      <c r="K956">
        <v>-14252.813841339999</v>
      </c>
      <c r="L956" t="s">
        <v>85</v>
      </c>
      <c r="M956" t="s">
        <v>423</v>
      </c>
      <c r="N956">
        <v>0.73979703899049998</v>
      </c>
      <c r="O956">
        <v>10544.189477</v>
      </c>
      <c r="P956" t="s">
        <v>421</v>
      </c>
      <c r="Q956">
        <v>1</v>
      </c>
      <c r="V956">
        <v>1</v>
      </c>
      <c r="W956">
        <v>1</v>
      </c>
      <c r="X956">
        <v>1</v>
      </c>
      <c r="Y956">
        <v>1</v>
      </c>
      <c r="Z956">
        <v>10544.189477</v>
      </c>
    </row>
    <row r="957" spans="1:26" x14ac:dyDescent="0.25">
      <c r="A957">
        <v>77408</v>
      </c>
      <c r="B957" t="s">
        <v>146</v>
      </c>
      <c r="C957">
        <v>2019</v>
      </c>
      <c r="D957">
        <v>1</v>
      </c>
      <c r="E957" t="s">
        <v>415</v>
      </c>
      <c r="F957" t="s">
        <v>434</v>
      </c>
      <c r="G957" t="s">
        <v>435</v>
      </c>
      <c r="H957" t="s">
        <v>84</v>
      </c>
      <c r="I957" t="s">
        <v>436</v>
      </c>
      <c r="J957" t="s">
        <v>419</v>
      </c>
      <c r="K957">
        <v>-14252.813841339999</v>
      </c>
      <c r="L957" t="s">
        <v>85</v>
      </c>
      <c r="M957" t="s">
        <v>424</v>
      </c>
      <c r="N957">
        <v>2.9085775596699999E-3</v>
      </c>
      <c r="O957">
        <v>41.455415000000002</v>
      </c>
      <c r="P957" t="s">
        <v>421</v>
      </c>
      <c r="Q957">
        <v>1</v>
      </c>
      <c r="V957">
        <v>1</v>
      </c>
      <c r="W957">
        <v>1</v>
      </c>
      <c r="X957">
        <v>1</v>
      </c>
      <c r="Y957">
        <v>1</v>
      </c>
      <c r="Z957">
        <v>41.455415000000002</v>
      </c>
    </row>
    <row r="958" spans="1:26" x14ac:dyDescent="0.25">
      <c r="A958">
        <v>77409</v>
      </c>
      <c r="B958" t="s">
        <v>146</v>
      </c>
      <c r="C958">
        <v>2019</v>
      </c>
      <c r="D958">
        <v>1</v>
      </c>
      <c r="E958" t="s">
        <v>415</v>
      </c>
      <c r="F958" t="s">
        <v>434</v>
      </c>
      <c r="G958" t="s">
        <v>435</v>
      </c>
      <c r="H958" t="s">
        <v>84</v>
      </c>
      <c r="I958" t="s">
        <v>436</v>
      </c>
      <c r="J958" t="s">
        <v>419</v>
      </c>
      <c r="K958">
        <v>-14252.813841339999</v>
      </c>
      <c r="L958" t="s">
        <v>85</v>
      </c>
      <c r="M958" t="s">
        <v>425</v>
      </c>
      <c r="N958">
        <v>2.6170694898000001E-3</v>
      </c>
      <c r="O958">
        <v>37.300604</v>
      </c>
      <c r="P958" t="s">
        <v>421</v>
      </c>
      <c r="Q958">
        <v>1</v>
      </c>
      <c r="V958">
        <v>1</v>
      </c>
      <c r="W958">
        <v>1</v>
      </c>
      <c r="X958">
        <v>1</v>
      </c>
      <c r="Y958">
        <v>1</v>
      </c>
      <c r="Z958">
        <v>37.300604</v>
      </c>
    </row>
    <row r="959" spans="1:26" x14ac:dyDescent="0.25">
      <c r="A959">
        <v>77410</v>
      </c>
      <c r="B959" t="s">
        <v>146</v>
      </c>
      <c r="C959">
        <v>2019</v>
      </c>
      <c r="D959">
        <v>1</v>
      </c>
      <c r="E959" t="s">
        <v>415</v>
      </c>
      <c r="F959" t="s">
        <v>434</v>
      </c>
      <c r="G959" t="s">
        <v>435</v>
      </c>
      <c r="H959" t="s">
        <v>84</v>
      </c>
      <c r="I959" t="s">
        <v>437</v>
      </c>
      <c r="J959" t="s">
        <v>87</v>
      </c>
      <c r="K959">
        <v>-2565.2903165299999</v>
      </c>
      <c r="L959" t="s">
        <v>427</v>
      </c>
      <c r="M959" t="s">
        <v>420</v>
      </c>
      <c r="N959">
        <v>0.45523813654234002</v>
      </c>
      <c r="O959">
        <v>1167.8179829999999</v>
      </c>
      <c r="P959" t="s">
        <v>421</v>
      </c>
      <c r="Q959">
        <v>1</v>
      </c>
      <c r="V959">
        <v>1</v>
      </c>
      <c r="W959">
        <v>1</v>
      </c>
      <c r="X959">
        <v>1</v>
      </c>
      <c r="Y959">
        <v>1</v>
      </c>
      <c r="Z959">
        <v>1167.8179829999999</v>
      </c>
    </row>
    <row r="960" spans="1:26" x14ac:dyDescent="0.25">
      <c r="A960">
        <v>77411</v>
      </c>
      <c r="B960" t="s">
        <v>146</v>
      </c>
      <c r="C960">
        <v>2019</v>
      </c>
      <c r="D960">
        <v>1</v>
      </c>
      <c r="E960" t="s">
        <v>415</v>
      </c>
      <c r="F960" t="s">
        <v>434</v>
      </c>
      <c r="G960" t="s">
        <v>435</v>
      </c>
      <c r="H960" t="s">
        <v>84</v>
      </c>
      <c r="I960" t="s">
        <v>437</v>
      </c>
      <c r="J960" t="s">
        <v>87</v>
      </c>
      <c r="K960">
        <v>-2565.2903165299999</v>
      </c>
      <c r="L960" t="s">
        <v>427</v>
      </c>
      <c r="M960" t="s">
        <v>422</v>
      </c>
      <c r="N960">
        <v>6.8896616392329996E-2</v>
      </c>
      <c r="O960">
        <v>176.739823</v>
      </c>
      <c r="P960" t="s">
        <v>421</v>
      </c>
      <c r="Q960">
        <v>1</v>
      </c>
      <c r="V960">
        <v>1</v>
      </c>
      <c r="W960">
        <v>1</v>
      </c>
      <c r="X960">
        <v>1</v>
      </c>
      <c r="Y960">
        <v>1</v>
      </c>
      <c r="Z960">
        <v>176.739823</v>
      </c>
    </row>
    <row r="961" spans="1:26" x14ac:dyDescent="0.25">
      <c r="A961">
        <v>77412</v>
      </c>
      <c r="B961" t="s">
        <v>146</v>
      </c>
      <c r="C961">
        <v>2019</v>
      </c>
      <c r="D961">
        <v>1</v>
      </c>
      <c r="E961" t="s">
        <v>415</v>
      </c>
      <c r="F961" t="s">
        <v>434</v>
      </c>
      <c r="G961" t="s">
        <v>435</v>
      </c>
      <c r="H961" t="s">
        <v>84</v>
      </c>
      <c r="I961" t="s">
        <v>437</v>
      </c>
      <c r="J961" t="s">
        <v>87</v>
      </c>
      <c r="K961">
        <v>-2565.2903165299999</v>
      </c>
      <c r="L961" t="s">
        <v>427</v>
      </c>
      <c r="M961" t="s">
        <v>423</v>
      </c>
      <c r="N961">
        <v>0.70986919705586005</v>
      </c>
      <c r="O961">
        <v>1821.020577</v>
      </c>
      <c r="P961" t="s">
        <v>421</v>
      </c>
      <c r="Q961">
        <v>1</v>
      </c>
      <c r="V961">
        <v>1</v>
      </c>
      <c r="W961">
        <v>1</v>
      </c>
      <c r="X961">
        <v>1</v>
      </c>
      <c r="Y961">
        <v>1</v>
      </c>
      <c r="Z961">
        <v>1821.020577</v>
      </c>
    </row>
    <row r="962" spans="1:26" x14ac:dyDescent="0.25">
      <c r="A962">
        <v>77413</v>
      </c>
      <c r="B962" t="s">
        <v>146</v>
      </c>
      <c r="C962">
        <v>2019</v>
      </c>
      <c r="D962">
        <v>1</v>
      </c>
      <c r="E962" t="s">
        <v>415</v>
      </c>
      <c r="F962" t="s">
        <v>434</v>
      </c>
      <c r="G962" t="s">
        <v>435</v>
      </c>
      <c r="H962" t="s">
        <v>84</v>
      </c>
      <c r="I962" t="s">
        <v>437</v>
      </c>
      <c r="J962" t="s">
        <v>87</v>
      </c>
      <c r="K962">
        <v>-2565.2903165299999</v>
      </c>
      <c r="L962" t="s">
        <v>427</v>
      </c>
      <c r="M962" t="s">
        <v>425</v>
      </c>
      <c r="N962">
        <v>1.4965642882E-3</v>
      </c>
      <c r="O962">
        <v>3.8391220000000001</v>
      </c>
      <c r="P962" t="s">
        <v>421</v>
      </c>
      <c r="Q962">
        <v>1</v>
      </c>
      <c r="V962">
        <v>1</v>
      </c>
      <c r="W962">
        <v>1</v>
      </c>
      <c r="X962">
        <v>1</v>
      </c>
      <c r="Y962">
        <v>1</v>
      </c>
      <c r="Z962">
        <v>3.8391220000000001</v>
      </c>
    </row>
    <row r="963" spans="1:26" x14ac:dyDescent="0.25">
      <c r="A963">
        <v>77414</v>
      </c>
      <c r="B963" t="s">
        <v>146</v>
      </c>
      <c r="C963">
        <v>2019</v>
      </c>
      <c r="D963">
        <v>1</v>
      </c>
      <c r="E963" t="s">
        <v>415</v>
      </c>
      <c r="F963" t="s">
        <v>434</v>
      </c>
      <c r="G963" t="s">
        <v>435</v>
      </c>
      <c r="H963" t="s">
        <v>84</v>
      </c>
      <c r="I963" t="s">
        <v>438</v>
      </c>
      <c r="J963" t="s">
        <v>59</v>
      </c>
      <c r="K963">
        <v>-7467.2087550300002</v>
      </c>
      <c r="L963" t="s">
        <v>89</v>
      </c>
      <c r="M963" t="s">
        <v>420</v>
      </c>
      <c r="N963">
        <v>0.26343870574139999</v>
      </c>
      <c r="O963">
        <v>1967.1518100000001</v>
      </c>
      <c r="P963" t="s">
        <v>421</v>
      </c>
      <c r="Q963">
        <v>1</v>
      </c>
      <c r="V963">
        <v>1</v>
      </c>
      <c r="W963">
        <v>1</v>
      </c>
      <c r="X963">
        <v>1</v>
      </c>
      <c r="Y963">
        <v>1</v>
      </c>
      <c r="Z963">
        <v>1967.1518100000001</v>
      </c>
    </row>
    <row r="964" spans="1:26" x14ac:dyDescent="0.25">
      <c r="A964">
        <v>77415</v>
      </c>
      <c r="B964" t="s">
        <v>146</v>
      </c>
      <c r="C964">
        <v>2019</v>
      </c>
      <c r="D964">
        <v>1</v>
      </c>
      <c r="E964" t="s">
        <v>415</v>
      </c>
      <c r="F964" t="s">
        <v>434</v>
      </c>
      <c r="G964" t="s">
        <v>435</v>
      </c>
      <c r="H964" t="s">
        <v>84</v>
      </c>
      <c r="I964" t="s">
        <v>438</v>
      </c>
      <c r="J964" t="s">
        <v>59</v>
      </c>
      <c r="K964">
        <v>-7467.2087550300002</v>
      </c>
      <c r="L964" t="s">
        <v>89</v>
      </c>
      <c r="M964" t="s">
        <v>422</v>
      </c>
      <c r="N964">
        <v>7.1262429683470005E-2</v>
      </c>
      <c r="O964">
        <v>532.131439</v>
      </c>
      <c r="P964" t="s">
        <v>421</v>
      </c>
      <c r="Q964">
        <v>1</v>
      </c>
      <c r="V964">
        <v>1</v>
      </c>
      <c r="W964">
        <v>1</v>
      </c>
      <c r="X964">
        <v>1</v>
      </c>
      <c r="Y964">
        <v>1</v>
      </c>
      <c r="Z964">
        <v>532.131439</v>
      </c>
    </row>
    <row r="965" spans="1:26" x14ac:dyDescent="0.25">
      <c r="A965">
        <v>77416</v>
      </c>
      <c r="B965" t="s">
        <v>146</v>
      </c>
      <c r="C965">
        <v>2019</v>
      </c>
      <c r="D965">
        <v>1</v>
      </c>
      <c r="E965" t="s">
        <v>415</v>
      </c>
      <c r="F965" t="s">
        <v>434</v>
      </c>
      <c r="G965" t="s">
        <v>435</v>
      </c>
      <c r="H965" t="s">
        <v>84</v>
      </c>
      <c r="I965" t="s">
        <v>438</v>
      </c>
      <c r="J965" t="s">
        <v>59</v>
      </c>
      <c r="K965">
        <v>-7467.2087550300002</v>
      </c>
      <c r="L965" t="s">
        <v>89</v>
      </c>
      <c r="M965" t="s">
        <v>423</v>
      </c>
      <c r="N965">
        <v>0.74738783869542003</v>
      </c>
      <c r="O965">
        <v>5580.9010129999997</v>
      </c>
      <c r="P965" t="s">
        <v>421</v>
      </c>
      <c r="Q965">
        <v>1</v>
      </c>
      <c r="V965">
        <v>1</v>
      </c>
      <c r="W965">
        <v>1</v>
      </c>
      <c r="X965">
        <v>1</v>
      </c>
      <c r="Y965">
        <v>1</v>
      </c>
      <c r="Z965">
        <v>5580.9010129999997</v>
      </c>
    </row>
    <row r="966" spans="1:26" x14ac:dyDescent="0.25">
      <c r="A966">
        <v>77417</v>
      </c>
      <c r="B966" t="s">
        <v>146</v>
      </c>
      <c r="C966">
        <v>2019</v>
      </c>
      <c r="D966">
        <v>1</v>
      </c>
      <c r="E966" t="s">
        <v>415</v>
      </c>
      <c r="F966" t="s">
        <v>434</v>
      </c>
      <c r="G966" t="s">
        <v>435</v>
      </c>
      <c r="H966" t="s">
        <v>84</v>
      </c>
      <c r="I966" t="s">
        <v>438</v>
      </c>
      <c r="J966" t="s">
        <v>59</v>
      </c>
      <c r="K966">
        <v>-7467.2087550300002</v>
      </c>
      <c r="L966" t="s">
        <v>89</v>
      </c>
      <c r="M966" t="s">
        <v>424</v>
      </c>
      <c r="N966">
        <v>3.08071516317E-3</v>
      </c>
      <c r="O966">
        <v>23.004342999999999</v>
      </c>
      <c r="P966" t="s">
        <v>421</v>
      </c>
      <c r="Q966">
        <v>1</v>
      </c>
      <c r="V966">
        <v>1</v>
      </c>
      <c r="W966">
        <v>1</v>
      </c>
      <c r="X966">
        <v>1</v>
      </c>
      <c r="Y966">
        <v>1</v>
      </c>
      <c r="Z966">
        <v>23.004342999999999</v>
      </c>
    </row>
    <row r="967" spans="1:26" x14ac:dyDescent="0.25">
      <c r="A967">
        <v>77418</v>
      </c>
      <c r="B967" t="s">
        <v>146</v>
      </c>
      <c r="C967">
        <v>2019</v>
      </c>
      <c r="D967">
        <v>1</v>
      </c>
      <c r="E967" t="s">
        <v>415</v>
      </c>
      <c r="F967" t="s">
        <v>434</v>
      </c>
      <c r="G967" t="s">
        <v>435</v>
      </c>
      <c r="H967" t="s">
        <v>84</v>
      </c>
      <c r="I967" t="s">
        <v>438</v>
      </c>
      <c r="J967" t="s">
        <v>59</v>
      </c>
      <c r="K967">
        <v>-7467.2087550300002</v>
      </c>
      <c r="L967" t="s">
        <v>89</v>
      </c>
      <c r="M967" t="s">
        <v>425</v>
      </c>
      <c r="N967">
        <v>2.5360775708E-3</v>
      </c>
      <c r="O967">
        <v>18.937421000000001</v>
      </c>
      <c r="P967" t="s">
        <v>421</v>
      </c>
      <c r="Q967">
        <v>1</v>
      </c>
      <c r="V967">
        <v>1</v>
      </c>
      <c r="W967">
        <v>1</v>
      </c>
      <c r="X967">
        <v>1</v>
      </c>
      <c r="Y967">
        <v>1</v>
      </c>
      <c r="Z967">
        <v>18.937421000000001</v>
      </c>
    </row>
    <row r="968" spans="1:26" x14ac:dyDescent="0.25">
      <c r="A968">
        <v>132061</v>
      </c>
      <c r="B968" t="s">
        <v>230</v>
      </c>
      <c r="C968">
        <v>2020</v>
      </c>
      <c r="D968">
        <v>1</v>
      </c>
      <c r="E968" t="s">
        <v>415</v>
      </c>
      <c r="F968" t="s">
        <v>416</v>
      </c>
      <c r="G968" t="s">
        <v>417</v>
      </c>
      <c r="H968" t="s">
        <v>84</v>
      </c>
      <c r="I968" t="s">
        <v>418</v>
      </c>
      <c r="J968" t="s">
        <v>419</v>
      </c>
      <c r="K968">
        <v>-41172.233914440003</v>
      </c>
      <c r="L968" t="s">
        <v>85</v>
      </c>
      <c r="M968" t="s">
        <v>420</v>
      </c>
      <c r="N968">
        <v>0.24824931095561001</v>
      </c>
      <c r="O968">
        <v>10220.9787</v>
      </c>
      <c r="P968" t="s">
        <v>421</v>
      </c>
      <c r="Q968">
        <v>1</v>
      </c>
      <c r="V968">
        <v>1</v>
      </c>
      <c r="W968">
        <v>1</v>
      </c>
      <c r="X968">
        <v>1</v>
      </c>
      <c r="Y968">
        <v>1</v>
      </c>
      <c r="Z968">
        <v>10220.9787</v>
      </c>
    </row>
    <row r="969" spans="1:26" x14ac:dyDescent="0.25">
      <c r="A969">
        <v>132062</v>
      </c>
      <c r="B969" t="s">
        <v>230</v>
      </c>
      <c r="C969">
        <v>2020</v>
      </c>
      <c r="D969">
        <v>1</v>
      </c>
      <c r="E969" t="s">
        <v>415</v>
      </c>
      <c r="F969" t="s">
        <v>416</v>
      </c>
      <c r="G969" t="s">
        <v>417</v>
      </c>
      <c r="H969" t="s">
        <v>84</v>
      </c>
      <c r="I969" t="s">
        <v>418</v>
      </c>
      <c r="J969" t="s">
        <v>419</v>
      </c>
      <c r="K969">
        <v>-41172.233914440003</v>
      </c>
      <c r="L969" t="s">
        <v>85</v>
      </c>
      <c r="M969" t="s">
        <v>422</v>
      </c>
      <c r="N969">
        <v>7.7540047892240005E-2</v>
      </c>
      <c r="O969">
        <v>3192.4969900000001</v>
      </c>
      <c r="P969" t="s">
        <v>421</v>
      </c>
      <c r="Q969">
        <v>1</v>
      </c>
      <c r="V969">
        <v>1</v>
      </c>
      <c r="W969">
        <v>1</v>
      </c>
      <c r="X969">
        <v>1</v>
      </c>
      <c r="Y969">
        <v>1</v>
      </c>
      <c r="Z969">
        <v>3192.4969900000001</v>
      </c>
    </row>
    <row r="970" spans="1:26" x14ac:dyDescent="0.25">
      <c r="A970">
        <v>132063</v>
      </c>
      <c r="B970" t="s">
        <v>230</v>
      </c>
      <c r="C970">
        <v>2020</v>
      </c>
      <c r="D970">
        <v>1</v>
      </c>
      <c r="E970" t="s">
        <v>415</v>
      </c>
      <c r="F970" t="s">
        <v>416</v>
      </c>
      <c r="G970" t="s">
        <v>417</v>
      </c>
      <c r="H970" t="s">
        <v>84</v>
      </c>
      <c r="I970" t="s">
        <v>418</v>
      </c>
      <c r="J970" t="s">
        <v>419</v>
      </c>
      <c r="K970">
        <v>-41172.233914440003</v>
      </c>
      <c r="L970" t="s">
        <v>85</v>
      </c>
      <c r="M970" t="s">
        <v>423</v>
      </c>
      <c r="N970">
        <v>0.73979703899049998</v>
      </c>
      <c r="O970">
        <v>30459.096739000001</v>
      </c>
      <c r="P970" t="s">
        <v>421</v>
      </c>
      <c r="Q970">
        <v>1</v>
      </c>
      <c r="V970">
        <v>1</v>
      </c>
      <c r="W970">
        <v>1</v>
      </c>
      <c r="X970">
        <v>1</v>
      </c>
      <c r="Y970">
        <v>1</v>
      </c>
      <c r="Z970">
        <v>30459.096739000001</v>
      </c>
    </row>
    <row r="971" spans="1:26" x14ac:dyDescent="0.25">
      <c r="A971">
        <v>132064</v>
      </c>
      <c r="B971" t="s">
        <v>230</v>
      </c>
      <c r="C971">
        <v>2020</v>
      </c>
      <c r="D971">
        <v>1</v>
      </c>
      <c r="E971" t="s">
        <v>415</v>
      </c>
      <c r="F971" t="s">
        <v>416</v>
      </c>
      <c r="G971" t="s">
        <v>417</v>
      </c>
      <c r="H971" t="s">
        <v>84</v>
      </c>
      <c r="I971" t="s">
        <v>418</v>
      </c>
      <c r="J971" t="s">
        <v>419</v>
      </c>
      <c r="K971">
        <v>-41172.233914440003</v>
      </c>
      <c r="L971" t="s">
        <v>85</v>
      </c>
      <c r="M971" t="s">
        <v>424</v>
      </c>
      <c r="N971">
        <v>2.9085775596699999E-3</v>
      </c>
      <c r="O971">
        <v>119.752636</v>
      </c>
      <c r="P971" t="s">
        <v>421</v>
      </c>
      <c r="Q971">
        <v>1</v>
      </c>
      <c r="V971">
        <v>1</v>
      </c>
      <c r="W971">
        <v>1</v>
      </c>
      <c r="X971">
        <v>1</v>
      </c>
      <c r="Y971">
        <v>1</v>
      </c>
      <c r="Z971">
        <v>119.752636</v>
      </c>
    </row>
    <row r="972" spans="1:26" x14ac:dyDescent="0.25">
      <c r="A972">
        <v>132065</v>
      </c>
      <c r="B972" t="s">
        <v>230</v>
      </c>
      <c r="C972">
        <v>2020</v>
      </c>
      <c r="D972">
        <v>1</v>
      </c>
      <c r="E972" t="s">
        <v>415</v>
      </c>
      <c r="F972" t="s">
        <v>416</v>
      </c>
      <c r="G972" t="s">
        <v>417</v>
      </c>
      <c r="H972" t="s">
        <v>84</v>
      </c>
      <c r="I972" t="s">
        <v>418</v>
      </c>
      <c r="J972" t="s">
        <v>419</v>
      </c>
      <c r="K972">
        <v>-41172.233914440003</v>
      </c>
      <c r="L972" t="s">
        <v>85</v>
      </c>
      <c r="M972" t="s">
        <v>425</v>
      </c>
      <c r="N972">
        <v>2.6170694898000001E-3</v>
      </c>
      <c r="O972">
        <v>107.750597</v>
      </c>
      <c r="P972" t="s">
        <v>421</v>
      </c>
      <c r="Q972">
        <v>1</v>
      </c>
      <c r="V972">
        <v>1</v>
      </c>
      <c r="W972">
        <v>1</v>
      </c>
      <c r="X972">
        <v>1</v>
      </c>
      <c r="Y972">
        <v>1</v>
      </c>
      <c r="Z972">
        <v>107.750597</v>
      </c>
    </row>
    <row r="973" spans="1:26" x14ac:dyDescent="0.25">
      <c r="A973">
        <v>132066</v>
      </c>
      <c r="B973" t="s">
        <v>230</v>
      </c>
      <c r="C973">
        <v>2020</v>
      </c>
      <c r="D973">
        <v>1</v>
      </c>
      <c r="E973" t="s">
        <v>415</v>
      </c>
      <c r="F973" t="s">
        <v>416</v>
      </c>
      <c r="G973" t="s">
        <v>417</v>
      </c>
      <c r="H973" t="s">
        <v>84</v>
      </c>
      <c r="I973" t="s">
        <v>426</v>
      </c>
      <c r="J973" t="s">
        <v>87</v>
      </c>
      <c r="K973">
        <v>-8393.1380617899995</v>
      </c>
      <c r="L973" t="s">
        <v>427</v>
      </c>
      <c r="M973" t="s">
        <v>420</v>
      </c>
      <c r="N973">
        <v>0.45523813654234002</v>
      </c>
      <c r="O973">
        <v>3820.8765309999999</v>
      </c>
      <c r="P973" t="s">
        <v>421</v>
      </c>
      <c r="Q973">
        <v>1</v>
      </c>
      <c r="V973">
        <v>1</v>
      </c>
      <c r="W973">
        <v>1</v>
      </c>
      <c r="X973">
        <v>1</v>
      </c>
      <c r="Y973">
        <v>1</v>
      </c>
      <c r="Z973">
        <v>3820.8765309999999</v>
      </c>
    </row>
    <row r="974" spans="1:26" x14ac:dyDescent="0.25">
      <c r="A974">
        <v>132067</v>
      </c>
      <c r="B974" t="s">
        <v>230</v>
      </c>
      <c r="C974">
        <v>2020</v>
      </c>
      <c r="D974">
        <v>1</v>
      </c>
      <c r="E974" t="s">
        <v>415</v>
      </c>
      <c r="F974" t="s">
        <v>416</v>
      </c>
      <c r="G974" t="s">
        <v>417</v>
      </c>
      <c r="H974" t="s">
        <v>84</v>
      </c>
      <c r="I974" t="s">
        <v>426</v>
      </c>
      <c r="J974" t="s">
        <v>87</v>
      </c>
      <c r="K974">
        <v>-8393.1380617899995</v>
      </c>
      <c r="L974" t="s">
        <v>427</v>
      </c>
      <c r="M974" t="s">
        <v>422</v>
      </c>
      <c r="N974">
        <v>6.8896616392329996E-2</v>
      </c>
      <c r="O974">
        <v>578.25881300000003</v>
      </c>
      <c r="P974" t="s">
        <v>421</v>
      </c>
      <c r="Q974">
        <v>1</v>
      </c>
      <c r="V974">
        <v>1</v>
      </c>
      <c r="W974">
        <v>1</v>
      </c>
      <c r="X974">
        <v>1</v>
      </c>
      <c r="Y974">
        <v>1</v>
      </c>
      <c r="Z974">
        <v>578.25881300000003</v>
      </c>
    </row>
    <row r="975" spans="1:26" x14ac:dyDescent="0.25">
      <c r="A975">
        <v>132068</v>
      </c>
      <c r="B975" t="s">
        <v>230</v>
      </c>
      <c r="C975">
        <v>2020</v>
      </c>
      <c r="D975">
        <v>1</v>
      </c>
      <c r="E975" t="s">
        <v>415</v>
      </c>
      <c r="F975" t="s">
        <v>416</v>
      </c>
      <c r="G975" t="s">
        <v>417</v>
      </c>
      <c r="H975" t="s">
        <v>84</v>
      </c>
      <c r="I975" t="s">
        <v>426</v>
      </c>
      <c r="J975" t="s">
        <v>87</v>
      </c>
      <c r="K975">
        <v>-8393.1380617899995</v>
      </c>
      <c r="L975" t="s">
        <v>427</v>
      </c>
      <c r="M975" t="s">
        <v>423</v>
      </c>
      <c r="N975">
        <v>0.70986919705586005</v>
      </c>
      <c r="O975">
        <v>5958.0301769999996</v>
      </c>
      <c r="P975" t="s">
        <v>421</v>
      </c>
      <c r="Q975">
        <v>1</v>
      </c>
      <c r="V975">
        <v>1</v>
      </c>
      <c r="W975">
        <v>1</v>
      </c>
      <c r="X975">
        <v>1</v>
      </c>
      <c r="Y975">
        <v>1</v>
      </c>
      <c r="Z975">
        <v>5958.0301769999996</v>
      </c>
    </row>
    <row r="976" spans="1:26" x14ac:dyDescent="0.25">
      <c r="A976">
        <v>132069</v>
      </c>
      <c r="B976" t="s">
        <v>230</v>
      </c>
      <c r="C976">
        <v>2020</v>
      </c>
      <c r="D976">
        <v>1</v>
      </c>
      <c r="E976" t="s">
        <v>415</v>
      </c>
      <c r="F976" t="s">
        <v>416</v>
      </c>
      <c r="G976" t="s">
        <v>417</v>
      </c>
      <c r="H976" t="s">
        <v>84</v>
      </c>
      <c r="I976" t="s">
        <v>426</v>
      </c>
      <c r="J976" t="s">
        <v>87</v>
      </c>
      <c r="K976">
        <v>-8393.1380617899995</v>
      </c>
      <c r="L976" t="s">
        <v>427</v>
      </c>
      <c r="M976" t="s">
        <v>425</v>
      </c>
      <c r="N976">
        <v>1.4965642882E-3</v>
      </c>
      <c r="O976">
        <v>12.560871000000001</v>
      </c>
      <c r="P976" t="s">
        <v>421</v>
      </c>
      <c r="Q976">
        <v>1</v>
      </c>
      <c r="V976">
        <v>1</v>
      </c>
      <c r="W976">
        <v>1</v>
      </c>
      <c r="X976">
        <v>1</v>
      </c>
      <c r="Y976">
        <v>1</v>
      </c>
      <c r="Z976">
        <v>12.560871000000001</v>
      </c>
    </row>
    <row r="977" spans="1:26" x14ac:dyDescent="0.25">
      <c r="A977">
        <v>132070</v>
      </c>
      <c r="B977" t="s">
        <v>230</v>
      </c>
      <c r="C977">
        <v>2020</v>
      </c>
      <c r="D977">
        <v>1</v>
      </c>
      <c r="E977" t="s">
        <v>415</v>
      </c>
      <c r="F977" t="s">
        <v>416</v>
      </c>
      <c r="G977" t="s">
        <v>417</v>
      </c>
      <c r="H977" t="s">
        <v>84</v>
      </c>
      <c r="I977" t="s">
        <v>428</v>
      </c>
      <c r="J977" t="s">
        <v>59</v>
      </c>
      <c r="K977">
        <v>-28511.56978672</v>
      </c>
      <c r="L977" t="s">
        <v>89</v>
      </c>
      <c r="M977" t="s">
        <v>420</v>
      </c>
      <c r="N977">
        <v>0.26343870574139999</v>
      </c>
      <c r="O977">
        <v>7511.0510430000004</v>
      </c>
      <c r="P977" t="s">
        <v>421</v>
      </c>
      <c r="Q977">
        <v>1</v>
      </c>
      <c r="V977">
        <v>1</v>
      </c>
      <c r="W977">
        <v>1</v>
      </c>
      <c r="X977">
        <v>1</v>
      </c>
      <c r="Y977">
        <v>1</v>
      </c>
      <c r="Z977">
        <v>7511.0510430000004</v>
      </c>
    </row>
    <row r="978" spans="1:26" x14ac:dyDescent="0.25">
      <c r="A978">
        <v>132071</v>
      </c>
      <c r="B978" t="s">
        <v>230</v>
      </c>
      <c r="C978">
        <v>2020</v>
      </c>
      <c r="D978">
        <v>1</v>
      </c>
      <c r="E978" t="s">
        <v>415</v>
      </c>
      <c r="F978" t="s">
        <v>416</v>
      </c>
      <c r="G978" t="s">
        <v>417</v>
      </c>
      <c r="H978" t="s">
        <v>84</v>
      </c>
      <c r="I978" t="s">
        <v>428</v>
      </c>
      <c r="J978" t="s">
        <v>59</v>
      </c>
      <c r="K978">
        <v>-28511.56978672</v>
      </c>
      <c r="L978" t="s">
        <v>89</v>
      </c>
      <c r="M978" t="s">
        <v>422</v>
      </c>
      <c r="N978">
        <v>7.1262429683470005E-2</v>
      </c>
      <c r="O978">
        <v>2031.803737</v>
      </c>
      <c r="P978" t="s">
        <v>421</v>
      </c>
      <c r="Q978">
        <v>1</v>
      </c>
      <c r="V978">
        <v>1</v>
      </c>
      <c r="W978">
        <v>1</v>
      </c>
      <c r="X978">
        <v>1</v>
      </c>
      <c r="Y978">
        <v>1</v>
      </c>
      <c r="Z978">
        <v>2031.803737</v>
      </c>
    </row>
    <row r="979" spans="1:26" x14ac:dyDescent="0.25">
      <c r="A979">
        <v>132072</v>
      </c>
      <c r="B979" t="s">
        <v>230</v>
      </c>
      <c r="C979">
        <v>2020</v>
      </c>
      <c r="D979">
        <v>1</v>
      </c>
      <c r="E979" t="s">
        <v>415</v>
      </c>
      <c r="F979" t="s">
        <v>416</v>
      </c>
      <c r="G979" t="s">
        <v>417</v>
      </c>
      <c r="H979" t="s">
        <v>84</v>
      </c>
      <c r="I979" t="s">
        <v>428</v>
      </c>
      <c r="J979" t="s">
        <v>59</v>
      </c>
      <c r="K979">
        <v>-28511.56978672</v>
      </c>
      <c r="L979" t="s">
        <v>89</v>
      </c>
      <c r="M979" t="s">
        <v>423</v>
      </c>
      <c r="N979">
        <v>0.74738783869542003</v>
      </c>
      <c r="O979">
        <v>21309.200520999999</v>
      </c>
      <c r="P979" t="s">
        <v>421</v>
      </c>
      <c r="Q979">
        <v>1</v>
      </c>
      <c r="V979">
        <v>1</v>
      </c>
      <c r="W979">
        <v>1</v>
      </c>
      <c r="X979">
        <v>1</v>
      </c>
      <c r="Y979">
        <v>1</v>
      </c>
      <c r="Z979">
        <v>21309.200520999999</v>
      </c>
    </row>
    <row r="980" spans="1:26" x14ac:dyDescent="0.25">
      <c r="A980">
        <v>132073</v>
      </c>
      <c r="B980" t="s">
        <v>230</v>
      </c>
      <c r="C980">
        <v>2020</v>
      </c>
      <c r="D980">
        <v>1</v>
      </c>
      <c r="E980" t="s">
        <v>415</v>
      </c>
      <c r="F980" t="s">
        <v>416</v>
      </c>
      <c r="G980" t="s">
        <v>417</v>
      </c>
      <c r="H980" t="s">
        <v>84</v>
      </c>
      <c r="I980" t="s">
        <v>428</v>
      </c>
      <c r="J980" t="s">
        <v>59</v>
      </c>
      <c r="K980">
        <v>-28511.56978672</v>
      </c>
      <c r="L980" t="s">
        <v>89</v>
      </c>
      <c r="M980" t="s">
        <v>424</v>
      </c>
      <c r="N980">
        <v>3.08071516317E-3</v>
      </c>
      <c r="O980">
        <v>87.836025000000006</v>
      </c>
      <c r="P980" t="s">
        <v>421</v>
      </c>
      <c r="Q980">
        <v>1</v>
      </c>
      <c r="V980">
        <v>1</v>
      </c>
      <c r="W980">
        <v>1</v>
      </c>
      <c r="X980">
        <v>1</v>
      </c>
      <c r="Y980">
        <v>1</v>
      </c>
      <c r="Z980">
        <v>87.836025000000006</v>
      </c>
    </row>
    <row r="981" spans="1:26" x14ac:dyDescent="0.25">
      <c r="A981">
        <v>132074</v>
      </c>
      <c r="B981" t="s">
        <v>230</v>
      </c>
      <c r="C981">
        <v>2020</v>
      </c>
      <c r="D981">
        <v>1</v>
      </c>
      <c r="E981" t="s">
        <v>415</v>
      </c>
      <c r="F981" t="s">
        <v>416</v>
      </c>
      <c r="G981" t="s">
        <v>417</v>
      </c>
      <c r="H981" t="s">
        <v>84</v>
      </c>
      <c r="I981" t="s">
        <v>428</v>
      </c>
      <c r="J981" t="s">
        <v>59</v>
      </c>
      <c r="K981">
        <v>-28511.56978672</v>
      </c>
      <c r="L981" t="s">
        <v>89</v>
      </c>
      <c r="M981" t="s">
        <v>425</v>
      </c>
      <c r="N981">
        <v>2.5360775708E-3</v>
      </c>
      <c r="O981">
        <v>72.307552999999999</v>
      </c>
      <c r="P981" t="s">
        <v>421</v>
      </c>
      <c r="Q981">
        <v>1</v>
      </c>
      <c r="V981">
        <v>1</v>
      </c>
      <c r="W981">
        <v>1</v>
      </c>
      <c r="X981">
        <v>1</v>
      </c>
      <c r="Y981">
        <v>1</v>
      </c>
      <c r="Z981">
        <v>72.307552999999999</v>
      </c>
    </row>
    <row r="982" spans="1:26" x14ac:dyDescent="0.25">
      <c r="A982">
        <v>132075</v>
      </c>
      <c r="B982" t="s">
        <v>230</v>
      </c>
      <c r="C982">
        <v>2020</v>
      </c>
      <c r="D982">
        <v>1</v>
      </c>
      <c r="E982" t="s">
        <v>415</v>
      </c>
      <c r="F982" t="s">
        <v>429</v>
      </c>
      <c r="G982" t="s">
        <v>430</v>
      </c>
      <c r="H982" t="s">
        <v>84</v>
      </c>
      <c r="I982" t="s">
        <v>431</v>
      </c>
      <c r="J982" t="s">
        <v>419</v>
      </c>
      <c r="K982">
        <v>-60134.091606659997</v>
      </c>
      <c r="L982" t="s">
        <v>85</v>
      </c>
      <c r="M982" t="s">
        <v>420</v>
      </c>
      <c r="N982">
        <v>0.24824931095561001</v>
      </c>
      <c r="O982">
        <v>14928.246805999999</v>
      </c>
      <c r="P982" t="s">
        <v>421</v>
      </c>
      <c r="Q982">
        <v>1</v>
      </c>
      <c r="V982">
        <v>1</v>
      </c>
      <c r="W982">
        <v>1</v>
      </c>
      <c r="X982">
        <v>1</v>
      </c>
      <c r="Y982">
        <v>1</v>
      </c>
      <c r="Z982">
        <v>14928.246805999999</v>
      </c>
    </row>
    <row r="983" spans="1:26" x14ac:dyDescent="0.25">
      <c r="A983">
        <v>132076</v>
      </c>
      <c r="B983" t="s">
        <v>230</v>
      </c>
      <c r="C983">
        <v>2020</v>
      </c>
      <c r="D983">
        <v>1</v>
      </c>
      <c r="E983" t="s">
        <v>415</v>
      </c>
      <c r="F983" t="s">
        <v>429</v>
      </c>
      <c r="G983" t="s">
        <v>430</v>
      </c>
      <c r="H983" t="s">
        <v>84</v>
      </c>
      <c r="I983" t="s">
        <v>431</v>
      </c>
      <c r="J983" t="s">
        <v>419</v>
      </c>
      <c r="K983">
        <v>-60134.091606659997</v>
      </c>
      <c r="L983" t="s">
        <v>85</v>
      </c>
      <c r="M983" t="s">
        <v>422</v>
      </c>
      <c r="N983">
        <v>7.7540047892240005E-2</v>
      </c>
      <c r="O983">
        <v>4662.8003429999999</v>
      </c>
      <c r="P983" t="s">
        <v>421</v>
      </c>
      <c r="Q983">
        <v>1</v>
      </c>
      <c r="V983">
        <v>1</v>
      </c>
      <c r="W983">
        <v>1</v>
      </c>
      <c r="X983">
        <v>1</v>
      </c>
      <c r="Y983">
        <v>1</v>
      </c>
      <c r="Z983">
        <v>4662.8003429999999</v>
      </c>
    </row>
    <row r="984" spans="1:26" x14ac:dyDescent="0.25">
      <c r="A984">
        <v>132077</v>
      </c>
      <c r="B984" t="s">
        <v>230</v>
      </c>
      <c r="C984">
        <v>2020</v>
      </c>
      <c r="D984">
        <v>1</v>
      </c>
      <c r="E984" t="s">
        <v>415</v>
      </c>
      <c r="F984" t="s">
        <v>429</v>
      </c>
      <c r="G984" t="s">
        <v>430</v>
      </c>
      <c r="H984" t="s">
        <v>84</v>
      </c>
      <c r="I984" t="s">
        <v>431</v>
      </c>
      <c r="J984" t="s">
        <v>419</v>
      </c>
      <c r="K984">
        <v>-60134.091606659997</v>
      </c>
      <c r="L984" t="s">
        <v>85</v>
      </c>
      <c r="M984" t="s">
        <v>423</v>
      </c>
      <c r="N984">
        <v>0.73979703899049998</v>
      </c>
      <c r="O984">
        <v>44487.022913000001</v>
      </c>
      <c r="P984" t="s">
        <v>421</v>
      </c>
      <c r="Q984">
        <v>1</v>
      </c>
      <c r="V984">
        <v>1</v>
      </c>
      <c r="W984">
        <v>1</v>
      </c>
      <c r="X984">
        <v>1</v>
      </c>
      <c r="Y984">
        <v>1</v>
      </c>
      <c r="Z984">
        <v>44487.022913000001</v>
      </c>
    </row>
    <row r="985" spans="1:26" x14ac:dyDescent="0.25">
      <c r="A985">
        <v>132078</v>
      </c>
      <c r="B985" t="s">
        <v>230</v>
      </c>
      <c r="C985">
        <v>2020</v>
      </c>
      <c r="D985">
        <v>1</v>
      </c>
      <c r="E985" t="s">
        <v>415</v>
      </c>
      <c r="F985" t="s">
        <v>429</v>
      </c>
      <c r="G985" t="s">
        <v>430</v>
      </c>
      <c r="H985" t="s">
        <v>84</v>
      </c>
      <c r="I985" t="s">
        <v>431</v>
      </c>
      <c r="J985" t="s">
        <v>419</v>
      </c>
      <c r="K985">
        <v>-60134.091606659997</v>
      </c>
      <c r="L985" t="s">
        <v>85</v>
      </c>
      <c r="M985" t="s">
        <v>424</v>
      </c>
      <c r="N985">
        <v>2.9085775596699999E-3</v>
      </c>
      <c r="O985">
        <v>174.90466900000001</v>
      </c>
      <c r="P985" t="s">
        <v>421</v>
      </c>
      <c r="Q985">
        <v>1</v>
      </c>
      <c r="V985">
        <v>1</v>
      </c>
      <c r="W985">
        <v>1</v>
      </c>
      <c r="X985">
        <v>1</v>
      </c>
      <c r="Y985">
        <v>1</v>
      </c>
      <c r="Z985">
        <v>174.90466900000001</v>
      </c>
    </row>
    <row r="986" spans="1:26" x14ac:dyDescent="0.25">
      <c r="A986">
        <v>132079</v>
      </c>
      <c r="B986" t="s">
        <v>230</v>
      </c>
      <c r="C986">
        <v>2020</v>
      </c>
      <c r="D986">
        <v>1</v>
      </c>
      <c r="E986" t="s">
        <v>415</v>
      </c>
      <c r="F986" t="s">
        <v>429</v>
      </c>
      <c r="G986" t="s">
        <v>430</v>
      </c>
      <c r="H986" t="s">
        <v>84</v>
      </c>
      <c r="I986" t="s">
        <v>431</v>
      </c>
      <c r="J986" t="s">
        <v>419</v>
      </c>
      <c r="K986">
        <v>-60134.091606659997</v>
      </c>
      <c r="L986" t="s">
        <v>85</v>
      </c>
      <c r="M986" t="s">
        <v>425</v>
      </c>
      <c r="N986">
        <v>2.6170694898000001E-3</v>
      </c>
      <c r="O986">
        <v>157.37509600000001</v>
      </c>
      <c r="P986" t="s">
        <v>421</v>
      </c>
      <c r="Q986">
        <v>1</v>
      </c>
      <c r="V986">
        <v>1</v>
      </c>
      <c r="W986">
        <v>1</v>
      </c>
      <c r="X986">
        <v>1</v>
      </c>
      <c r="Y986">
        <v>1</v>
      </c>
      <c r="Z986">
        <v>157.37509600000001</v>
      </c>
    </row>
    <row r="987" spans="1:26" x14ac:dyDescent="0.25">
      <c r="A987">
        <v>132080</v>
      </c>
      <c r="B987" t="s">
        <v>230</v>
      </c>
      <c r="C987">
        <v>2020</v>
      </c>
      <c r="D987">
        <v>1</v>
      </c>
      <c r="E987" t="s">
        <v>415</v>
      </c>
      <c r="F987" t="s">
        <v>429</v>
      </c>
      <c r="G987" t="s">
        <v>430</v>
      </c>
      <c r="H987" t="s">
        <v>84</v>
      </c>
      <c r="I987" t="s">
        <v>432</v>
      </c>
      <c r="J987" t="s">
        <v>87</v>
      </c>
      <c r="K987">
        <v>-9377.3219018899999</v>
      </c>
      <c r="L987" t="s">
        <v>427</v>
      </c>
      <c r="M987" t="s">
        <v>420</v>
      </c>
      <c r="N987">
        <v>0.45523813654234002</v>
      </c>
      <c r="O987">
        <v>4268.9145479999997</v>
      </c>
      <c r="P987" t="s">
        <v>421</v>
      </c>
      <c r="Q987">
        <v>1</v>
      </c>
      <c r="V987">
        <v>1</v>
      </c>
      <c r="W987">
        <v>1</v>
      </c>
      <c r="X987">
        <v>1</v>
      </c>
      <c r="Y987">
        <v>1</v>
      </c>
      <c r="Z987">
        <v>4268.9145479999997</v>
      </c>
    </row>
    <row r="988" spans="1:26" x14ac:dyDescent="0.25">
      <c r="A988">
        <v>132081</v>
      </c>
      <c r="B988" t="s">
        <v>230</v>
      </c>
      <c r="C988">
        <v>2020</v>
      </c>
      <c r="D988">
        <v>1</v>
      </c>
      <c r="E988" t="s">
        <v>415</v>
      </c>
      <c r="F988" t="s">
        <v>429</v>
      </c>
      <c r="G988" t="s">
        <v>430</v>
      </c>
      <c r="H988" t="s">
        <v>84</v>
      </c>
      <c r="I988" t="s">
        <v>432</v>
      </c>
      <c r="J988" t="s">
        <v>87</v>
      </c>
      <c r="K988">
        <v>-9377.3219018899999</v>
      </c>
      <c r="L988" t="s">
        <v>427</v>
      </c>
      <c r="M988" t="s">
        <v>422</v>
      </c>
      <c r="N988">
        <v>6.8896616392329996E-2</v>
      </c>
      <c r="O988">
        <v>646.06574999999998</v>
      </c>
      <c r="P988" t="s">
        <v>421</v>
      </c>
      <c r="Q988">
        <v>1</v>
      </c>
      <c r="V988">
        <v>1</v>
      </c>
      <c r="W988">
        <v>1</v>
      </c>
      <c r="X988">
        <v>1</v>
      </c>
      <c r="Y988">
        <v>1</v>
      </c>
      <c r="Z988">
        <v>646.06574999999998</v>
      </c>
    </row>
    <row r="989" spans="1:26" x14ac:dyDescent="0.25">
      <c r="A989">
        <v>132082</v>
      </c>
      <c r="B989" t="s">
        <v>230</v>
      </c>
      <c r="C989">
        <v>2020</v>
      </c>
      <c r="D989">
        <v>1</v>
      </c>
      <c r="E989" t="s">
        <v>415</v>
      </c>
      <c r="F989" t="s">
        <v>429</v>
      </c>
      <c r="G989" t="s">
        <v>430</v>
      </c>
      <c r="H989" t="s">
        <v>84</v>
      </c>
      <c r="I989" t="s">
        <v>432</v>
      </c>
      <c r="J989" t="s">
        <v>87</v>
      </c>
      <c r="K989">
        <v>-9377.3219018899999</v>
      </c>
      <c r="L989" t="s">
        <v>427</v>
      </c>
      <c r="M989" t="s">
        <v>423</v>
      </c>
      <c r="N989">
        <v>0.70986919705586005</v>
      </c>
      <c r="O989">
        <v>6656.671969</v>
      </c>
      <c r="P989" t="s">
        <v>421</v>
      </c>
      <c r="Q989">
        <v>1</v>
      </c>
      <c r="V989">
        <v>1</v>
      </c>
      <c r="W989">
        <v>1</v>
      </c>
      <c r="X989">
        <v>1</v>
      </c>
      <c r="Y989">
        <v>1</v>
      </c>
      <c r="Z989">
        <v>6656.671969</v>
      </c>
    </row>
    <row r="990" spans="1:26" x14ac:dyDescent="0.25">
      <c r="A990">
        <v>132083</v>
      </c>
      <c r="B990" t="s">
        <v>230</v>
      </c>
      <c r="C990">
        <v>2020</v>
      </c>
      <c r="D990">
        <v>1</v>
      </c>
      <c r="E990" t="s">
        <v>415</v>
      </c>
      <c r="F990" t="s">
        <v>429</v>
      </c>
      <c r="G990" t="s">
        <v>430</v>
      </c>
      <c r="H990" t="s">
        <v>84</v>
      </c>
      <c r="I990" t="s">
        <v>432</v>
      </c>
      <c r="J990" t="s">
        <v>87</v>
      </c>
      <c r="K990">
        <v>-9377.3219018899999</v>
      </c>
      <c r="L990" t="s">
        <v>427</v>
      </c>
      <c r="M990" t="s">
        <v>425</v>
      </c>
      <c r="N990">
        <v>1.4965642882E-3</v>
      </c>
      <c r="O990">
        <v>14.033765000000001</v>
      </c>
      <c r="P990" t="s">
        <v>421</v>
      </c>
      <c r="Q990">
        <v>1</v>
      </c>
      <c r="V990">
        <v>1</v>
      </c>
      <c r="W990">
        <v>1</v>
      </c>
      <c r="X990">
        <v>1</v>
      </c>
      <c r="Y990">
        <v>1</v>
      </c>
      <c r="Z990">
        <v>14.033765000000001</v>
      </c>
    </row>
    <row r="991" spans="1:26" x14ac:dyDescent="0.25">
      <c r="A991">
        <v>132084</v>
      </c>
      <c r="B991" t="s">
        <v>230</v>
      </c>
      <c r="C991">
        <v>2020</v>
      </c>
      <c r="D991">
        <v>1</v>
      </c>
      <c r="E991" t="s">
        <v>415</v>
      </c>
      <c r="F991" t="s">
        <v>429</v>
      </c>
      <c r="G991" t="s">
        <v>430</v>
      </c>
      <c r="H991" t="s">
        <v>84</v>
      </c>
      <c r="I991" t="s">
        <v>433</v>
      </c>
      <c r="J991" t="s">
        <v>59</v>
      </c>
      <c r="K991">
        <v>-34146.742086849998</v>
      </c>
      <c r="L991" t="s">
        <v>89</v>
      </c>
      <c r="M991" t="s">
        <v>420</v>
      </c>
      <c r="N991">
        <v>0.26343870574139999</v>
      </c>
      <c r="O991">
        <v>8995.5735409999998</v>
      </c>
      <c r="P991" t="s">
        <v>421</v>
      </c>
      <c r="Q991">
        <v>1</v>
      </c>
      <c r="V991">
        <v>1</v>
      </c>
      <c r="W991">
        <v>1</v>
      </c>
      <c r="X991">
        <v>1</v>
      </c>
      <c r="Y991">
        <v>1</v>
      </c>
      <c r="Z991">
        <v>8995.5735409999998</v>
      </c>
    </row>
    <row r="992" spans="1:26" x14ac:dyDescent="0.25">
      <c r="A992">
        <v>132085</v>
      </c>
      <c r="B992" t="s">
        <v>230</v>
      </c>
      <c r="C992">
        <v>2020</v>
      </c>
      <c r="D992">
        <v>1</v>
      </c>
      <c r="E992" t="s">
        <v>415</v>
      </c>
      <c r="F992" t="s">
        <v>429</v>
      </c>
      <c r="G992" t="s">
        <v>430</v>
      </c>
      <c r="H992" t="s">
        <v>84</v>
      </c>
      <c r="I992" t="s">
        <v>433</v>
      </c>
      <c r="J992" t="s">
        <v>59</v>
      </c>
      <c r="K992">
        <v>-34146.742086849998</v>
      </c>
      <c r="L992" t="s">
        <v>89</v>
      </c>
      <c r="M992" t="s">
        <v>422</v>
      </c>
      <c r="N992">
        <v>7.1262429683470005E-2</v>
      </c>
      <c r="O992">
        <v>2433.3798069999998</v>
      </c>
      <c r="P992" t="s">
        <v>421</v>
      </c>
      <c r="Q992">
        <v>1</v>
      </c>
      <c r="V992">
        <v>1</v>
      </c>
      <c r="W992">
        <v>1</v>
      </c>
      <c r="X992">
        <v>1</v>
      </c>
      <c r="Y992">
        <v>1</v>
      </c>
      <c r="Z992">
        <v>2433.3798069999998</v>
      </c>
    </row>
    <row r="993" spans="1:26" x14ac:dyDescent="0.25">
      <c r="A993">
        <v>132086</v>
      </c>
      <c r="B993" t="s">
        <v>230</v>
      </c>
      <c r="C993">
        <v>2020</v>
      </c>
      <c r="D993">
        <v>1</v>
      </c>
      <c r="E993" t="s">
        <v>415</v>
      </c>
      <c r="F993" t="s">
        <v>429</v>
      </c>
      <c r="G993" t="s">
        <v>430</v>
      </c>
      <c r="H993" t="s">
        <v>84</v>
      </c>
      <c r="I993" t="s">
        <v>433</v>
      </c>
      <c r="J993" t="s">
        <v>59</v>
      </c>
      <c r="K993">
        <v>-34146.742086849998</v>
      </c>
      <c r="L993" t="s">
        <v>89</v>
      </c>
      <c r="M993" t="s">
        <v>423</v>
      </c>
      <c r="N993">
        <v>0.74738783869542003</v>
      </c>
      <c r="O993">
        <v>25520.859767000002</v>
      </c>
      <c r="P993" t="s">
        <v>421</v>
      </c>
      <c r="Q993">
        <v>1</v>
      </c>
      <c r="V993">
        <v>1</v>
      </c>
      <c r="W993">
        <v>1</v>
      </c>
      <c r="X993">
        <v>1</v>
      </c>
      <c r="Y993">
        <v>1</v>
      </c>
      <c r="Z993">
        <v>25520.859767000002</v>
      </c>
    </row>
    <row r="994" spans="1:26" x14ac:dyDescent="0.25">
      <c r="A994">
        <v>132087</v>
      </c>
      <c r="B994" t="s">
        <v>230</v>
      </c>
      <c r="C994">
        <v>2020</v>
      </c>
      <c r="D994">
        <v>1</v>
      </c>
      <c r="E994" t="s">
        <v>415</v>
      </c>
      <c r="F994" t="s">
        <v>429</v>
      </c>
      <c r="G994" t="s">
        <v>430</v>
      </c>
      <c r="H994" t="s">
        <v>84</v>
      </c>
      <c r="I994" t="s">
        <v>433</v>
      </c>
      <c r="J994" t="s">
        <v>59</v>
      </c>
      <c r="K994">
        <v>-34146.742086849998</v>
      </c>
      <c r="L994" t="s">
        <v>89</v>
      </c>
      <c r="M994" t="s">
        <v>424</v>
      </c>
      <c r="N994">
        <v>3.08071516317E-3</v>
      </c>
      <c r="O994">
        <v>105.196386</v>
      </c>
      <c r="P994" t="s">
        <v>421</v>
      </c>
      <c r="Q994">
        <v>1</v>
      </c>
      <c r="V994">
        <v>1</v>
      </c>
      <c r="W994">
        <v>1</v>
      </c>
      <c r="X994">
        <v>1</v>
      </c>
      <c r="Y994">
        <v>1</v>
      </c>
      <c r="Z994">
        <v>105.196386</v>
      </c>
    </row>
    <row r="995" spans="1:26" x14ac:dyDescent="0.25">
      <c r="A995">
        <v>132088</v>
      </c>
      <c r="B995" t="s">
        <v>230</v>
      </c>
      <c r="C995">
        <v>2020</v>
      </c>
      <c r="D995">
        <v>1</v>
      </c>
      <c r="E995" t="s">
        <v>415</v>
      </c>
      <c r="F995" t="s">
        <v>429</v>
      </c>
      <c r="G995" t="s">
        <v>430</v>
      </c>
      <c r="H995" t="s">
        <v>84</v>
      </c>
      <c r="I995" t="s">
        <v>433</v>
      </c>
      <c r="J995" t="s">
        <v>59</v>
      </c>
      <c r="K995">
        <v>-34146.742086849998</v>
      </c>
      <c r="L995" t="s">
        <v>89</v>
      </c>
      <c r="M995" t="s">
        <v>425</v>
      </c>
      <c r="N995">
        <v>2.5360775708E-3</v>
      </c>
      <c r="O995">
        <v>86.598787000000002</v>
      </c>
      <c r="P995" t="s">
        <v>421</v>
      </c>
      <c r="Q995">
        <v>1</v>
      </c>
      <c r="V995">
        <v>1</v>
      </c>
      <c r="W995">
        <v>1</v>
      </c>
      <c r="X995">
        <v>1</v>
      </c>
      <c r="Y995">
        <v>1</v>
      </c>
      <c r="Z995">
        <v>86.598787000000002</v>
      </c>
    </row>
    <row r="996" spans="1:26" x14ac:dyDescent="0.25">
      <c r="A996">
        <v>132089</v>
      </c>
      <c r="B996" t="s">
        <v>230</v>
      </c>
      <c r="C996">
        <v>2020</v>
      </c>
      <c r="D996">
        <v>1</v>
      </c>
      <c r="E996" t="s">
        <v>415</v>
      </c>
      <c r="F996" t="s">
        <v>434</v>
      </c>
      <c r="G996" t="s">
        <v>435</v>
      </c>
      <c r="H996" t="s">
        <v>84</v>
      </c>
      <c r="I996" t="s">
        <v>436</v>
      </c>
      <c r="J996" t="s">
        <v>419</v>
      </c>
      <c r="K996">
        <v>-33310.424542710003</v>
      </c>
      <c r="L996" t="s">
        <v>85</v>
      </c>
      <c r="M996" t="s">
        <v>420</v>
      </c>
      <c r="N996">
        <v>0.24824931095561001</v>
      </c>
      <c r="O996">
        <v>8269.2899400000006</v>
      </c>
      <c r="P996" t="s">
        <v>421</v>
      </c>
      <c r="Q996">
        <v>1</v>
      </c>
      <c r="V996">
        <v>1</v>
      </c>
      <c r="W996">
        <v>1</v>
      </c>
      <c r="X996">
        <v>1</v>
      </c>
      <c r="Y996">
        <v>1</v>
      </c>
      <c r="Z996">
        <v>8269.2899400000006</v>
      </c>
    </row>
    <row r="997" spans="1:26" x14ac:dyDescent="0.25">
      <c r="A997">
        <v>132090</v>
      </c>
      <c r="B997" t="s">
        <v>230</v>
      </c>
      <c r="C997">
        <v>2020</v>
      </c>
      <c r="D997">
        <v>1</v>
      </c>
      <c r="E997" t="s">
        <v>415</v>
      </c>
      <c r="F997" t="s">
        <v>434</v>
      </c>
      <c r="G997" t="s">
        <v>435</v>
      </c>
      <c r="H997" t="s">
        <v>84</v>
      </c>
      <c r="I997" t="s">
        <v>436</v>
      </c>
      <c r="J997" t="s">
        <v>419</v>
      </c>
      <c r="K997">
        <v>-33310.424542710003</v>
      </c>
      <c r="L997" t="s">
        <v>85</v>
      </c>
      <c r="M997" t="s">
        <v>422</v>
      </c>
      <c r="N997">
        <v>7.7540047892240005E-2</v>
      </c>
      <c r="O997">
        <v>2582.8919139999998</v>
      </c>
      <c r="P997" t="s">
        <v>421</v>
      </c>
      <c r="Q997">
        <v>1</v>
      </c>
      <c r="V997">
        <v>1</v>
      </c>
      <c r="W997">
        <v>1</v>
      </c>
      <c r="X997">
        <v>1</v>
      </c>
      <c r="Y997">
        <v>1</v>
      </c>
      <c r="Z997">
        <v>2582.8919139999998</v>
      </c>
    </row>
    <row r="998" spans="1:26" x14ac:dyDescent="0.25">
      <c r="A998">
        <v>132091</v>
      </c>
      <c r="B998" t="s">
        <v>230</v>
      </c>
      <c r="C998">
        <v>2020</v>
      </c>
      <c r="D998">
        <v>1</v>
      </c>
      <c r="E998" t="s">
        <v>415</v>
      </c>
      <c r="F998" t="s">
        <v>434</v>
      </c>
      <c r="G998" t="s">
        <v>435</v>
      </c>
      <c r="H998" t="s">
        <v>84</v>
      </c>
      <c r="I998" t="s">
        <v>436</v>
      </c>
      <c r="J998" t="s">
        <v>419</v>
      </c>
      <c r="K998">
        <v>-33310.424542710003</v>
      </c>
      <c r="L998" t="s">
        <v>85</v>
      </c>
      <c r="M998" t="s">
        <v>423</v>
      </c>
      <c r="N998">
        <v>0.73979703899049998</v>
      </c>
      <c r="O998">
        <v>24642.953443999999</v>
      </c>
      <c r="P998" t="s">
        <v>421</v>
      </c>
      <c r="Q998">
        <v>1</v>
      </c>
      <c r="V998">
        <v>1</v>
      </c>
      <c r="W998">
        <v>1</v>
      </c>
      <c r="X998">
        <v>1</v>
      </c>
      <c r="Y998">
        <v>1</v>
      </c>
      <c r="Z998">
        <v>24642.953443999999</v>
      </c>
    </row>
    <row r="999" spans="1:26" x14ac:dyDescent="0.25">
      <c r="A999">
        <v>132092</v>
      </c>
      <c r="B999" t="s">
        <v>230</v>
      </c>
      <c r="C999">
        <v>2020</v>
      </c>
      <c r="D999">
        <v>1</v>
      </c>
      <c r="E999" t="s">
        <v>415</v>
      </c>
      <c r="F999" t="s">
        <v>434</v>
      </c>
      <c r="G999" t="s">
        <v>435</v>
      </c>
      <c r="H999" t="s">
        <v>84</v>
      </c>
      <c r="I999" t="s">
        <v>436</v>
      </c>
      <c r="J999" t="s">
        <v>419</v>
      </c>
      <c r="K999">
        <v>-33310.424542710003</v>
      </c>
      <c r="L999" t="s">
        <v>85</v>
      </c>
      <c r="M999" t="s">
        <v>424</v>
      </c>
      <c r="N999">
        <v>2.9085775596699999E-3</v>
      </c>
      <c r="O999">
        <v>96.885953000000001</v>
      </c>
      <c r="P999" t="s">
        <v>421</v>
      </c>
      <c r="Q999">
        <v>1</v>
      </c>
      <c r="V999">
        <v>1</v>
      </c>
      <c r="W999">
        <v>1</v>
      </c>
      <c r="X999">
        <v>1</v>
      </c>
      <c r="Y999">
        <v>1</v>
      </c>
      <c r="Z999">
        <v>96.885953000000001</v>
      </c>
    </row>
    <row r="1000" spans="1:26" x14ac:dyDescent="0.25">
      <c r="A1000">
        <v>132093</v>
      </c>
      <c r="B1000" t="s">
        <v>230</v>
      </c>
      <c r="C1000">
        <v>2020</v>
      </c>
      <c r="D1000">
        <v>1</v>
      </c>
      <c r="E1000" t="s">
        <v>415</v>
      </c>
      <c r="F1000" t="s">
        <v>434</v>
      </c>
      <c r="G1000" t="s">
        <v>435</v>
      </c>
      <c r="H1000" t="s">
        <v>84</v>
      </c>
      <c r="I1000" t="s">
        <v>436</v>
      </c>
      <c r="J1000" t="s">
        <v>419</v>
      </c>
      <c r="K1000">
        <v>-33310.424542710003</v>
      </c>
      <c r="L1000" t="s">
        <v>85</v>
      </c>
      <c r="M1000" t="s">
        <v>425</v>
      </c>
      <c r="N1000">
        <v>2.6170694898000001E-3</v>
      </c>
      <c r="O1000">
        <v>87.175696000000002</v>
      </c>
      <c r="P1000" t="s">
        <v>421</v>
      </c>
      <c r="Q1000">
        <v>1</v>
      </c>
      <c r="V1000">
        <v>1</v>
      </c>
      <c r="W1000">
        <v>1</v>
      </c>
      <c r="X1000">
        <v>1</v>
      </c>
      <c r="Y1000">
        <v>1</v>
      </c>
      <c r="Z1000">
        <v>87.175696000000002</v>
      </c>
    </row>
    <row r="1001" spans="1:26" x14ac:dyDescent="0.25">
      <c r="A1001">
        <v>132094</v>
      </c>
      <c r="B1001" t="s">
        <v>230</v>
      </c>
      <c r="C1001">
        <v>2020</v>
      </c>
      <c r="D1001">
        <v>1</v>
      </c>
      <c r="E1001" t="s">
        <v>415</v>
      </c>
      <c r="F1001" t="s">
        <v>434</v>
      </c>
      <c r="G1001" t="s">
        <v>435</v>
      </c>
      <c r="H1001" t="s">
        <v>84</v>
      </c>
      <c r="I1001" t="s">
        <v>437</v>
      </c>
      <c r="J1001" t="s">
        <v>87</v>
      </c>
      <c r="K1001">
        <v>-6244.7344571800004</v>
      </c>
      <c r="L1001" t="s">
        <v>427</v>
      </c>
      <c r="M1001" t="s">
        <v>420</v>
      </c>
      <c r="N1001">
        <v>0.45523813654234002</v>
      </c>
      <c r="O1001">
        <v>2842.841277</v>
      </c>
      <c r="P1001" t="s">
        <v>421</v>
      </c>
      <c r="Q1001">
        <v>1</v>
      </c>
      <c r="V1001">
        <v>1</v>
      </c>
      <c r="W1001">
        <v>1</v>
      </c>
      <c r="X1001">
        <v>1</v>
      </c>
      <c r="Y1001">
        <v>1</v>
      </c>
      <c r="Z1001">
        <v>2842.841277</v>
      </c>
    </row>
    <row r="1002" spans="1:26" x14ac:dyDescent="0.25">
      <c r="A1002">
        <v>132095</v>
      </c>
      <c r="B1002" t="s">
        <v>230</v>
      </c>
      <c r="C1002">
        <v>2020</v>
      </c>
      <c r="D1002">
        <v>1</v>
      </c>
      <c r="E1002" t="s">
        <v>415</v>
      </c>
      <c r="F1002" t="s">
        <v>434</v>
      </c>
      <c r="G1002" t="s">
        <v>435</v>
      </c>
      <c r="H1002" t="s">
        <v>84</v>
      </c>
      <c r="I1002" t="s">
        <v>437</v>
      </c>
      <c r="J1002" t="s">
        <v>87</v>
      </c>
      <c r="K1002">
        <v>-6244.7344571800004</v>
      </c>
      <c r="L1002" t="s">
        <v>427</v>
      </c>
      <c r="M1002" t="s">
        <v>422</v>
      </c>
      <c r="N1002">
        <v>6.8896616392329996E-2</v>
      </c>
      <c r="O1002">
        <v>430.24107400000003</v>
      </c>
      <c r="P1002" t="s">
        <v>421</v>
      </c>
      <c r="Q1002">
        <v>1</v>
      </c>
      <c r="V1002">
        <v>1</v>
      </c>
      <c r="W1002">
        <v>1</v>
      </c>
      <c r="X1002">
        <v>1</v>
      </c>
      <c r="Y1002">
        <v>1</v>
      </c>
      <c r="Z1002">
        <v>430.24107400000003</v>
      </c>
    </row>
    <row r="1003" spans="1:26" x14ac:dyDescent="0.25">
      <c r="A1003">
        <v>132096</v>
      </c>
      <c r="B1003" t="s">
        <v>230</v>
      </c>
      <c r="C1003">
        <v>2020</v>
      </c>
      <c r="D1003">
        <v>1</v>
      </c>
      <c r="E1003" t="s">
        <v>415</v>
      </c>
      <c r="F1003" t="s">
        <v>434</v>
      </c>
      <c r="G1003" t="s">
        <v>435</v>
      </c>
      <c r="H1003" t="s">
        <v>84</v>
      </c>
      <c r="I1003" t="s">
        <v>437</v>
      </c>
      <c r="J1003" t="s">
        <v>87</v>
      </c>
      <c r="K1003">
        <v>-6244.7344571800004</v>
      </c>
      <c r="L1003" t="s">
        <v>427</v>
      </c>
      <c r="M1003" t="s">
        <v>423</v>
      </c>
      <c r="N1003">
        <v>0.70986919705586005</v>
      </c>
      <c r="O1003">
        <v>4432.9446349999998</v>
      </c>
      <c r="P1003" t="s">
        <v>421</v>
      </c>
      <c r="Q1003">
        <v>1</v>
      </c>
      <c r="V1003">
        <v>1</v>
      </c>
      <c r="W1003">
        <v>1</v>
      </c>
      <c r="X1003">
        <v>1</v>
      </c>
      <c r="Y1003">
        <v>1</v>
      </c>
      <c r="Z1003">
        <v>4432.9446349999998</v>
      </c>
    </row>
    <row r="1004" spans="1:26" x14ac:dyDescent="0.25">
      <c r="A1004">
        <v>132097</v>
      </c>
      <c r="B1004" t="s">
        <v>230</v>
      </c>
      <c r="C1004">
        <v>2020</v>
      </c>
      <c r="D1004">
        <v>1</v>
      </c>
      <c r="E1004" t="s">
        <v>415</v>
      </c>
      <c r="F1004" t="s">
        <v>434</v>
      </c>
      <c r="G1004" t="s">
        <v>435</v>
      </c>
      <c r="H1004" t="s">
        <v>84</v>
      </c>
      <c r="I1004" t="s">
        <v>437</v>
      </c>
      <c r="J1004" t="s">
        <v>87</v>
      </c>
      <c r="K1004">
        <v>-6244.7344571800004</v>
      </c>
      <c r="L1004" t="s">
        <v>427</v>
      </c>
      <c r="M1004" t="s">
        <v>425</v>
      </c>
      <c r="N1004">
        <v>1.4965642882E-3</v>
      </c>
      <c r="O1004">
        <v>9.3456469999999996</v>
      </c>
      <c r="P1004" t="s">
        <v>421</v>
      </c>
      <c r="Q1004">
        <v>1</v>
      </c>
      <c r="V1004">
        <v>1</v>
      </c>
      <c r="W1004">
        <v>1</v>
      </c>
      <c r="X1004">
        <v>1</v>
      </c>
      <c r="Y1004">
        <v>1</v>
      </c>
      <c r="Z1004">
        <v>9.3456469999999996</v>
      </c>
    </row>
    <row r="1005" spans="1:26" x14ac:dyDescent="0.25">
      <c r="A1005">
        <v>132098</v>
      </c>
      <c r="B1005" t="s">
        <v>230</v>
      </c>
      <c r="C1005">
        <v>2020</v>
      </c>
      <c r="D1005">
        <v>1</v>
      </c>
      <c r="E1005" t="s">
        <v>415</v>
      </c>
      <c r="F1005" t="s">
        <v>434</v>
      </c>
      <c r="G1005" t="s">
        <v>435</v>
      </c>
      <c r="H1005" t="s">
        <v>84</v>
      </c>
      <c r="I1005" t="s">
        <v>438</v>
      </c>
      <c r="J1005" t="s">
        <v>59</v>
      </c>
      <c r="K1005">
        <v>-19134.333251979999</v>
      </c>
      <c r="L1005" t="s">
        <v>89</v>
      </c>
      <c r="M1005" t="s">
        <v>420</v>
      </c>
      <c r="N1005">
        <v>0.26343870574139999</v>
      </c>
      <c r="O1005">
        <v>5040.7239870000003</v>
      </c>
      <c r="P1005" t="s">
        <v>421</v>
      </c>
      <c r="Q1005">
        <v>1</v>
      </c>
      <c r="V1005">
        <v>1</v>
      </c>
      <c r="W1005">
        <v>1</v>
      </c>
      <c r="X1005">
        <v>1</v>
      </c>
      <c r="Y1005">
        <v>1</v>
      </c>
      <c r="Z1005">
        <v>5040.7239870000003</v>
      </c>
    </row>
    <row r="1006" spans="1:26" x14ac:dyDescent="0.25">
      <c r="A1006">
        <v>132099</v>
      </c>
      <c r="B1006" t="s">
        <v>230</v>
      </c>
      <c r="C1006">
        <v>2020</v>
      </c>
      <c r="D1006">
        <v>1</v>
      </c>
      <c r="E1006" t="s">
        <v>415</v>
      </c>
      <c r="F1006" t="s">
        <v>434</v>
      </c>
      <c r="G1006" t="s">
        <v>435</v>
      </c>
      <c r="H1006" t="s">
        <v>84</v>
      </c>
      <c r="I1006" t="s">
        <v>438</v>
      </c>
      <c r="J1006" t="s">
        <v>59</v>
      </c>
      <c r="K1006">
        <v>-19134.333251979999</v>
      </c>
      <c r="L1006" t="s">
        <v>89</v>
      </c>
      <c r="M1006" t="s">
        <v>422</v>
      </c>
      <c r="N1006">
        <v>7.1262429683470005E-2</v>
      </c>
      <c r="O1006">
        <v>1363.559078</v>
      </c>
      <c r="P1006" t="s">
        <v>421</v>
      </c>
      <c r="Q1006">
        <v>1</v>
      </c>
      <c r="V1006">
        <v>1</v>
      </c>
      <c r="W1006">
        <v>1</v>
      </c>
      <c r="X1006">
        <v>1</v>
      </c>
      <c r="Y1006">
        <v>1</v>
      </c>
      <c r="Z1006">
        <v>1363.559078</v>
      </c>
    </row>
    <row r="1007" spans="1:26" x14ac:dyDescent="0.25">
      <c r="A1007">
        <v>132100</v>
      </c>
      <c r="B1007" t="s">
        <v>230</v>
      </c>
      <c r="C1007">
        <v>2020</v>
      </c>
      <c r="D1007">
        <v>1</v>
      </c>
      <c r="E1007" t="s">
        <v>415</v>
      </c>
      <c r="F1007" t="s">
        <v>434</v>
      </c>
      <c r="G1007" t="s">
        <v>435</v>
      </c>
      <c r="H1007" t="s">
        <v>84</v>
      </c>
      <c r="I1007" t="s">
        <v>438</v>
      </c>
      <c r="J1007" t="s">
        <v>59</v>
      </c>
      <c r="K1007">
        <v>-19134.333251979999</v>
      </c>
      <c r="L1007" t="s">
        <v>89</v>
      </c>
      <c r="M1007" t="s">
        <v>423</v>
      </c>
      <c r="N1007">
        <v>0.74738783869542003</v>
      </c>
      <c r="O1007">
        <v>14300.767974</v>
      </c>
      <c r="P1007" t="s">
        <v>421</v>
      </c>
      <c r="Q1007">
        <v>1</v>
      </c>
      <c r="V1007">
        <v>1</v>
      </c>
      <c r="W1007">
        <v>1</v>
      </c>
      <c r="X1007">
        <v>1</v>
      </c>
      <c r="Y1007">
        <v>1</v>
      </c>
      <c r="Z1007">
        <v>14300.767974</v>
      </c>
    </row>
    <row r="1008" spans="1:26" x14ac:dyDescent="0.25">
      <c r="A1008">
        <v>132101</v>
      </c>
      <c r="B1008" t="s">
        <v>230</v>
      </c>
      <c r="C1008">
        <v>2020</v>
      </c>
      <c r="D1008">
        <v>1</v>
      </c>
      <c r="E1008" t="s">
        <v>415</v>
      </c>
      <c r="F1008" t="s">
        <v>434</v>
      </c>
      <c r="G1008" t="s">
        <v>435</v>
      </c>
      <c r="H1008" t="s">
        <v>84</v>
      </c>
      <c r="I1008" t="s">
        <v>438</v>
      </c>
      <c r="J1008" t="s">
        <v>59</v>
      </c>
      <c r="K1008">
        <v>-19134.333251979999</v>
      </c>
      <c r="L1008" t="s">
        <v>89</v>
      </c>
      <c r="M1008" t="s">
        <v>424</v>
      </c>
      <c r="N1008">
        <v>3.08071516317E-3</v>
      </c>
      <c r="O1008">
        <v>58.947431000000002</v>
      </c>
      <c r="P1008" t="s">
        <v>421</v>
      </c>
      <c r="Q1008">
        <v>1</v>
      </c>
      <c r="V1008">
        <v>1</v>
      </c>
      <c r="W1008">
        <v>1</v>
      </c>
      <c r="X1008">
        <v>1</v>
      </c>
      <c r="Y1008">
        <v>1</v>
      </c>
      <c r="Z1008">
        <v>58.947431000000002</v>
      </c>
    </row>
    <row r="1009" spans="1:26" x14ac:dyDescent="0.25">
      <c r="A1009">
        <v>132102</v>
      </c>
      <c r="B1009" t="s">
        <v>230</v>
      </c>
      <c r="C1009">
        <v>2020</v>
      </c>
      <c r="D1009">
        <v>1</v>
      </c>
      <c r="E1009" t="s">
        <v>415</v>
      </c>
      <c r="F1009" t="s">
        <v>434</v>
      </c>
      <c r="G1009" t="s">
        <v>435</v>
      </c>
      <c r="H1009" t="s">
        <v>84</v>
      </c>
      <c r="I1009" t="s">
        <v>438</v>
      </c>
      <c r="J1009" t="s">
        <v>59</v>
      </c>
      <c r="K1009">
        <v>-19134.333251979999</v>
      </c>
      <c r="L1009" t="s">
        <v>89</v>
      </c>
      <c r="M1009" t="s">
        <v>425</v>
      </c>
      <c r="N1009">
        <v>2.5360775708E-3</v>
      </c>
      <c r="O1009">
        <v>48.526153000000001</v>
      </c>
      <c r="P1009" t="s">
        <v>421</v>
      </c>
      <c r="Q1009">
        <v>1</v>
      </c>
      <c r="V1009">
        <v>1</v>
      </c>
      <c r="W1009">
        <v>1</v>
      </c>
      <c r="X1009">
        <v>1</v>
      </c>
      <c r="Y1009">
        <v>1</v>
      </c>
      <c r="Z1009">
        <v>48.526153000000001</v>
      </c>
    </row>
    <row r="1010" spans="1:26" x14ac:dyDescent="0.25">
      <c r="A1010">
        <v>27916</v>
      </c>
      <c r="B1010" t="s">
        <v>140</v>
      </c>
      <c r="C1010">
        <v>2018</v>
      </c>
      <c r="D1010">
        <v>1</v>
      </c>
      <c r="E1010" t="s">
        <v>415</v>
      </c>
      <c r="F1010" t="s">
        <v>416</v>
      </c>
      <c r="G1010" t="s">
        <v>417</v>
      </c>
      <c r="H1010" t="s">
        <v>84</v>
      </c>
      <c r="I1010" t="s">
        <v>418</v>
      </c>
      <c r="J1010" t="s">
        <v>419</v>
      </c>
      <c r="K1010">
        <v>-10217.35205564</v>
      </c>
      <c r="L1010" t="s">
        <v>85</v>
      </c>
      <c r="M1010" t="s">
        <v>420</v>
      </c>
      <c r="N1010">
        <v>0.24824931095561001</v>
      </c>
      <c r="O1010">
        <v>2536.4506080000001</v>
      </c>
      <c r="P1010" t="s">
        <v>421</v>
      </c>
      <c r="Q1010">
        <v>1</v>
      </c>
      <c r="V1010">
        <v>1</v>
      </c>
      <c r="W1010">
        <v>1</v>
      </c>
      <c r="X1010">
        <v>1</v>
      </c>
      <c r="Y1010">
        <v>1</v>
      </c>
      <c r="Z1010">
        <v>2536.4506080000001</v>
      </c>
    </row>
    <row r="1011" spans="1:26" x14ac:dyDescent="0.25">
      <c r="A1011">
        <v>27917</v>
      </c>
      <c r="B1011" t="s">
        <v>140</v>
      </c>
      <c r="C1011">
        <v>2018</v>
      </c>
      <c r="D1011">
        <v>1</v>
      </c>
      <c r="E1011" t="s">
        <v>415</v>
      </c>
      <c r="F1011" t="s">
        <v>416</v>
      </c>
      <c r="G1011" t="s">
        <v>417</v>
      </c>
      <c r="H1011" t="s">
        <v>84</v>
      </c>
      <c r="I1011" t="s">
        <v>418</v>
      </c>
      <c r="J1011" t="s">
        <v>419</v>
      </c>
      <c r="K1011">
        <v>-10217.35205564</v>
      </c>
      <c r="L1011" t="s">
        <v>85</v>
      </c>
      <c r="M1011" t="s">
        <v>422</v>
      </c>
      <c r="N1011">
        <v>7.7540047892240005E-2</v>
      </c>
      <c r="O1011">
        <v>792.25396799999999</v>
      </c>
      <c r="P1011" t="s">
        <v>421</v>
      </c>
      <c r="Q1011">
        <v>1</v>
      </c>
      <c r="V1011">
        <v>1</v>
      </c>
      <c r="W1011">
        <v>1</v>
      </c>
      <c r="X1011">
        <v>1</v>
      </c>
      <c r="Y1011">
        <v>1</v>
      </c>
      <c r="Z1011">
        <v>792.25396799999999</v>
      </c>
    </row>
    <row r="1012" spans="1:26" x14ac:dyDescent="0.25">
      <c r="A1012">
        <v>27918</v>
      </c>
      <c r="B1012" t="s">
        <v>140</v>
      </c>
      <c r="C1012">
        <v>2018</v>
      </c>
      <c r="D1012">
        <v>1</v>
      </c>
      <c r="E1012" t="s">
        <v>415</v>
      </c>
      <c r="F1012" t="s">
        <v>416</v>
      </c>
      <c r="G1012" t="s">
        <v>417</v>
      </c>
      <c r="H1012" t="s">
        <v>84</v>
      </c>
      <c r="I1012" t="s">
        <v>418</v>
      </c>
      <c r="J1012" t="s">
        <v>419</v>
      </c>
      <c r="K1012">
        <v>-10217.35205564</v>
      </c>
      <c r="L1012" t="s">
        <v>85</v>
      </c>
      <c r="M1012" t="s">
        <v>423</v>
      </c>
      <c r="N1012">
        <v>0.73979703899049998</v>
      </c>
      <c r="O1012">
        <v>7558.7667970000002</v>
      </c>
      <c r="P1012" t="s">
        <v>421</v>
      </c>
      <c r="Q1012">
        <v>1</v>
      </c>
      <c r="V1012">
        <v>1</v>
      </c>
      <c r="W1012">
        <v>1</v>
      </c>
      <c r="X1012">
        <v>1</v>
      </c>
      <c r="Y1012">
        <v>1</v>
      </c>
      <c r="Z1012">
        <v>7558.7667970000002</v>
      </c>
    </row>
    <row r="1013" spans="1:26" x14ac:dyDescent="0.25">
      <c r="A1013">
        <v>27919</v>
      </c>
      <c r="B1013" t="s">
        <v>140</v>
      </c>
      <c r="C1013">
        <v>2018</v>
      </c>
      <c r="D1013">
        <v>1</v>
      </c>
      <c r="E1013" t="s">
        <v>415</v>
      </c>
      <c r="F1013" t="s">
        <v>416</v>
      </c>
      <c r="G1013" t="s">
        <v>417</v>
      </c>
      <c r="H1013" t="s">
        <v>84</v>
      </c>
      <c r="I1013" t="s">
        <v>418</v>
      </c>
      <c r="J1013" t="s">
        <v>419</v>
      </c>
      <c r="K1013">
        <v>-10217.35205564</v>
      </c>
      <c r="L1013" t="s">
        <v>85</v>
      </c>
      <c r="M1013" t="s">
        <v>424</v>
      </c>
      <c r="N1013">
        <v>2.9085775596699999E-3</v>
      </c>
      <c r="O1013">
        <v>29.717960999999999</v>
      </c>
      <c r="P1013" t="s">
        <v>421</v>
      </c>
      <c r="Q1013">
        <v>1</v>
      </c>
      <c r="V1013">
        <v>1</v>
      </c>
      <c r="W1013">
        <v>1</v>
      </c>
      <c r="X1013">
        <v>1</v>
      </c>
      <c r="Y1013">
        <v>1</v>
      </c>
      <c r="Z1013">
        <v>29.717960999999999</v>
      </c>
    </row>
    <row r="1014" spans="1:26" x14ac:dyDescent="0.25">
      <c r="A1014">
        <v>27920</v>
      </c>
      <c r="B1014" t="s">
        <v>140</v>
      </c>
      <c r="C1014">
        <v>2018</v>
      </c>
      <c r="D1014">
        <v>1</v>
      </c>
      <c r="E1014" t="s">
        <v>415</v>
      </c>
      <c r="F1014" t="s">
        <v>416</v>
      </c>
      <c r="G1014" t="s">
        <v>417</v>
      </c>
      <c r="H1014" t="s">
        <v>84</v>
      </c>
      <c r="I1014" t="s">
        <v>418</v>
      </c>
      <c r="J1014" t="s">
        <v>419</v>
      </c>
      <c r="K1014">
        <v>-10217.35205564</v>
      </c>
      <c r="L1014" t="s">
        <v>85</v>
      </c>
      <c r="M1014" t="s">
        <v>425</v>
      </c>
      <c r="N1014">
        <v>2.6170694898000001E-3</v>
      </c>
      <c r="O1014">
        <v>26.739519999999999</v>
      </c>
      <c r="P1014" t="s">
        <v>421</v>
      </c>
      <c r="Q1014">
        <v>1</v>
      </c>
      <c r="V1014">
        <v>1</v>
      </c>
      <c r="W1014">
        <v>1</v>
      </c>
      <c r="X1014">
        <v>1</v>
      </c>
      <c r="Y1014">
        <v>1</v>
      </c>
      <c r="Z1014">
        <v>26.739519999999999</v>
      </c>
    </row>
    <row r="1015" spans="1:26" x14ac:dyDescent="0.25">
      <c r="A1015">
        <v>27921</v>
      </c>
      <c r="B1015" t="s">
        <v>140</v>
      </c>
      <c r="C1015">
        <v>2018</v>
      </c>
      <c r="D1015">
        <v>1</v>
      </c>
      <c r="E1015" t="s">
        <v>415</v>
      </c>
      <c r="F1015" t="s">
        <v>416</v>
      </c>
      <c r="G1015" t="s">
        <v>417</v>
      </c>
      <c r="H1015" t="s">
        <v>84</v>
      </c>
      <c r="I1015" t="s">
        <v>426</v>
      </c>
      <c r="J1015" t="s">
        <v>87</v>
      </c>
      <c r="K1015">
        <v>-2020.7342858899999</v>
      </c>
      <c r="L1015" t="s">
        <v>427</v>
      </c>
      <c r="M1015" t="s">
        <v>420</v>
      </c>
      <c r="N1015">
        <v>0.45523813654234002</v>
      </c>
      <c r="O1015">
        <v>919.91531099999997</v>
      </c>
      <c r="P1015" t="s">
        <v>421</v>
      </c>
      <c r="Q1015">
        <v>1</v>
      </c>
      <c r="V1015">
        <v>1</v>
      </c>
      <c r="W1015">
        <v>1</v>
      </c>
      <c r="X1015">
        <v>1</v>
      </c>
      <c r="Y1015">
        <v>1</v>
      </c>
      <c r="Z1015">
        <v>919.91531099999997</v>
      </c>
    </row>
    <row r="1016" spans="1:26" x14ac:dyDescent="0.25">
      <c r="A1016">
        <v>27922</v>
      </c>
      <c r="B1016" t="s">
        <v>140</v>
      </c>
      <c r="C1016">
        <v>2018</v>
      </c>
      <c r="D1016">
        <v>1</v>
      </c>
      <c r="E1016" t="s">
        <v>415</v>
      </c>
      <c r="F1016" t="s">
        <v>416</v>
      </c>
      <c r="G1016" t="s">
        <v>417</v>
      </c>
      <c r="H1016" t="s">
        <v>84</v>
      </c>
      <c r="I1016" t="s">
        <v>426</v>
      </c>
      <c r="J1016" t="s">
        <v>87</v>
      </c>
      <c r="K1016">
        <v>-2020.7342858899999</v>
      </c>
      <c r="L1016" t="s">
        <v>427</v>
      </c>
      <c r="M1016" t="s">
        <v>422</v>
      </c>
      <c r="N1016">
        <v>6.8896616392329996E-2</v>
      </c>
      <c r="O1016">
        <v>139.221755</v>
      </c>
      <c r="P1016" t="s">
        <v>421</v>
      </c>
      <c r="Q1016">
        <v>1</v>
      </c>
      <c r="V1016">
        <v>1</v>
      </c>
      <c r="W1016">
        <v>1</v>
      </c>
      <c r="X1016">
        <v>1</v>
      </c>
      <c r="Y1016">
        <v>1</v>
      </c>
      <c r="Z1016">
        <v>139.221755</v>
      </c>
    </row>
    <row r="1017" spans="1:26" x14ac:dyDescent="0.25">
      <c r="A1017">
        <v>27923</v>
      </c>
      <c r="B1017" t="s">
        <v>140</v>
      </c>
      <c r="C1017">
        <v>2018</v>
      </c>
      <c r="D1017">
        <v>1</v>
      </c>
      <c r="E1017" t="s">
        <v>415</v>
      </c>
      <c r="F1017" t="s">
        <v>416</v>
      </c>
      <c r="G1017" t="s">
        <v>417</v>
      </c>
      <c r="H1017" t="s">
        <v>84</v>
      </c>
      <c r="I1017" t="s">
        <v>426</v>
      </c>
      <c r="J1017" t="s">
        <v>87</v>
      </c>
      <c r="K1017">
        <v>-2020.7342858899999</v>
      </c>
      <c r="L1017" t="s">
        <v>427</v>
      </c>
      <c r="M1017" t="s">
        <v>423</v>
      </c>
      <c r="N1017">
        <v>0.70986919705586005</v>
      </c>
      <c r="O1017">
        <v>1434.4570249999999</v>
      </c>
      <c r="P1017" t="s">
        <v>421</v>
      </c>
      <c r="Q1017">
        <v>1</v>
      </c>
      <c r="V1017">
        <v>1</v>
      </c>
      <c r="W1017">
        <v>1</v>
      </c>
      <c r="X1017">
        <v>1</v>
      </c>
      <c r="Y1017">
        <v>1</v>
      </c>
      <c r="Z1017">
        <v>1434.4570249999999</v>
      </c>
    </row>
    <row r="1018" spans="1:26" x14ac:dyDescent="0.25">
      <c r="A1018">
        <v>27924</v>
      </c>
      <c r="B1018" t="s">
        <v>140</v>
      </c>
      <c r="C1018">
        <v>2018</v>
      </c>
      <c r="D1018">
        <v>1</v>
      </c>
      <c r="E1018" t="s">
        <v>415</v>
      </c>
      <c r="F1018" t="s">
        <v>416</v>
      </c>
      <c r="G1018" t="s">
        <v>417</v>
      </c>
      <c r="H1018" t="s">
        <v>84</v>
      </c>
      <c r="I1018" t="s">
        <v>426</v>
      </c>
      <c r="J1018" t="s">
        <v>87</v>
      </c>
      <c r="K1018">
        <v>-2020.7342858899999</v>
      </c>
      <c r="L1018" t="s">
        <v>427</v>
      </c>
      <c r="M1018" t="s">
        <v>425</v>
      </c>
      <c r="N1018">
        <v>1.4965642882E-3</v>
      </c>
      <c r="O1018">
        <v>3.024159</v>
      </c>
      <c r="P1018" t="s">
        <v>421</v>
      </c>
      <c r="Q1018">
        <v>1</v>
      </c>
      <c r="V1018">
        <v>1</v>
      </c>
      <c r="W1018">
        <v>1</v>
      </c>
      <c r="X1018">
        <v>1</v>
      </c>
      <c r="Y1018">
        <v>1</v>
      </c>
      <c r="Z1018">
        <v>3.024159</v>
      </c>
    </row>
    <row r="1019" spans="1:26" x14ac:dyDescent="0.25">
      <c r="A1019">
        <v>27925</v>
      </c>
      <c r="B1019" t="s">
        <v>140</v>
      </c>
      <c r="C1019">
        <v>2018</v>
      </c>
      <c r="D1019">
        <v>1</v>
      </c>
      <c r="E1019" t="s">
        <v>415</v>
      </c>
      <c r="F1019" t="s">
        <v>416</v>
      </c>
      <c r="G1019" t="s">
        <v>417</v>
      </c>
      <c r="H1019" t="s">
        <v>84</v>
      </c>
      <c r="I1019" t="s">
        <v>428</v>
      </c>
      <c r="J1019" t="s">
        <v>59</v>
      </c>
      <c r="K1019">
        <v>-5408.5478092800004</v>
      </c>
      <c r="L1019" t="s">
        <v>89</v>
      </c>
      <c r="M1019" t="s">
        <v>420</v>
      </c>
      <c r="N1019">
        <v>0.26343870574139999</v>
      </c>
      <c r="O1019">
        <v>1424.820835</v>
      </c>
      <c r="P1019" t="s">
        <v>421</v>
      </c>
      <c r="Q1019">
        <v>1</v>
      </c>
      <c r="V1019">
        <v>1</v>
      </c>
      <c r="W1019">
        <v>1</v>
      </c>
      <c r="X1019">
        <v>1</v>
      </c>
      <c r="Y1019">
        <v>1</v>
      </c>
      <c r="Z1019">
        <v>1424.820835</v>
      </c>
    </row>
    <row r="1020" spans="1:26" x14ac:dyDescent="0.25">
      <c r="A1020">
        <v>27926</v>
      </c>
      <c r="B1020" t="s">
        <v>140</v>
      </c>
      <c r="C1020">
        <v>2018</v>
      </c>
      <c r="D1020">
        <v>1</v>
      </c>
      <c r="E1020" t="s">
        <v>415</v>
      </c>
      <c r="F1020" t="s">
        <v>416</v>
      </c>
      <c r="G1020" t="s">
        <v>417</v>
      </c>
      <c r="H1020" t="s">
        <v>84</v>
      </c>
      <c r="I1020" t="s">
        <v>428</v>
      </c>
      <c r="J1020" t="s">
        <v>59</v>
      </c>
      <c r="K1020">
        <v>-5408.5478092800004</v>
      </c>
      <c r="L1020" t="s">
        <v>89</v>
      </c>
      <c r="M1020" t="s">
        <v>422</v>
      </c>
      <c r="N1020">
        <v>7.1262429683470005E-2</v>
      </c>
      <c r="O1020">
        <v>385.42625800000002</v>
      </c>
      <c r="P1020" t="s">
        <v>421</v>
      </c>
      <c r="Q1020">
        <v>1</v>
      </c>
      <c r="V1020">
        <v>1</v>
      </c>
      <c r="W1020">
        <v>1</v>
      </c>
      <c r="X1020">
        <v>1</v>
      </c>
      <c r="Y1020">
        <v>1</v>
      </c>
      <c r="Z1020">
        <v>385.42625800000002</v>
      </c>
    </row>
    <row r="1021" spans="1:26" x14ac:dyDescent="0.25">
      <c r="A1021">
        <v>27927</v>
      </c>
      <c r="B1021" t="s">
        <v>140</v>
      </c>
      <c r="C1021">
        <v>2018</v>
      </c>
      <c r="D1021">
        <v>1</v>
      </c>
      <c r="E1021" t="s">
        <v>415</v>
      </c>
      <c r="F1021" t="s">
        <v>416</v>
      </c>
      <c r="G1021" t="s">
        <v>417</v>
      </c>
      <c r="H1021" t="s">
        <v>84</v>
      </c>
      <c r="I1021" t="s">
        <v>428</v>
      </c>
      <c r="J1021" t="s">
        <v>59</v>
      </c>
      <c r="K1021">
        <v>-5408.5478092800004</v>
      </c>
      <c r="L1021" t="s">
        <v>89</v>
      </c>
      <c r="M1021" t="s">
        <v>423</v>
      </c>
      <c r="N1021">
        <v>0.74738783869542003</v>
      </c>
      <c r="O1021">
        <v>4042.282858</v>
      </c>
      <c r="P1021" t="s">
        <v>421</v>
      </c>
      <c r="Q1021">
        <v>1</v>
      </c>
      <c r="V1021">
        <v>1</v>
      </c>
      <c r="W1021">
        <v>1</v>
      </c>
      <c r="X1021">
        <v>1</v>
      </c>
      <c r="Y1021">
        <v>1</v>
      </c>
      <c r="Z1021">
        <v>4042.282858</v>
      </c>
    </row>
    <row r="1022" spans="1:26" x14ac:dyDescent="0.25">
      <c r="A1022">
        <v>27928</v>
      </c>
      <c r="B1022" t="s">
        <v>140</v>
      </c>
      <c r="C1022">
        <v>2018</v>
      </c>
      <c r="D1022">
        <v>1</v>
      </c>
      <c r="E1022" t="s">
        <v>415</v>
      </c>
      <c r="F1022" t="s">
        <v>416</v>
      </c>
      <c r="G1022" t="s">
        <v>417</v>
      </c>
      <c r="H1022" t="s">
        <v>84</v>
      </c>
      <c r="I1022" t="s">
        <v>428</v>
      </c>
      <c r="J1022" t="s">
        <v>59</v>
      </c>
      <c r="K1022">
        <v>-5408.5478092800004</v>
      </c>
      <c r="L1022" t="s">
        <v>89</v>
      </c>
      <c r="M1022" t="s">
        <v>424</v>
      </c>
      <c r="N1022">
        <v>3.08071516317E-3</v>
      </c>
      <c r="O1022">
        <v>16.662195000000001</v>
      </c>
      <c r="P1022" t="s">
        <v>421</v>
      </c>
      <c r="Q1022">
        <v>1</v>
      </c>
      <c r="V1022">
        <v>1</v>
      </c>
      <c r="W1022">
        <v>1</v>
      </c>
      <c r="X1022">
        <v>1</v>
      </c>
      <c r="Y1022">
        <v>1</v>
      </c>
      <c r="Z1022">
        <v>16.662195000000001</v>
      </c>
    </row>
    <row r="1023" spans="1:26" x14ac:dyDescent="0.25">
      <c r="A1023">
        <v>27929</v>
      </c>
      <c r="B1023" t="s">
        <v>140</v>
      </c>
      <c r="C1023">
        <v>2018</v>
      </c>
      <c r="D1023">
        <v>1</v>
      </c>
      <c r="E1023" t="s">
        <v>415</v>
      </c>
      <c r="F1023" t="s">
        <v>416</v>
      </c>
      <c r="G1023" t="s">
        <v>417</v>
      </c>
      <c r="H1023" t="s">
        <v>84</v>
      </c>
      <c r="I1023" t="s">
        <v>428</v>
      </c>
      <c r="J1023" t="s">
        <v>59</v>
      </c>
      <c r="K1023">
        <v>-5408.5478092800004</v>
      </c>
      <c r="L1023" t="s">
        <v>89</v>
      </c>
      <c r="M1023" t="s">
        <v>425</v>
      </c>
      <c r="N1023">
        <v>2.5360775708E-3</v>
      </c>
      <c r="O1023">
        <v>13.716497</v>
      </c>
      <c r="P1023" t="s">
        <v>421</v>
      </c>
      <c r="Q1023">
        <v>1</v>
      </c>
      <c r="V1023">
        <v>1</v>
      </c>
      <c r="W1023">
        <v>1</v>
      </c>
      <c r="X1023">
        <v>1</v>
      </c>
      <c r="Y1023">
        <v>1</v>
      </c>
      <c r="Z1023">
        <v>13.716497</v>
      </c>
    </row>
    <row r="1024" spans="1:26" x14ac:dyDescent="0.25">
      <c r="A1024">
        <v>27930</v>
      </c>
      <c r="B1024" t="s">
        <v>140</v>
      </c>
      <c r="C1024">
        <v>2018</v>
      </c>
      <c r="D1024">
        <v>1</v>
      </c>
      <c r="E1024" t="s">
        <v>415</v>
      </c>
      <c r="F1024" t="s">
        <v>429</v>
      </c>
      <c r="G1024" t="s">
        <v>430</v>
      </c>
      <c r="H1024" t="s">
        <v>84</v>
      </c>
      <c r="I1024" t="s">
        <v>431</v>
      </c>
      <c r="J1024" t="s">
        <v>419</v>
      </c>
      <c r="K1024">
        <v>-14437.16057342</v>
      </c>
      <c r="L1024" t="s">
        <v>85</v>
      </c>
      <c r="M1024" t="s">
        <v>420</v>
      </c>
      <c r="N1024">
        <v>0.24824931095561001</v>
      </c>
      <c r="O1024">
        <v>3584.0151649999998</v>
      </c>
      <c r="P1024" t="s">
        <v>421</v>
      </c>
      <c r="Q1024">
        <v>1</v>
      </c>
      <c r="V1024">
        <v>1</v>
      </c>
      <c r="W1024">
        <v>1</v>
      </c>
      <c r="X1024">
        <v>1</v>
      </c>
      <c r="Y1024">
        <v>1</v>
      </c>
      <c r="Z1024">
        <v>3584.0151649999998</v>
      </c>
    </row>
    <row r="1025" spans="1:26" x14ac:dyDescent="0.25">
      <c r="A1025">
        <v>27931</v>
      </c>
      <c r="B1025" t="s">
        <v>140</v>
      </c>
      <c r="C1025">
        <v>2018</v>
      </c>
      <c r="D1025">
        <v>1</v>
      </c>
      <c r="E1025" t="s">
        <v>415</v>
      </c>
      <c r="F1025" t="s">
        <v>429</v>
      </c>
      <c r="G1025" t="s">
        <v>430</v>
      </c>
      <c r="H1025" t="s">
        <v>84</v>
      </c>
      <c r="I1025" t="s">
        <v>431</v>
      </c>
      <c r="J1025" t="s">
        <v>419</v>
      </c>
      <c r="K1025">
        <v>-14437.16057342</v>
      </c>
      <c r="L1025" t="s">
        <v>85</v>
      </c>
      <c r="M1025" t="s">
        <v>422</v>
      </c>
      <c r="N1025">
        <v>7.7540047892240005E-2</v>
      </c>
      <c r="O1025">
        <v>1119.458122</v>
      </c>
      <c r="P1025" t="s">
        <v>421</v>
      </c>
      <c r="Q1025">
        <v>1</v>
      </c>
      <c r="V1025">
        <v>1</v>
      </c>
      <c r="W1025">
        <v>1</v>
      </c>
      <c r="X1025">
        <v>1</v>
      </c>
      <c r="Y1025">
        <v>1</v>
      </c>
      <c r="Z1025">
        <v>1119.458122</v>
      </c>
    </row>
    <row r="1026" spans="1:26" x14ac:dyDescent="0.25">
      <c r="A1026">
        <v>27932</v>
      </c>
      <c r="B1026" t="s">
        <v>140</v>
      </c>
      <c r="C1026">
        <v>2018</v>
      </c>
      <c r="D1026">
        <v>1</v>
      </c>
      <c r="E1026" t="s">
        <v>415</v>
      </c>
      <c r="F1026" t="s">
        <v>429</v>
      </c>
      <c r="G1026" t="s">
        <v>430</v>
      </c>
      <c r="H1026" t="s">
        <v>84</v>
      </c>
      <c r="I1026" t="s">
        <v>431</v>
      </c>
      <c r="J1026" t="s">
        <v>419</v>
      </c>
      <c r="K1026">
        <v>-14437.16057342</v>
      </c>
      <c r="L1026" t="s">
        <v>85</v>
      </c>
      <c r="M1026" t="s">
        <v>423</v>
      </c>
      <c r="N1026">
        <v>0.73979703899049998</v>
      </c>
      <c r="O1026">
        <v>10680.568644000001</v>
      </c>
      <c r="P1026" t="s">
        <v>421</v>
      </c>
      <c r="Q1026">
        <v>1</v>
      </c>
      <c r="V1026">
        <v>1</v>
      </c>
      <c r="W1026">
        <v>1</v>
      </c>
      <c r="X1026">
        <v>1</v>
      </c>
      <c r="Y1026">
        <v>1</v>
      </c>
      <c r="Z1026">
        <v>10680.568644000001</v>
      </c>
    </row>
    <row r="1027" spans="1:26" x14ac:dyDescent="0.25">
      <c r="A1027">
        <v>27933</v>
      </c>
      <c r="B1027" t="s">
        <v>140</v>
      </c>
      <c r="C1027">
        <v>2018</v>
      </c>
      <c r="D1027">
        <v>1</v>
      </c>
      <c r="E1027" t="s">
        <v>415</v>
      </c>
      <c r="F1027" t="s">
        <v>429</v>
      </c>
      <c r="G1027" t="s">
        <v>430</v>
      </c>
      <c r="H1027" t="s">
        <v>84</v>
      </c>
      <c r="I1027" t="s">
        <v>431</v>
      </c>
      <c r="J1027" t="s">
        <v>419</v>
      </c>
      <c r="K1027">
        <v>-14437.16057342</v>
      </c>
      <c r="L1027" t="s">
        <v>85</v>
      </c>
      <c r="M1027" t="s">
        <v>424</v>
      </c>
      <c r="N1027">
        <v>2.9085775596699999E-3</v>
      </c>
      <c r="O1027">
        <v>41.991601000000003</v>
      </c>
      <c r="P1027" t="s">
        <v>421</v>
      </c>
      <c r="Q1027">
        <v>1</v>
      </c>
      <c r="V1027">
        <v>1</v>
      </c>
      <c r="W1027">
        <v>1</v>
      </c>
      <c r="X1027">
        <v>1</v>
      </c>
      <c r="Y1027">
        <v>1</v>
      </c>
      <c r="Z1027">
        <v>41.991601000000003</v>
      </c>
    </row>
    <row r="1028" spans="1:26" x14ac:dyDescent="0.25">
      <c r="A1028">
        <v>27934</v>
      </c>
      <c r="B1028" t="s">
        <v>140</v>
      </c>
      <c r="C1028">
        <v>2018</v>
      </c>
      <c r="D1028">
        <v>1</v>
      </c>
      <c r="E1028" t="s">
        <v>415</v>
      </c>
      <c r="F1028" t="s">
        <v>429</v>
      </c>
      <c r="G1028" t="s">
        <v>430</v>
      </c>
      <c r="H1028" t="s">
        <v>84</v>
      </c>
      <c r="I1028" t="s">
        <v>431</v>
      </c>
      <c r="J1028" t="s">
        <v>419</v>
      </c>
      <c r="K1028">
        <v>-14437.16057342</v>
      </c>
      <c r="L1028" t="s">
        <v>85</v>
      </c>
      <c r="M1028" t="s">
        <v>425</v>
      </c>
      <c r="N1028">
        <v>2.6170694898000001E-3</v>
      </c>
      <c r="O1028">
        <v>37.783051999999998</v>
      </c>
      <c r="P1028" t="s">
        <v>421</v>
      </c>
      <c r="Q1028">
        <v>1</v>
      </c>
      <c r="V1028">
        <v>1</v>
      </c>
      <c r="W1028">
        <v>1</v>
      </c>
      <c r="X1028">
        <v>1</v>
      </c>
      <c r="Y1028">
        <v>1</v>
      </c>
      <c r="Z1028">
        <v>37.783051999999998</v>
      </c>
    </row>
    <row r="1029" spans="1:26" x14ac:dyDescent="0.25">
      <c r="A1029">
        <v>27935</v>
      </c>
      <c r="B1029" t="s">
        <v>140</v>
      </c>
      <c r="C1029">
        <v>2018</v>
      </c>
      <c r="D1029">
        <v>1</v>
      </c>
      <c r="E1029" t="s">
        <v>415</v>
      </c>
      <c r="F1029" t="s">
        <v>429</v>
      </c>
      <c r="G1029" t="s">
        <v>430</v>
      </c>
      <c r="H1029" t="s">
        <v>84</v>
      </c>
      <c r="I1029" t="s">
        <v>432</v>
      </c>
      <c r="J1029" t="s">
        <v>87</v>
      </c>
      <c r="K1029">
        <v>-2582.7047859499999</v>
      </c>
      <c r="L1029" t="s">
        <v>427</v>
      </c>
      <c r="M1029" t="s">
        <v>420</v>
      </c>
      <c r="N1029">
        <v>0.45523813654234002</v>
      </c>
      <c r="O1029">
        <v>1175.7457139999999</v>
      </c>
      <c r="P1029" t="s">
        <v>421</v>
      </c>
      <c r="Q1029">
        <v>1</v>
      </c>
      <c r="V1029">
        <v>1</v>
      </c>
      <c r="W1029">
        <v>1</v>
      </c>
      <c r="X1029">
        <v>1</v>
      </c>
      <c r="Y1029">
        <v>1</v>
      </c>
      <c r="Z1029">
        <v>1175.7457139999999</v>
      </c>
    </row>
    <row r="1030" spans="1:26" x14ac:dyDescent="0.25">
      <c r="A1030">
        <v>27936</v>
      </c>
      <c r="B1030" t="s">
        <v>140</v>
      </c>
      <c r="C1030">
        <v>2018</v>
      </c>
      <c r="D1030">
        <v>1</v>
      </c>
      <c r="E1030" t="s">
        <v>415</v>
      </c>
      <c r="F1030" t="s">
        <v>429</v>
      </c>
      <c r="G1030" t="s">
        <v>430</v>
      </c>
      <c r="H1030" t="s">
        <v>84</v>
      </c>
      <c r="I1030" t="s">
        <v>432</v>
      </c>
      <c r="J1030" t="s">
        <v>87</v>
      </c>
      <c r="K1030">
        <v>-2582.7047859499999</v>
      </c>
      <c r="L1030" t="s">
        <v>427</v>
      </c>
      <c r="M1030" t="s">
        <v>422</v>
      </c>
      <c r="N1030">
        <v>6.8896616392329996E-2</v>
      </c>
      <c r="O1030">
        <v>177.93962099999999</v>
      </c>
      <c r="P1030" t="s">
        <v>421</v>
      </c>
      <c r="Q1030">
        <v>1</v>
      </c>
      <c r="V1030">
        <v>1</v>
      </c>
      <c r="W1030">
        <v>1</v>
      </c>
      <c r="X1030">
        <v>1</v>
      </c>
      <c r="Y1030">
        <v>1</v>
      </c>
      <c r="Z1030">
        <v>177.93962099999999</v>
      </c>
    </row>
    <row r="1031" spans="1:26" x14ac:dyDescent="0.25">
      <c r="A1031">
        <v>27937</v>
      </c>
      <c r="B1031" t="s">
        <v>140</v>
      </c>
      <c r="C1031">
        <v>2018</v>
      </c>
      <c r="D1031">
        <v>1</v>
      </c>
      <c r="E1031" t="s">
        <v>415</v>
      </c>
      <c r="F1031" t="s">
        <v>429</v>
      </c>
      <c r="G1031" t="s">
        <v>430</v>
      </c>
      <c r="H1031" t="s">
        <v>84</v>
      </c>
      <c r="I1031" t="s">
        <v>432</v>
      </c>
      <c r="J1031" t="s">
        <v>87</v>
      </c>
      <c r="K1031">
        <v>-2582.7047859499999</v>
      </c>
      <c r="L1031" t="s">
        <v>427</v>
      </c>
      <c r="M1031" t="s">
        <v>423</v>
      </c>
      <c r="N1031">
        <v>0.70986919705586005</v>
      </c>
      <c r="O1031">
        <v>1833.3825730000001</v>
      </c>
      <c r="P1031" t="s">
        <v>421</v>
      </c>
      <c r="Q1031">
        <v>1</v>
      </c>
      <c r="V1031">
        <v>1</v>
      </c>
      <c r="W1031">
        <v>1</v>
      </c>
      <c r="X1031">
        <v>1</v>
      </c>
      <c r="Y1031">
        <v>1</v>
      </c>
      <c r="Z1031">
        <v>1833.3825730000001</v>
      </c>
    </row>
    <row r="1032" spans="1:26" x14ac:dyDescent="0.25">
      <c r="A1032">
        <v>27938</v>
      </c>
      <c r="B1032" t="s">
        <v>140</v>
      </c>
      <c r="C1032">
        <v>2018</v>
      </c>
      <c r="D1032">
        <v>1</v>
      </c>
      <c r="E1032" t="s">
        <v>415</v>
      </c>
      <c r="F1032" t="s">
        <v>429</v>
      </c>
      <c r="G1032" t="s">
        <v>430</v>
      </c>
      <c r="H1032" t="s">
        <v>84</v>
      </c>
      <c r="I1032" t="s">
        <v>432</v>
      </c>
      <c r="J1032" t="s">
        <v>87</v>
      </c>
      <c r="K1032">
        <v>-2582.7047859499999</v>
      </c>
      <c r="L1032" t="s">
        <v>427</v>
      </c>
      <c r="M1032" t="s">
        <v>425</v>
      </c>
      <c r="N1032">
        <v>1.4965642882E-3</v>
      </c>
      <c r="O1032">
        <v>3.8651840000000002</v>
      </c>
      <c r="P1032" t="s">
        <v>421</v>
      </c>
      <c r="Q1032">
        <v>1</v>
      </c>
      <c r="V1032">
        <v>1</v>
      </c>
      <c r="W1032">
        <v>1</v>
      </c>
      <c r="X1032">
        <v>1</v>
      </c>
      <c r="Y1032">
        <v>1</v>
      </c>
      <c r="Z1032">
        <v>3.8651840000000002</v>
      </c>
    </row>
    <row r="1033" spans="1:26" x14ac:dyDescent="0.25">
      <c r="A1033">
        <v>27939</v>
      </c>
      <c r="B1033" t="s">
        <v>140</v>
      </c>
      <c r="C1033">
        <v>2018</v>
      </c>
      <c r="D1033">
        <v>1</v>
      </c>
      <c r="E1033" t="s">
        <v>415</v>
      </c>
      <c r="F1033" t="s">
        <v>429</v>
      </c>
      <c r="G1033" t="s">
        <v>430</v>
      </c>
      <c r="H1033" t="s">
        <v>84</v>
      </c>
      <c r="I1033" t="s">
        <v>433</v>
      </c>
      <c r="J1033" t="s">
        <v>59</v>
      </c>
      <c r="K1033">
        <v>-6249.9577901499997</v>
      </c>
      <c r="L1033" t="s">
        <v>89</v>
      </c>
      <c r="M1033" t="s">
        <v>420</v>
      </c>
      <c r="N1033">
        <v>0.26343870574139999</v>
      </c>
      <c r="O1033">
        <v>1646.480791</v>
      </c>
      <c r="P1033" t="s">
        <v>421</v>
      </c>
      <c r="Q1033">
        <v>1</v>
      </c>
      <c r="V1033">
        <v>1</v>
      </c>
      <c r="W1033">
        <v>1</v>
      </c>
      <c r="X1033">
        <v>1</v>
      </c>
      <c r="Y1033">
        <v>1</v>
      </c>
      <c r="Z1033">
        <v>1646.480791</v>
      </c>
    </row>
    <row r="1034" spans="1:26" x14ac:dyDescent="0.25">
      <c r="A1034">
        <v>27940</v>
      </c>
      <c r="B1034" t="s">
        <v>140</v>
      </c>
      <c r="C1034">
        <v>2018</v>
      </c>
      <c r="D1034">
        <v>1</v>
      </c>
      <c r="E1034" t="s">
        <v>415</v>
      </c>
      <c r="F1034" t="s">
        <v>429</v>
      </c>
      <c r="G1034" t="s">
        <v>430</v>
      </c>
      <c r="H1034" t="s">
        <v>84</v>
      </c>
      <c r="I1034" t="s">
        <v>433</v>
      </c>
      <c r="J1034" t="s">
        <v>59</v>
      </c>
      <c r="K1034">
        <v>-6249.9577901499997</v>
      </c>
      <c r="L1034" t="s">
        <v>89</v>
      </c>
      <c r="M1034" t="s">
        <v>422</v>
      </c>
      <c r="N1034">
        <v>7.1262429683470005E-2</v>
      </c>
      <c r="O1034">
        <v>445.38717800000001</v>
      </c>
      <c r="P1034" t="s">
        <v>421</v>
      </c>
      <c r="Q1034">
        <v>1</v>
      </c>
      <c r="V1034">
        <v>1</v>
      </c>
      <c r="W1034">
        <v>1</v>
      </c>
      <c r="X1034">
        <v>1</v>
      </c>
      <c r="Y1034">
        <v>1</v>
      </c>
      <c r="Z1034">
        <v>445.38717800000001</v>
      </c>
    </row>
    <row r="1035" spans="1:26" x14ac:dyDescent="0.25">
      <c r="A1035">
        <v>27941</v>
      </c>
      <c r="B1035" t="s">
        <v>140</v>
      </c>
      <c r="C1035">
        <v>2018</v>
      </c>
      <c r="D1035">
        <v>1</v>
      </c>
      <c r="E1035" t="s">
        <v>415</v>
      </c>
      <c r="F1035" t="s">
        <v>429</v>
      </c>
      <c r="G1035" t="s">
        <v>430</v>
      </c>
      <c r="H1035" t="s">
        <v>84</v>
      </c>
      <c r="I1035" t="s">
        <v>433</v>
      </c>
      <c r="J1035" t="s">
        <v>59</v>
      </c>
      <c r="K1035">
        <v>-6249.9577901499997</v>
      </c>
      <c r="L1035" t="s">
        <v>89</v>
      </c>
      <c r="M1035" t="s">
        <v>423</v>
      </c>
      <c r="N1035">
        <v>0.74738783869542003</v>
      </c>
      <c r="O1035">
        <v>4671.1424450000004</v>
      </c>
      <c r="P1035" t="s">
        <v>421</v>
      </c>
      <c r="Q1035">
        <v>1</v>
      </c>
      <c r="V1035">
        <v>1</v>
      </c>
      <c r="W1035">
        <v>1</v>
      </c>
      <c r="X1035">
        <v>1</v>
      </c>
      <c r="Y1035">
        <v>1</v>
      </c>
      <c r="Z1035">
        <v>4671.1424450000004</v>
      </c>
    </row>
    <row r="1036" spans="1:26" x14ac:dyDescent="0.25">
      <c r="A1036">
        <v>27942</v>
      </c>
      <c r="B1036" t="s">
        <v>140</v>
      </c>
      <c r="C1036">
        <v>2018</v>
      </c>
      <c r="D1036">
        <v>1</v>
      </c>
      <c r="E1036" t="s">
        <v>415</v>
      </c>
      <c r="F1036" t="s">
        <v>429</v>
      </c>
      <c r="G1036" t="s">
        <v>430</v>
      </c>
      <c r="H1036" t="s">
        <v>84</v>
      </c>
      <c r="I1036" t="s">
        <v>433</v>
      </c>
      <c r="J1036" t="s">
        <v>59</v>
      </c>
      <c r="K1036">
        <v>-6249.9577901499997</v>
      </c>
      <c r="L1036" t="s">
        <v>89</v>
      </c>
      <c r="M1036" t="s">
        <v>424</v>
      </c>
      <c r="N1036">
        <v>3.08071516317E-3</v>
      </c>
      <c r="O1036">
        <v>19.254339999999999</v>
      </c>
      <c r="P1036" t="s">
        <v>421</v>
      </c>
      <c r="Q1036">
        <v>1</v>
      </c>
      <c r="V1036">
        <v>1</v>
      </c>
      <c r="W1036">
        <v>1</v>
      </c>
      <c r="X1036">
        <v>1</v>
      </c>
      <c r="Y1036">
        <v>1</v>
      </c>
      <c r="Z1036">
        <v>19.254339999999999</v>
      </c>
    </row>
    <row r="1037" spans="1:26" x14ac:dyDescent="0.25">
      <c r="A1037">
        <v>27943</v>
      </c>
      <c r="B1037" t="s">
        <v>140</v>
      </c>
      <c r="C1037">
        <v>2018</v>
      </c>
      <c r="D1037">
        <v>1</v>
      </c>
      <c r="E1037" t="s">
        <v>415</v>
      </c>
      <c r="F1037" t="s">
        <v>429</v>
      </c>
      <c r="G1037" t="s">
        <v>430</v>
      </c>
      <c r="H1037" t="s">
        <v>84</v>
      </c>
      <c r="I1037" t="s">
        <v>433</v>
      </c>
      <c r="J1037" t="s">
        <v>59</v>
      </c>
      <c r="K1037">
        <v>-6249.9577901499997</v>
      </c>
      <c r="L1037" t="s">
        <v>89</v>
      </c>
      <c r="M1037" t="s">
        <v>425</v>
      </c>
      <c r="N1037">
        <v>2.5360775708E-3</v>
      </c>
      <c r="O1037">
        <v>15.850377999999999</v>
      </c>
      <c r="P1037" t="s">
        <v>421</v>
      </c>
      <c r="Q1037">
        <v>1</v>
      </c>
      <c r="V1037">
        <v>1</v>
      </c>
      <c r="W1037">
        <v>1</v>
      </c>
      <c r="X1037">
        <v>1</v>
      </c>
      <c r="Y1037">
        <v>1</v>
      </c>
      <c r="Z1037">
        <v>15.850377999999999</v>
      </c>
    </row>
    <row r="1038" spans="1:26" x14ac:dyDescent="0.25">
      <c r="A1038">
        <v>27944</v>
      </c>
      <c r="B1038" t="s">
        <v>140</v>
      </c>
      <c r="C1038">
        <v>2018</v>
      </c>
      <c r="D1038">
        <v>1</v>
      </c>
      <c r="E1038" t="s">
        <v>415</v>
      </c>
      <c r="F1038" t="s">
        <v>434</v>
      </c>
      <c r="G1038" t="s">
        <v>435</v>
      </c>
      <c r="H1038" t="s">
        <v>84</v>
      </c>
      <c r="I1038" t="s">
        <v>436</v>
      </c>
      <c r="J1038" t="s">
        <v>419</v>
      </c>
      <c r="K1038">
        <v>-6680.3696331000001</v>
      </c>
      <c r="L1038" t="s">
        <v>85</v>
      </c>
      <c r="M1038" t="s">
        <v>420</v>
      </c>
      <c r="N1038">
        <v>0.24824931095561001</v>
      </c>
      <c r="O1038">
        <v>1658.397158</v>
      </c>
      <c r="P1038" t="s">
        <v>421</v>
      </c>
      <c r="Q1038">
        <v>1</v>
      </c>
      <c r="V1038">
        <v>1</v>
      </c>
      <c r="W1038">
        <v>1</v>
      </c>
      <c r="X1038">
        <v>1</v>
      </c>
      <c r="Y1038">
        <v>1</v>
      </c>
      <c r="Z1038">
        <v>1658.397158</v>
      </c>
    </row>
    <row r="1039" spans="1:26" x14ac:dyDescent="0.25">
      <c r="A1039">
        <v>27945</v>
      </c>
      <c r="B1039" t="s">
        <v>140</v>
      </c>
      <c r="C1039">
        <v>2018</v>
      </c>
      <c r="D1039">
        <v>1</v>
      </c>
      <c r="E1039" t="s">
        <v>415</v>
      </c>
      <c r="F1039" t="s">
        <v>434</v>
      </c>
      <c r="G1039" t="s">
        <v>435</v>
      </c>
      <c r="H1039" t="s">
        <v>84</v>
      </c>
      <c r="I1039" t="s">
        <v>436</v>
      </c>
      <c r="J1039" t="s">
        <v>419</v>
      </c>
      <c r="K1039">
        <v>-6680.3696331000001</v>
      </c>
      <c r="L1039" t="s">
        <v>85</v>
      </c>
      <c r="M1039" t="s">
        <v>422</v>
      </c>
      <c r="N1039">
        <v>7.7540047892240005E-2</v>
      </c>
      <c r="O1039">
        <v>517.99618099999998</v>
      </c>
      <c r="P1039" t="s">
        <v>421</v>
      </c>
      <c r="Q1039">
        <v>1</v>
      </c>
      <c r="V1039">
        <v>1</v>
      </c>
      <c r="W1039">
        <v>1</v>
      </c>
      <c r="X1039">
        <v>1</v>
      </c>
      <c r="Y1039">
        <v>1</v>
      </c>
      <c r="Z1039">
        <v>517.99618099999998</v>
      </c>
    </row>
    <row r="1040" spans="1:26" x14ac:dyDescent="0.25">
      <c r="A1040">
        <v>27946</v>
      </c>
      <c r="B1040" t="s">
        <v>140</v>
      </c>
      <c r="C1040">
        <v>2018</v>
      </c>
      <c r="D1040">
        <v>1</v>
      </c>
      <c r="E1040" t="s">
        <v>415</v>
      </c>
      <c r="F1040" t="s">
        <v>434</v>
      </c>
      <c r="G1040" t="s">
        <v>435</v>
      </c>
      <c r="H1040" t="s">
        <v>84</v>
      </c>
      <c r="I1040" t="s">
        <v>436</v>
      </c>
      <c r="J1040" t="s">
        <v>419</v>
      </c>
      <c r="K1040">
        <v>-6680.3696331000001</v>
      </c>
      <c r="L1040" t="s">
        <v>85</v>
      </c>
      <c r="M1040" t="s">
        <v>423</v>
      </c>
      <c r="N1040">
        <v>0.73979703899049998</v>
      </c>
      <c r="O1040">
        <v>4942.1176740000001</v>
      </c>
      <c r="P1040" t="s">
        <v>421</v>
      </c>
      <c r="Q1040">
        <v>1</v>
      </c>
      <c r="V1040">
        <v>1</v>
      </c>
      <c r="W1040">
        <v>1</v>
      </c>
      <c r="X1040">
        <v>1</v>
      </c>
      <c r="Y1040">
        <v>1</v>
      </c>
      <c r="Z1040">
        <v>4942.1176740000001</v>
      </c>
    </row>
    <row r="1041" spans="1:26" x14ac:dyDescent="0.25">
      <c r="A1041">
        <v>27947</v>
      </c>
      <c r="B1041" t="s">
        <v>140</v>
      </c>
      <c r="C1041">
        <v>2018</v>
      </c>
      <c r="D1041">
        <v>1</v>
      </c>
      <c r="E1041" t="s">
        <v>415</v>
      </c>
      <c r="F1041" t="s">
        <v>434</v>
      </c>
      <c r="G1041" t="s">
        <v>435</v>
      </c>
      <c r="H1041" t="s">
        <v>84</v>
      </c>
      <c r="I1041" t="s">
        <v>436</v>
      </c>
      <c r="J1041" t="s">
        <v>419</v>
      </c>
      <c r="K1041">
        <v>-6680.3696331000001</v>
      </c>
      <c r="L1041" t="s">
        <v>85</v>
      </c>
      <c r="M1041" t="s">
        <v>424</v>
      </c>
      <c r="N1041">
        <v>2.9085775596699999E-3</v>
      </c>
      <c r="O1041">
        <v>19.430372999999999</v>
      </c>
      <c r="P1041" t="s">
        <v>421</v>
      </c>
      <c r="Q1041">
        <v>1</v>
      </c>
      <c r="V1041">
        <v>1</v>
      </c>
      <c r="W1041">
        <v>1</v>
      </c>
      <c r="X1041">
        <v>1</v>
      </c>
      <c r="Y1041">
        <v>1</v>
      </c>
      <c r="Z1041">
        <v>19.430372999999999</v>
      </c>
    </row>
    <row r="1042" spans="1:26" x14ac:dyDescent="0.25">
      <c r="A1042">
        <v>27948</v>
      </c>
      <c r="B1042" t="s">
        <v>140</v>
      </c>
      <c r="C1042">
        <v>2018</v>
      </c>
      <c r="D1042">
        <v>1</v>
      </c>
      <c r="E1042" t="s">
        <v>415</v>
      </c>
      <c r="F1042" t="s">
        <v>434</v>
      </c>
      <c r="G1042" t="s">
        <v>435</v>
      </c>
      <c r="H1042" t="s">
        <v>84</v>
      </c>
      <c r="I1042" t="s">
        <v>436</v>
      </c>
      <c r="J1042" t="s">
        <v>419</v>
      </c>
      <c r="K1042">
        <v>-6680.3696331000001</v>
      </c>
      <c r="L1042" t="s">
        <v>85</v>
      </c>
      <c r="M1042" t="s">
        <v>425</v>
      </c>
      <c r="N1042">
        <v>2.6170694898000001E-3</v>
      </c>
      <c r="O1042">
        <v>17.482991999999999</v>
      </c>
      <c r="P1042" t="s">
        <v>421</v>
      </c>
      <c r="Q1042">
        <v>1</v>
      </c>
      <c r="V1042">
        <v>1</v>
      </c>
      <c r="W1042">
        <v>1</v>
      </c>
      <c r="X1042">
        <v>1</v>
      </c>
      <c r="Y1042">
        <v>1</v>
      </c>
      <c r="Z1042">
        <v>17.482991999999999</v>
      </c>
    </row>
    <row r="1043" spans="1:26" x14ac:dyDescent="0.25">
      <c r="A1043">
        <v>27949</v>
      </c>
      <c r="B1043" t="s">
        <v>140</v>
      </c>
      <c r="C1043">
        <v>2018</v>
      </c>
      <c r="D1043">
        <v>1</v>
      </c>
      <c r="E1043" t="s">
        <v>415</v>
      </c>
      <c r="F1043" t="s">
        <v>434</v>
      </c>
      <c r="G1043" t="s">
        <v>435</v>
      </c>
      <c r="H1043" t="s">
        <v>84</v>
      </c>
      <c r="I1043" t="s">
        <v>437</v>
      </c>
      <c r="J1043" t="s">
        <v>87</v>
      </c>
      <c r="K1043">
        <v>-1319.8019597</v>
      </c>
      <c r="L1043" t="s">
        <v>427</v>
      </c>
      <c r="M1043" t="s">
        <v>420</v>
      </c>
      <c r="N1043">
        <v>0.45523813654234002</v>
      </c>
      <c r="O1043">
        <v>600.82418500000006</v>
      </c>
      <c r="P1043" t="s">
        <v>421</v>
      </c>
      <c r="Q1043">
        <v>1</v>
      </c>
      <c r="V1043">
        <v>1</v>
      </c>
      <c r="W1043">
        <v>1</v>
      </c>
      <c r="X1043">
        <v>1</v>
      </c>
      <c r="Y1043">
        <v>1</v>
      </c>
      <c r="Z1043">
        <v>600.82418500000006</v>
      </c>
    </row>
    <row r="1044" spans="1:26" x14ac:dyDescent="0.25">
      <c r="A1044">
        <v>27950</v>
      </c>
      <c r="B1044" t="s">
        <v>140</v>
      </c>
      <c r="C1044">
        <v>2018</v>
      </c>
      <c r="D1044">
        <v>1</v>
      </c>
      <c r="E1044" t="s">
        <v>415</v>
      </c>
      <c r="F1044" t="s">
        <v>434</v>
      </c>
      <c r="G1044" t="s">
        <v>435</v>
      </c>
      <c r="H1044" t="s">
        <v>84</v>
      </c>
      <c r="I1044" t="s">
        <v>437</v>
      </c>
      <c r="J1044" t="s">
        <v>87</v>
      </c>
      <c r="K1044">
        <v>-1319.8019597</v>
      </c>
      <c r="L1044" t="s">
        <v>427</v>
      </c>
      <c r="M1044" t="s">
        <v>422</v>
      </c>
      <c r="N1044">
        <v>6.8896616392329996E-2</v>
      </c>
      <c r="O1044">
        <v>90.929889000000003</v>
      </c>
      <c r="P1044" t="s">
        <v>421</v>
      </c>
      <c r="Q1044">
        <v>1</v>
      </c>
      <c r="V1044">
        <v>1</v>
      </c>
      <c r="W1044">
        <v>1</v>
      </c>
      <c r="X1044">
        <v>1</v>
      </c>
      <c r="Y1044">
        <v>1</v>
      </c>
      <c r="Z1044">
        <v>90.929889000000003</v>
      </c>
    </row>
    <row r="1045" spans="1:26" x14ac:dyDescent="0.25">
      <c r="A1045">
        <v>27951</v>
      </c>
      <c r="B1045" t="s">
        <v>140</v>
      </c>
      <c r="C1045">
        <v>2018</v>
      </c>
      <c r="D1045">
        <v>1</v>
      </c>
      <c r="E1045" t="s">
        <v>415</v>
      </c>
      <c r="F1045" t="s">
        <v>434</v>
      </c>
      <c r="G1045" t="s">
        <v>435</v>
      </c>
      <c r="H1045" t="s">
        <v>84</v>
      </c>
      <c r="I1045" t="s">
        <v>437</v>
      </c>
      <c r="J1045" t="s">
        <v>87</v>
      </c>
      <c r="K1045">
        <v>-1319.8019597</v>
      </c>
      <c r="L1045" t="s">
        <v>427</v>
      </c>
      <c r="M1045" t="s">
        <v>423</v>
      </c>
      <c r="N1045">
        <v>0.70986919705586005</v>
      </c>
      <c r="O1045">
        <v>936.88675699999999</v>
      </c>
      <c r="P1045" t="s">
        <v>421</v>
      </c>
      <c r="Q1045">
        <v>1</v>
      </c>
      <c r="V1045">
        <v>1</v>
      </c>
      <c r="W1045">
        <v>1</v>
      </c>
      <c r="X1045">
        <v>1</v>
      </c>
      <c r="Y1045">
        <v>1</v>
      </c>
      <c r="Z1045">
        <v>936.88675699999999</v>
      </c>
    </row>
    <row r="1046" spans="1:26" x14ac:dyDescent="0.25">
      <c r="A1046">
        <v>27952</v>
      </c>
      <c r="B1046" t="s">
        <v>140</v>
      </c>
      <c r="C1046">
        <v>2018</v>
      </c>
      <c r="D1046">
        <v>1</v>
      </c>
      <c r="E1046" t="s">
        <v>415</v>
      </c>
      <c r="F1046" t="s">
        <v>434</v>
      </c>
      <c r="G1046" t="s">
        <v>435</v>
      </c>
      <c r="H1046" t="s">
        <v>84</v>
      </c>
      <c r="I1046" t="s">
        <v>437</v>
      </c>
      <c r="J1046" t="s">
        <v>87</v>
      </c>
      <c r="K1046">
        <v>-1319.8019597</v>
      </c>
      <c r="L1046" t="s">
        <v>427</v>
      </c>
      <c r="M1046" t="s">
        <v>425</v>
      </c>
      <c r="N1046">
        <v>1.4965642882E-3</v>
      </c>
      <c r="O1046">
        <v>1.975168</v>
      </c>
      <c r="P1046" t="s">
        <v>421</v>
      </c>
      <c r="Q1046">
        <v>1</v>
      </c>
      <c r="V1046">
        <v>1</v>
      </c>
      <c r="W1046">
        <v>1</v>
      </c>
      <c r="X1046">
        <v>1</v>
      </c>
      <c r="Y1046">
        <v>1</v>
      </c>
      <c r="Z1046">
        <v>1.975168</v>
      </c>
    </row>
    <row r="1047" spans="1:26" x14ac:dyDescent="0.25">
      <c r="A1047">
        <v>27953</v>
      </c>
      <c r="B1047" t="s">
        <v>140</v>
      </c>
      <c r="C1047">
        <v>2018</v>
      </c>
      <c r="D1047">
        <v>1</v>
      </c>
      <c r="E1047" t="s">
        <v>415</v>
      </c>
      <c r="F1047" t="s">
        <v>434</v>
      </c>
      <c r="G1047" t="s">
        <v>435</v>
      </c>
      <c r="H1047" t="s">
        <v>84</v>
      </c>
      <c r="I1047" t="s">
        <v>438</v>
      </c>
      <c r="J1047" t="s">
        <v>59</v>
      </c>
      <c r="K1047">
        <v>-3635.5520713199999</v>
      </c>
      <c r="L1047" t="s">
        <v>89</v>
      </c>
      <c r="M1047" t="s">
        <v>420</v>
      </c>
      <c r="N1047">
        <v>0.26343870574139999</v>
      </c>
      <c r="O1047">
        <v>957.74513200000001</v>
      </c>
      <c r="P1047" t="s">
        <v>421</v>
      </c>
      <c r="Q1047">
        <v>1</v>
      </c>
      <c r="V1047">
        <v>1</v>
      </c>
      <c r="W1047">
        <v>1</v>
      </c>
      <c r="X1047">
        <v>1</v>
      </c>
      <c r="Y1047">
        <v>1</v>
      </c>
      <c r="Z1047">
        <v>957.74513200000001</v>
      </c>
    </row>
    <row r="1048" spans="1:26" x14ac:dyDescent="0.25">
      <c r="A1048">
        <v>27954</v>
      </c>
      <c r="B1048" t="s">
        <v>140</v>
      </c>
      <c r="C1048">
        <v>2018</v>
      </c>
      <c r="D1048">
        <v>1</v>
      </c>
      <c r="E1048" t="s">
        <v>415</v>
      </c>
      <c r="F1048" t="s">
        <v>434</v>
      </c>
      <c r="G1048" t="s">
        <v>435</v>
      </c>
      <c r="H1048" t="s">
        <v>84</v>
      </c>
      <c r="I1048" t="s">
        <v>438</v>
      </c>
      <c r="J1048" t="s">
        <v>59</v>
      </c>
      <c r="K1048">
        <v>-3635.5520713199999</v>
      </c>
      <c r="L1048" t="s">
        <v>89</v>
      </c>
      <c r="M1048" t="s">
        <v>422</v>
      </c>
      <c r="N1048">
        <v>7.1262429683470005E-2</v>
      </c>
      <c r="O1048">
        <v>259.07827400000002</v>
      </c>
      <c r="P1048" t="s">
        <v>421</v>
      </c>
      <c r="Q1048">
        <v>1</v>
      </c>
      <c r="V1048">
        <v>1</v>
      </c>
      <c r="W1048">
        <v>1</v>
      </c>
      <c r="X1048">
        <v>1</v>
      </c>
      <c r="Y1048">
        <v>1</v>
      </c>
      <c r="Z1048">
        <v>259.07827400000002</v>
      </c>
    </row>
    <row r="1049" spans="1:26" x14ac:dyDescent="0.25">
      <c r="A1049">
        <v>27955</v>
      </c>
      <c r="B1049" t="s">
        <v>140</v>
      </c>
      <c r="C1049">
        <v>2018</v>
      </c>
      <c r="D1049">
        <v>1</v>
      </c>
      <c r="E1049" t="s">
        <v>415</v>
      </c>
      <c r="F1049" t="s">
        <v>434</v>
      </c>
      <c r="G1049" t="s">
        <v>435</v>
      </c>
      <c r="H1049" t="s">
        <v>84</v>
      </c>
      <c r="I1049" t="s">
        <v>438</v>
      </c>
      <c r="J1049" t="s">
        <v>59</v>
      </c>
      <c r="K1049">
        <v>-3635.5520713199999</v>
      </c>
      <c r="L1049" t="s">
        <v>89</v>
      </c>
      <c r="M1049" t="s">
        <v>423</v>
      </c>
      <c r="N1049">
        <v>0.74738783869542003</v>
      </c>
      <c r="O1049">
        <v>2717.1674050000001</v>
      </c>
      <c r="P1049" t="s">
        <v>421</v>
      </c>
      <c r="Q1049">
        <v>1</v>
      </c>
      <c r="V1049">
        <v>1</v>
      </c>
      <c r="W1049">
        <v>1</v>
      </c>
      <c r="X1049">
        <v>1</v>
      </c>
      <c r="Y1049">
        <v>1</v>
      </c>
      <c r="Z1049">
        <v>2717.1674050000001</v>
      </c>
    </row>
    <row r="1050" spans="1:26" x14ac:dyDescent="0.25">
      <c r="A1050">
        <v>27956</v>
      </c>
      <c r="B1050" t="s">
        <v>140</v>
      </c>
      <c r="C1050">
        <v>2018</v>
      </c>
      <c r="D1050">
        <v>1</v>
      </c>
      <c r="E1050" t="s">
        <v>415</v>
      </c>
      <c r="F1050" t="s">
        <v>434</v>
      </c>
      <c r="G1050" t="s">
        <v>435</v>
      </c>
      <c r="H1050" t="s">
        <v>84</v>
      </c>
      <c r="I1050" t="s">
        <v>438</v>
      </c>
      <c r="J1050" t="s">
        <v>59</v>
      </c>
      <c r="K1050">
        <v>-3635.5520713199999</v>
      </c>
      <c r="L1050" t="s">
        <v>89</v>
      </c>
      <c r="M1050" t="s">
        <v>424</v>
      </c>
      <c r="N1050">
        <v>3.08071516317E-3</v>
      </c>
      <c r="O1050">
        <v>11.200100000000001</v>
      </c>
      <c r="P1050" t="s">
        <v>421</v>
      </c>
      <c r="Q1050">
        <v>1</v>
      </c>
      <c r="V1050">
        <v>1</v>
      </c>
      <c r="W1050">
        <v>1</v>
      </c>
      <c r="X1050">
        <v>1</v>
      </c>
      <c r="Y1050">
        <v>1</v>
      </c>
      <c r="Z1050">
        <v>11.200100000000001</v>
      </c>
    </row>
    <row r="1051" spans="1:26" x14ac:dyDescent="0.25">
      <c r="A1051">
        <v>27957</v>
      </c>
      <c r="B1051" t="s">
        <v>140</v>
      </c>
      <c r="C1051">
        <v>2018</v>
      </c>
      <c r="D1051">
        <v>1</v>
      </c>
      <c r="E1051" t="s">
        <v>415</v>
      </c>
      <c r="F1051" t="s">
        <v>434</v>
      </c>
      <c r="G1051" t="s">
        <v>435</v>
      </c>
      <c r="H1051" t="s">
        <v>84</v>
      </c>
      <c r="I1051" t="s">
        <v>438</v>
      </c>
      <c r="J1051" t="s">
        <v>59</v>
      </c>
      <c r="K1051">
        <v>-3635.5520713199999</v>
      </c>
      <c r="L1051" t="s">
        <v>89</v>
      </c>
      <c r="M1051" t="s">
        <v>425</v>
      </c>
      <c r="N1051">
        <v>2.5360775708E-3</v>
      </c>
      <c r="O1051">
        <v>9.2200419999999994</v>
      </c>
      <c r="P1051" t="s">
        <v>421</v>
      </c>
      <c r="Q1051">
        <v>1</v>
      </c>
      <c r="V1051">
        <v>1</v>
      </c>
      <c r="W1051">
        <v>1</v>
      </c>
      <c r="X1051">
        <v>1</v>
      </c>
      <c r="Y1051">
        <v>1</v>
      </c>
      <c r="Z1051">
        <v>9.2200419999999994</v>
      </c>
    </row>
    <row r="1052" spans="1:26" x14ac:dyDescent="0.25">
      <c r="A1052">
        <v>81910</v>
      </c>
      <c r="B1052" t="s">
        <v>151</v>
      </c>
      <c r="C1052">
        <v>2019</v>
      </c>
      <c r="D1052">
        <v>1</v>
      </c>
      <c r="E1052" t="s">
        <v>415</v>
      </c>
      <c r="F1052" t="s">
        <v>416</v>
      </c>
      <c r="G1052" t="s">
        <v>417</v>
      </c>
      <c r="H1052" t="s">
        <v>84</v>
      </c>
      <c r="I1052" t="s">
        <v>418</v>
      </c>
      <c r="J1052" t="s">
        <v>419</v>
      </c>
      <c r="K1052">
        <v>-17850.931257780001</v>
      </c>
      <c r="L1052" t="s">
        <v>85</v>
      </c>
      <c r="M1052" t="s">
        <v>420</v>
      </c>
      <c r="N1052">
        <v>0.24824931095561001</v>
      </c>
      <c r="O1052">
        <v>4431.481385</v>
      </c>
      <c r="P1052" t="s">
        <v>421</v>
      </c>
      <c r="Q1052">
        <v>1</v>
      </c>
      <c r="V1052">
        <v>1</v>
      </c>
      <c r="W1052">
        <v>1</v>
      </c>
      <c r="X1052">
        <v>1</v>
      </c>
      <c r="Y1052">
        <v>1</v>
      </c>
      <c r="Z1052">
        <v>4431.481385</v>
      </c>
    </row>
    <row r="1053" spans="1:26" x14ac:dyDescent="0.25">
      <c r="A1053">
        <v>81911</v>
      </c>
      <c r="B1053" t="s">
        <v>151</v>
      </c>
      <c r="C1053">
        <v>2019</v>
      </c>
      <c r="D1053">
        <v>1</v>
      </c>
      <c r="E1053" t="s">
        <v>415</v>
      </c>
      <c r="F1053" t="s">
        <v>416</v>
      </c>
      <c r="G1053" t="s">
        <v>417</v>
      </c>
      <c r="H1053" t="s">
        <v>84</v>
      </c>
      <c r="I1053" t="s">
        <v>418</v>
      </c>
      <c r="J1053" t="s">
        <v>419</v>
      </c>
      <c r="K1053">
        <v>-17850.931257780001</v>
      </c>
      <c r="L1053" t="s">
        <v>85</v>
      </c>
      <c r="M1053" t="s">
        <v>422</v>
      </c>
      <c r="N1053">
        <v>7.7540047892240005E-2</v>
      </c>
      <c r="O1053">
        <v>1384.162065</v>
      </c>
      <c r="P1053" t="s">
        <v>421</v>
      </c>
      <c r="Q1053">
        <v>1</v>
      </c>
      <c r="V1053">
        <v>1</v>
      </c>
      <c r="W1053">
        <v>1</v>
      </c>
      <c r="X1053">
        <v>1</v>
      </c>
      <c r="Y1053">
        <v>1</v>
      </c>
      <c r="Z1053">
        <v>1384.162065</v>
      </c>
    </row>
    <row r="1054" spans="1:26" x14ac:dyDescent="0.25">
      <c r="A1054">
        <v>81912</v>
      </c>
      <c r="B1054" t="s">
        <v>151</v>
      </c>
      <c r="C1054">
        <v>2019</v>
      </c>
      <c r="D1054">
        <v>1</v>
      </c>
      <c r="E1054" t="s">
        <v>415</v>
      </c>
      <c r="F1054" t="s">
        <v>416</v>
      </c>
      <c r="G1054" t="s">
        <v>417</v>
      </c>
      <c r="H1054" t="s">
        <v>84</v>
      </c>
      <c r="I1054" t="s">
        <v>418</v>
      </c>
      <c r="J1054" t="s">
        <v>419</v>
      </c>
      <c r="K1054">
        <v>-17850.931257780001</v>
      </c>
      <c r="L1054" t="s">
        <v>85</v>
      </c>
      <c r="M1054" t="s">
        <v>423</v>
      </c>
      <c r="N1054">
        <v>0.73979703899049998</v>
      </c>
      <c r="O1054">
        <v>13206.066088</v>
      </c>
      <c r="P1054" t="s">
        <v>421</v>
      </c>
      <c r="Q1054">
        <v>1</v>
      </c>
      <c r="V1054">
        <v>1</v>
      </c>
      <c r="W1054">
        <v>1</v>
      </c>
      <c r="X1054">
        <v>1</v>
      </c>
      <c r="Y1054">
        <v>1</v>
      </c>
      <c r="Z1054">
        <v>13206.066088</v>
      </c>
    </row>
    <row r="1055" spans="1:26" x14ac:dyDescent="0.25">
      <c r="A1055">
        <v>81913</v>
      </c>
      <c r="B1055" t="s">
        <v>151</v>
      </c>
      <c r="C1055">
        <v>2019</v>
      </c>
      <c r="D1055">
        <v>1</v>
      </c>
      <c r="E1055" t="s">
        <v>415</v>
      </c>
      <c r="F1055" t="s">
        <v>416</v>
      </c>
      <c r="G1055" t="s">
        <v>417</v>
      </c>
      <c r="H1055" t="s">
        <v>84</v>
      </c>
      <c r="I1055" t="s">
        <v>418</v>
      </c>
      <c r="J1055" t="s">
        <v>419</v>
      </c>
      <c r="K1055">
        <v>-17850.931257780001</v>
      </c>
      <c r="L1055" t="s">
        <v>85</v>
      </c>
      <c r="M1055" t="s">
        <v>424</v>
      </c>
      <c r="N1055">
        <v>2.9085775596699999E-3</v>
      </c>
      <c r="O1055">
        <v>51.920817999999997</v>
      </c>
      <c r="P1055" t="s">
        <v>421</v>
      </c>
      <c r="Q1055">
        <v>1</v>
      </c>
      <c r="V1055">
        <v>1</v>
      </c>
      <c r="W1055">
        <v>1</v>
      </c>
      <c r="X1055">
        <v>1</v>
      </c>
      <c r="Y1055">
        <v>1</v>
      </c>
      <c r="Z1055">
        <v>51.920817999999997</v>
      </c>
    </row>
    <row r="1056" spans="1:26" x14ac:dyDescent="0.25">
      <c r="A1056">
        <v>81914</v>
      </c>
      <c r="B1056" t="s">
        <v>151</v>
      </c>
      <c r="C1056">
        <v>2019</v>
      </c>
      <c r="D1056">
        <v>1</v>
      </c>
      <c r="E1056" t="s">
        <v>415</v>
      </c>
      <c r="F1056" t="s">
        <v>416</v>
      </c>
      <c r="G1056" t="s">
        <v>417</v>
      </c>
      <c r="H1056" t="s">
        <v>84</v>
      </c>
      <c r="I1056" t="s">
        <v>418</v>
      </c>
      <c r="J1056" t="s">
        <v>419</v>
      </c>
      <c r="K1056">
        <v>-17850.931257780001</v>
      </c>
      <c r="L1056" t="s">
        <v>85</v>
      </c>
      <c r="M1056" t="s">
        <v>425</v>
      </c>
      <c r="N1056">
        <v>2.6170694898000001E-3</v>
      </c>
      <c r="O1056">
        <v>46.717128000000002</v>
      </c>
      <c r="P1056" t="s">
        <v>421</v>
      </c>
      <c r="Q1056">
        <v>1</v>
      </c>
      <c r="V1056">
        <v>1</v>
      </c>
      <c r="W1056">
        <v>1</v>
      </c>
      <c r="X1056">
        <v>1</v>
      </c>
      <c r="Y1056">
        <v>1</v>
      </c>
      <c r="Z1056">
        <v>46.717128000000002</v>
      </c>
    </row>
    <row r="1057" spans="1:26" x14ac:dyDescent="0.25">
      <c r="A1057">
        <v>81915</v>
      </c>
      <c r="B1057" t="s">
        <v>151</v>
      </c>
      <c r="C1057">
        <v>2019</v>
      </c>
      <c r="D1057">
        <v>1</v>
      </c>
      <c r="E1057" t="s">
        <v>415</v>
      </c>
      <c r="F1057" t="s">
        <v>416</v>
      </c>
      <c r="G1057" t="s">
        <v>417</v>
      </c>
      <c r="H1057" t="s">
        <v>84</v>
      </c>
      <c r="I1057" t="s">
        <v>426</v>
      </c>
      <c r="J1057" t="s">
        <v>87</v>
      </c>
      <c r="K1057">
        <v>-4392.0891241999998</v>
      </c>
      <c r="L1057" t="s">
        <v>427</v>
      </c>
      <c r="M1057" t="s">
        <v>420</v>
      </c>
      <c r="N1057">
        <v>0.45523813654234002</v>
      </c>
      <c r="O1057">
        <v>1999.4464680000001</v>
      </c>
      <c r="P1057" t="s">
        <v>421</v>
      </c>
      <c r="Q1057">
        <v>1</v>
      </c>
      <c r="V1057">
        <v>1</v>
      </c>
      <c r="W1057">
        <v>1</v>
      </c>
      <c r="X1057">
        <v>1</v>
      </c>
      <c r="Y1057">
        <v>1</v>
      </c>
      <c r="Z1057">
        <v>1999.4464680000001</v>
      </c>
    </row>
    <row r="1058" spans="1:26" x14ac:dyDescent="0.25">
      <c r="A1058">
        <v>81916</v>
      </c>
      <c r="B1058" t="s">
        <v>151</v>
      </c>
      <c r="C1058">
        <v>2019</v>
      </c>
      <c r="D1058">
        <v>1</v>
      </c>
      <c r="E1058" t="s">
        <v>415</v>
      </c>
      <c r="F1058" t="s">
        <v>416</v>
      </c>
      <c r="G1058" t="s">
        <v>417</v>
      </c>
      <c r="H1058" t="s">
        <v>84</v>
      </c>
      <c r="I1058" t="s">
        <v>426</v>
      </c>
      <c r="J1058" t="s">
        <v>87</v>
      </c>
      <c r="K1058">
        <v>-4392.0891241999998</v>
      </c>
      <c r="L1058" t="s">
        <v>427</v>
      </c>
      <c r="M1058" t="s">
        <v>422</v>
      </c>
      <c r="N1058">
        <v>6.8896616392329996E-2</v>
      </c>
      <c r="O1058">
        <v>302.60007999999999</v>
      </c>
      <c r="P1058" t="s">
        <v>421</v>
      </c>
      <c r="Q1058">
        <v>1</v>
      </c>
      <c r="V1058">
        <v>1</v>
      </c>
      <c r="W1058">
        <v>1</v>
      </c>
      <c r="X1058">
        <v>1</v>
      </c>
      <c r="Y1058">
        <v>1</v>
      </c>
      <c r="Z1058">
        <v>302.60007999999999</v>
      </c>
    </row>
    <row r="1059" spans="1:26" x14ac:dyDescent="0.25">
      <c r="A1059">
        <v>81917</v>
      </c>
      <c r="B1059" t="s">
        <v>151</v>
      </c>
      <c r="C1059">
        <v>2019</v>
      </c>
      <c r="D1059">
        <v>1</v>
      </c>
      <c r="E1059" t="s">
        <v>415</v>
      </c>
      <c r="F1059" t="s">
        <v>416</v>
      </c>
      <c r="G1059" t="s">
        <v>417</v>
      </c>
      <c r="H1059" t="s">
        <v>84</v>
      </c>
      <c r="I1059" t="s">
        <v>426</v>
      </c>
      <c r="J1059" t="s">
        <v>87</v>
      </c>
      <c r="K1059">
        <v>-4392.0891241999998</v>
      </c>
      <c r="L1059" t="s">
        <v>427</v>
      </c>
      <c r="M1059" t="s">
        <v>423</v>
      </c>
      <c r="N1059">
        <v>0.70986919705586005</v>
      </c>
      <c r="O1059">
        <v>3117.8087799999998</v>
      </c>
      <c r="P1059" t="s">
        <v>421</v>
      </c>
      <c r="Q1059">
        <v>1</v>
      </c>
      <c r="V1059">
        <v>1</v>
      </c>
      <c r="W1059">
        <v>1</v>
      </c>
      <c r="X1059">
        <v>1</v>
      </c>
      <c r="Y1059">
        <v>1</v>
      </c>
      <c r="Z1059">
        <v>3117.8087799999998</v>
      </c>
    </row>
    <row r="1060" spans="1:26" x14ac:dyDescent="0.25">
      <c r="A1060">
        <v>81918</v>
      </c>
      <c r="B1060" t="s">
        <v>151</v>
      </c>
      <c r="C1060">
        <v>2019</v>
      </c>
      <c r="D1060">
        <v>1</v>
      </c>
      <c r="E1060" t="s">
        <v>415</v>
      </c>
      <c r="F1060" t="s">
        <v>416</v>
      </c>
      <c r="G1060" t="s">
        <v>417</v>
      </c>
      <c r="H1060" t="s">
        <v>84</v>
      </c>
      <c r="I1060" t="s">
        <v>426</v>
      </c>
      <c r="J1060" t="s">
        <v>87</v>
      </c>
      <c r="K1060">
        <v>-4392.0891241999998</v>
      </c>
      <c r="L1060" t="s">
        <v>427</v>
      </c>
      <c r="M1060" t="s">
        <v>425</v>
      </c>
      <c r="N1060">
        <v>1.4965642882E-3</v>
      </c>
      <c r="O1060">
        <v>6.5730440000000003</v>
      </c>
      <c r="P1060" t="s">
        <v>421</v>
      </c>
      <c r="Q1060">
        <v>1</v>
      </c>
      <c r="V1060">
        <v>1</v>
      </c>
      <c r="W1060">
        <v>1</v>
      </c>
      <c r="X1060">
        <v>1</v>
      </c>
      <c r="Y1060">
        <v>1</v>
      </c>
      <c r="Z1060">
        <v>6.5730440000000003</v>
      </c>
    </row>
    <row r="1061" spans="1:26" x14ac:dyDescent="0.25">
      <c r="A1061">
        <v>81919</v>
      </c>
      <c r="B1061" t="s">
        <v>151</v>
      </c>
      <c r="C1061">
        <v>2019</v>
      </c>
      <c r="D1061">
        <v>1</v>
      </c>
      <c r="E1061" t="s">
        <v>415</v>
      </c>
      <c r="F1061" t="s">
        <v>416</v>
      </c>
      <c r="G1061" t="s">
        <v>417</v>
      </c>
      <c r="H1061" t="s">
        <v>84</v>
      </c>
      <c r="I1061" t="s">
        <v>428</v>
      </c>
      <c r="J1061" t="s">
        <v>59</v>
      </c>
      <c r="K1061">
        <v>-8273.7282870399995</v>
      </c>
      <c r="L1061" t="s">
        <v>89</v>
      </c>
      <c r="M1061" t="s">
        <v>420</v>
      </c>
      <c r="N1061">
        <v>0.26343870574139999</v>
      </c>
      <c r="O1061">
        <v>2179.6202720000001</v>
      </c>
      <c r="P1061" t="s">
        <v>421</v>
      </c>
      <c r="Q1061">
        <v>1</v>
      </c>
      <c r="V1061">
        <v>1</v>
      </c>
      <c r="W1061">
        <v>1</v>
      </c>
      <c r="X1061">
        <v>1</v>
      </c>
      <c r="Y1061">
        <v>1</v>
      </c>
      <c r="Z1061">
        <v>2179.6202720000001</v>
      </c>
    </row>
    <row r="1062" spans="1:26" x14ac:dyDescent="0.25">
      <c r="A1062">
        <v>81920</v>
      </c>
      <c r="B1062" t="s">
        <v>151</v>
      </c>
      <c r="C1062">
        <v>2019</v>
      </c>
      <c r="D1062">
        <v>1</v>
      </c>
      <c r="E1062" t="s">
        <v>415</v>
      </c>
      <c r="F1062" t="s">
        <v>416</v>
      </c>
      <c r="G1062" t="s">
        <v>417</v>
      </c>
      <c r="H1062" t="s">
        <v>84</v>
      </c>
      <c r="I1062" t="s">
        <v>428</v>
      </c>
      <c r="J1062" t="s">
        <v>59</v>
      </c>
      <c r="K1062">
        <v>-8273.7282870399995</v>
      </c>
      <c r="L1062" t="s">
        <v>89</v>
      </c>
      <c r="M1062" t="s">
        <v>422</v>
      </c>
      <c r="N1062">
        <v>7.1262429683470005E-2</v>
      </c>
      <c r="O1062">
        <v>589.60598000000005</v>
      </c>
      <c r="P1062" t="s">
        <v>421</v>
      </c>
      <c r="Q1062">
        <v>1</v>
      </c>
      <c r="V1062">
        <v>1</v>
      </c>
      <c r="W1062">
        <v>1</v>
      </c>
      <c r="X1062">
        <v>1</v>
      </c>
      <c r="Y1062">
        <v>1</v>
      </c>
      <c r="Z1062">
        <v>589.60598000000005</v>
      </c>
    </row>
    <row r="1063" spans="1:26" x14ac:dyDescent="0.25">
      <c r="A1063">
        <v>81921</v>
      </c>
      <c r="B1063" t="s">
        <v>151</v>
      </c>
      <c r="C1063">
        <v>2019</v>
      </c>
      <c r="D1063">
        <v>1</v>
      </c>
      <c r="E1063" t="s">
        <v>415</v>
      </c>
      <c r="F1063" t="s">
        <v>416</v>
      </c>
      <c r="G1063" t="s">
        <v>417</v>
      </c>
      <c r="H1063" t="s">
        <v>84</v>
      </c>
      <c r="I1063" t="s">
        <v>428</v>
      </c>
      <c r="J1063" t="s">
        <v>59</v>
      </c>
      <c r="K1063">
        <v>-8273.7282870399995</v>
      </c>
      <c r="L1063" t="s">
        <v>89</v>
      </c>
      <c r="M1063" t="s">
        <v>423</v>
      </c>
      <c r="N1063">
        <v>0.74738783869542003</v>
      </c>
      <c r="O1063">
        <v>6183.6839019999998</v>
      </c>
      <c r="P1063" t="s">
        <v>421</v>
      </c>
      <c r="Q1063">
        <v>1</v>
      </c>
      <c r="V1063">
        <v>1</v>
      </c>
      <c r="W1063">
        <v>1</v>
      </c>
      <c r="X1063">
        <v>1</v>
      </c>
      <c r="Y1063">
        <v>1</v>
      </c>
      <c r="Z1063">
        <v>6183.6839019999998</v>
      </c>
    </row>
    <row r="1064" spans="1:26" x14ac:dyDescent="0.25">
      <c r="A1064">
        <v>81922</v>
      </c>
      <c r="B1064" t="s">
        <v>151</v>
      </c>
      <c r="C1064">
        <v>2019</v>
      </c>
      <c r="D1064">
        <v>1</v>
      </c>
      <c r="E1064" t="s">
        <v>415</v>
      </c>
      <c r="F1064" t="s">
        <v>416</v>
      </c>
      <c r="G1064" t="s">
        <v>417</v>
      </c>
      <c r="H1064" t="s">
        <v>84</v>
      </c>
      <c r="I1064" t="s">
        <v>428</v>
      </c>
      <c r="J1064" t="s">
        <v>59</v>
      </c>
      <c r="K1064">
        <v>-8273.7282870399995</v>
      </c>
      <c r="L1064" t="s">
        <v>89</v>
      </c>
      <c r="M1064" t="s">
        <v>424</v>
      </c>
      <c r="N1064">
        <v>3.08071516317E-3</v>
      </c>
      <c r="O1064">
        <v>25.489000000000001</v>
      </c>
      <c r="P1064" t="s">
        <v>421</v>
      </c>
      <c r="Q1064">
        <v>1</v>
      </c>
      <c r="V1064">
        <v>1</v>
      </c>
      <c r="W1064">
        <v>1</v>
      </c>
      <c r="X1064">
        <v>1</v>
      </c>
      <c r="Y1064">
        <v>1</v>
      </c>
      <c r="Z1064">
        <v>25.489000000000001</v>
      </c>
    </row>
    <row r="1065" spans="1:26" x14ac:dyDescent="0.25">
      <c r="A1065">
        <v>81923</v>
      </c>
      <c r="B1065" t="s">
        <v>151</v>
      </c>
      <c r="C1065">
        <v>2019</v>
      </c>
      <c r="D1065">
        <v>1</v>
      </c>
      <c r="E1065" t="s">
        <v>415</v>
      </c>
      <c r="F1065" t="s">
        <v>416</v>
      </c>
      <c r="G1065" t="s">
        <v>417</v>
      </c>
      <c r="H1065" t="s">
        <v>84</v>
      </c>
      <c r="I1065" t="s">
        <v>428</v>
      </c>
      <c r="J1065" t="s">
        <v>59</v>
      </c>
      <c r="K1065">
        <v>-8273.7282870399995</v>
      </c>
      <c r="L1065" t="s">
        <v>89</v>
      </c>
      <c r="M1065" t="s">
        <v>425</v>
      </c>
      <c r="N1065">
        <v>2.5360775708E-3</v>
      </c>
      <c r="O1065">
        <v>20.982817000000001</v>
      </c>
      <c r="P1065" t="s">
        <v>421</v>
      </c>
      <c r="Q1065">
        <v>1</v>
      </c>
      <c r="V1065">
        <v>1</v>
      </c>
      <c r="W1065">
        <v>1</v>
      </c>
      <c r="X1065">
        <v>1</v>
      </c>
      <c r="Y1065">
        <v>1</v>
      </c>
      <c r="Z1065">
        <v>20.982817000000001</v>
      </c>
    </row>
    <row r="1066" spans="1:26" x14ac:dyDescent="0.25">
      <c r="A1066">
        <v>81924</v>
      </c>
      <c r="B1066" t="s">
        <v>151</v>
      </c>
      <c r="C1066">
        <v>2019</v>
      </c>
      <c r="D1066">
        <v>1</v>
      </c>
      <c r="E1066" t="s">
        <v>415</v>
      </c>
      <c r="F1066" t="s">
        <v>429</v>
      </c>
      <c r="G1066" t="s">
        <v>430</v>
      </c>
      <c r="H1066" t="s">
        <v>84</v>
      </c>
      <c r="I1066" t="s">
        <v>431</v>
      </c>
      <c r="J1066" t="s">
        <v>419</v>
      </c>
      <c r="K1066">
        <v>-25442.632945419999</v>
      </c>
      <c r="L1066" t="s">
        <v>85</v>
      </c>
      <c r="M1066" t="s">
        <v>420</v>
      </c>
      <c r="N1066">
        <v>0.24824931095561001</v>
      </c>
      <c r="O1066">
        <v>6316.1160980000004</v>
      </c>
      <c r="P1066" t="s">
        <v>421</v>
      </c>
      <c r="Q1066">
        <v>1</v>
      </c>
      <c r="V1066">
        <v>1</v>
      </c>
      <c r="W1066">
        <v>1</v>
      </c>
      <c r="X1066">
        <v>1</v>
      </c>
      <c r="Y1066">
        <v>1</v>
      </c>
      <c r="Z1066">
        <v>6316.1160980000004</v>
      </c>
    </row>
    <row r="1067" spans="1:26" x14ac:dyDescent="0.25">
      <c r="A1067">
        <v>81925</v>
      </c>
      <c r="B1067" t="s">
        <v>151</v>
      </c>
      <c r="C1067">
        <v>2019</v>
      </c>
      <c r="D1067">
        <v>1</v>
      </c>
      <c r="E1067" t="s">
        <v>415</v>
      </c>
      <c r="F1067" t="s">
        <v>429</v>
      </c>
      <c r="G1067" t="s">
        <v>430</v>
      </c>
      <c r="H1067" t="s">
        <v>84</v>
      </c>
      <c r="I1067" t="s">
        <v>431</v>
      </c>
      <c r="J1067" t="s">
        <v>419</v>
      </c>
      <c r="K1067">
        <v>-25442.632945419999</v>
      </c>
      <c r="L1067" t="s">
        <v>85</v>
      </c>
      <c r="M1067" t="s">
        <v>422</v>
      </c>
      <c r="N1067">
        <v>7.7540047892240005E-2</v>
      </c>
      <c r="O1067">
        <v>1972.822977</v>
      </c>
      <c r="P1067" t="s">
        <v>421</v>
      </c>
      <c r="Q1067">
        <v>1</v>
      </c>
      <c r="V1067">
        <v>1</v>
      </c>
      <c r="W1067">
        <v>1</v>
      </c>
      <c r="X1067">
        <v>1</v>
      </c>
      <c r="Y1067">
        <v>1</v>
      </c>
      <c r="Z1067">
        <v>1972.822977</v>
      </c>
    </row>
    <row r="1068" spans="1:26" x14ac:dyDescent="0.25">
      <c r="A1068">
        <v>81926</v>
      </c>
      <c r="B1068" t="s">
        <v>151</v>
      </c>
      <c r="C1068">
        <v>2019</v>
      </c>
      <c r="D1068">
        <v>1</v>
      </c>
      <c r="E1068" t="s">
        <v>415</v>
      </c>
      <c r="F1068" t="s">
        <v>429</v>
      </c>
      <c r="G1068" t="s">
        <v>430</v>
      </c>
      <c r="H1068" t="s">
        <v>84</v>
      </c>
      <c r="I1068" t="s">
        <v>431</v>
      </c>
      <c r="J1068" t="s">
        <v>419</v>
      </c>
      <c r="K1068">
        <v>-25442.632945419999</v>
      </c>
      <c r="L1068" t="s">
        <v>85</v>
      </c>
      <c r="M1068" t="s">
        <v>423</v>
      </c>
      <c r="N1068">
        <v>0.73979703899049998</v>
      </c>
      <c r="O1068">
        <v>18822.384516999999</v>
      </c>
      <c r="P1068" t="s">
        <v>421</v>
      </c>
      <c r="Q1068">
        <v>1</v>
      </c>
      <c r="V1068">
        <v>1</v>
      </c>
      <c r="W1068">
        <v>1</v>
      </c>
      <c r="X1068">
        <v>1</v>
      </c>
      <c r="Y1068">
        <v>1</v>
      </c>
      <c r="Z1068">
        <v>18822.384516999999</v>
      </c>
    </row>
    <row r="1069" spans="1:26" x14ac:dyDescent="0.25">
      <c r="A1069">
        <v>81927</v>
      </c>
      <c r="B1069" t="s">
        <v>151</v>
      </c>
      <c r="C1069">
        <v>2019</v>
      </c>
      <c r="D1069">
        <v>1</v>
      </c>
      <c r="E1069" t="s">
        <v>415</v>
      </c>
      <c r="F1069" t="s">
        <v>429</v>
      </c>
      <c r="G1069" t="s">
        <v>430</v>
      </c>
      <c r="H1069" t="s">
        <v>84</v>
      </c>
      <c r="I1069" t="s">
        <v>431</v>
      </c>
      <c r="J1069" t="s">
        <v>419</v>
      </c>
      <c r="K1069">
        <v>-25442.632945419999</v>
      </c>
      <c r="L1069" t="s">
        <v>85</v>
      </c>
      <c r="M1069" t="s">
        <v>424</v>
      </c>
      <c r="N1069">
        <v>2.9085775596699999E-3</v>
      </c>
      <c r="O1069">
        <v>74.001870999999994</v>
      </c>
      <c r="P1069" t="s">
        <v>421</v>
      </c>
      <c r="Q1069">
        <v>1</v>
      </c>
      <c r="V1069">
        <v>1</v>
      </c>
      <c r="W1069">
        <v>1</v>
      </c>
      <c r="X1069">
        <v>1</v>
      </c>
      <c r="Y1069">
        <v>1</v>
      </c>
      <c r="Z1069">
        <v>74.001870999999994</v>
      </c>
    </row>
    <row r="1070" spans="1:26" x14ac:dyDescent="0.25">
      <c r="A1070">
        <v>81928</v>
      </c>
      <c r="B1070" t="s">
        <v>151</v>
      </c>
      <c r="C1070">
        <v>2019</v>
      </c>
      <c r="D1070">
        <v>1</v>
      </c>
      <c r="E1070" t="s">
        <v>415</v>
      </c>
      <c r="F1070" t="s">
        <v>429</v>
      </c>
      <c r="G1070" t="s">
        <v>430</v>
      </c>
      <c r="H1070" t="s">
        <v>84</v>
      </c>
      <c r="I1070" t="s">
        <v>431</v>
      </c>
      <c r="J1070" t="s">
        <v>419</v>
      </c>
      <c r="K1070">
        <v>-25442.632945419999</v>
      </c>
      <c r="L1070" t="s">
        <v>85</v>
      </c>
      <c r="M1070" t="s">
        <v>425</v>
      </c>
      <c r="N1070">
        <v>2.6170694898000001E-3</v>
      </c>
      <c r="O1070">
        <v>66.585138000000001</v>
      </c>
      <c r="P1070" t="s">
        <v>421</v>
      </c>
      <c r="Q1070">
        <v>1</v>
      </c>
      <c r="V1070">
        <v>1</v>
      </c>
      <c r="W1070">
        <v>1</v>
      </c>
      <c r="X1070">
        <v>1</v>
      </c>
      <c r="Y1070">
        <v>1</v>
      </c>
      <c r="Z1070">
        <v>66.585138000000001</v>
      </c>
    </row>
    <row r="1071" spans="1:26" x14ac:dyDescent="0.25">
      <c r="A1071">
        <v>81929</v>
      </c>
      <c r="B1071" t="s">
        <v>151</v>
      </c>
      <c r="C1071">
        <v>2019</v>
      </c>
      <c r="D1071">
        <v>1</v>
      </c>
      <c r="E1071" t="s">
        <v>415</v>
      </c>
      <c r="F1071" t="s">
        <v>429</v>
      </c>
      <c r="G1071" t="s">
        <v>430</v>
      </c>
      <c r="H1071" t="s">
        <v>84</v>
      </c>
      <c r="I1071" t="s">
        <v>432</v>
      </c>
      <c r="J1071" t="s">
        <v>87</v>
      </c>
      <c r="K1071">
        <v>-5542.7784915700004</v>
      </c>
      <c r="L1071" t="s">
        <v>427</v>
      </c>
      <c r="M1071" t="s">
        <v>420</v>
      </c>
      <c r="N1071">
        <v>0.45523813654234002</v>
      </c>
      <c r="O1071">
        <v>2523.2841520000002</v>
      </c>
      <c r="P1071" t="s">
        <v>421</v>
      </c>
      <c r="Q1071">
        <v>1</v>
      </c>
      <c r="V1071">
        <v>1</v>
      </c>
      <c r="W1071">
        <v>1</v>
      </c>
      <c r="X1071">
        <v>1</v>
      </c>
      <c r="Y1071">
        <v>1</v>
      </c>
      <c r="Z1071">
        <v>2523.2841520000002</v>
      </c>
    </row>
    <row r="1072" spans="1:26" x14ac:dyDescent="0.25">
      <c r="A1072">
        <v>81930</v>
      </c>
      <c r="B1072" t="s">
        <v>151</v>
      </c>
      <c r="C1072">
        <v>2019</v>
      </c>
      <c r="D1072">
        <v>1</v>
      </c>
      <c r="E1072" t="s">
        <v>415</v>
      </c>
      <c r="F1072" t="s">
        <v>429</v>
      </c>
      <c r="G1072" t="s">
        <v>430</v>
      </c>
      <c r="H1072" t="s">
        <v>84</v>
      </c>
      <c r="I1072" t="s">
        <v>432</v>
      </c>
      <c r="J1072" t="s">
        <v>87</v>
      </c>
      <c r="K1072">
        <v>-5542.7784915700004</v>
      </c>
      <c r="L1072" t="s">
        <v>427</v>
      </c>
      <c r="M1072" t="s">
        <v>422</v>
      </c>
      <c r="N1072">
        <v>6.8896616392329996E-2</v>
      </c>
      <c r="O1072">
        <v>381.87868300000002</v>
      </c>
      <c r="P1072" t="s">
        <v>421</v>
      </c>
      <c r="Q1072">
        <v>1</v>
      </c>
      <c r="V1072">
        <v>1</v>
      </c>
      <c r="W1072">
        <v>1</v>
      </c>
      <c r="X1072">
        <v>1</v>
      </c>
      <c r="Y1072">
        <v>1</v>
      </c>
      <c r="Z1072">
        <v>381.87868300000002</v>
      </c>
    </row>
    <row r="1073" spans="1:26" x14ac:dyDescent="0.25">
      <c r="A1073">
        <v>81931</v>
      </c>
      <c r="B1073" t="s">
        <v>151</v>
      </c>
      <c r="C1073">
        <v>2019</v>
      </c>
      <c r="D1073">
        <v>1</v>
      </c>
      <c r="E1073" t="s">
        <v>415</v>
      </c>
      <c r="F1073" t="s">
        <v>429</v>
      </c>
      <c r="G1073" t="s">
        <v>430</v>
      </c>
      <c r="H1073" t="s">
        <v>84</v>
      </c>
      <c r="I1073" t="s">
        <v>432</v>
      </c>
      <c r="J1073" t="s">
        <v>87</v>
      </c>
      <c r="K1073">
        <v>-5542.7784915700004</v>
      </c>
      <c r="L1073" t="s">
        <v>427</v>
      </c>
      <c r="M1073" t="s">
        <v>423</v>
      </c>
      <c r="N1073">
        <v>0.70986919705586005</v>
      </c>
      <c r="O1073">
        <v>3934.6477169999998</v>
      </c>
      <c r="P1073" t="s">
        <v>421</v>
      </c>
      <c r="Q1073">
        <v>1</v>
      </c>
      <c r="V1073">
        <v>1</v>
      </c>
      <c r="W1073">
        <v>1</v>
      </c>
      <c r="X1073">
        <v>1</v>
      </c>
      <c r="Y1073">
        <v>1</v>
      </c>
      <c r="Z1073">
        <v>3934.6477169999998</v>
      </c>
    </row>
    <row r="1074" spans="1:26" x14ac:dyDescent="0.25">
      <c r="A1074">
        <v>81932</v>
      </c>
      <c r="B1074" t="s">
        <v>151</v>
      </c>
      <c r="C1074">
        <v>2019</v>
      </c>
      <c r="D1074">
        <v>1</v>
      </c>
      <c r="E1074" t="s">
        <v>415</v>
      </c>
      <c r="F1074" t="s">
        <v>429</v>
      </c>
      <c r="G1074" t="s">
        <v>430</v>
      </c>
      <c r="H1074" t="s">
        <v>84</v>
      </c>
      <c r="I1074" t="s">
        <v>432</v>
      </c>
      <c r="J1074" t="s">
        <v>87</v>
      </c>
      <c r="K1074">
        <v>-5542.7784915700004</v>
      </c>
      <c r="L1074" t="s">
        <v>427</v>
      </c>
      <c r="M1074" t="s">
        <v>425</v>
      </c>
      <c r="N1074">
        <v>1.4965642882E-3</v>
      </c>
      <c r="O1074">
        <v>8.2951239999999995</v>
      </c>
      <c r="P1074" t="s">
        <v>421</v>
      </c>
      <c r="Q1074">
        <v>1</v>
      </c>
      <c r="V1074">
        <v>1</v>
      </c>
      <c r="W1074">
        <v>1</v>
      </c>
      <c r="X1074">
        <v>1</v>
      </c>
      <c r="Y1074">
        <v>1</v>
      </c>
      <c r="Z1074">
        <v>8.2951239999999995</v>
      </c>
    </row>
    <row r="1075" spans="1:26" x14ac:dyDescent="0.25">
      <c r="A1075">
        <v>81933</v>
      </c>
      <c r="B1075" t="s">
        <v>151</v>
      </c>
      <c r="C1075">
        <v>2019</v>
      </c>
      <c r="D1075">
        <v>1</v>
      </c>
      <c r="E1075" t="s">
        <v>415</v>
      </c>
      <c r="F1075" t="s">
        <v>429</v>
      </c>
      <c r="G1075" t="s">
        <v>430</v>
      </c>
      <c r="H1075" t="s">
        <v>84</v>
      </c>
      <c r="I1075" t="s">
        <v>433</v>
      </c>
      <c r="J1075" t="s">
        <v>59</v>
      </c>
      <c r="K1075">
        <v>-11621.381342459999</v>
      </c>
      <c r="L1075" t="s">
        <v>89</v>
      </c>
      <c r="M1075" t="s">
        <v>420</v>
      </c>
      <c r="N1075">
        <v>0.26343870574139999</v>
      </c>
      <c r="O1075">
        <v>3061.5216599999999</v>
      </c>
      <c r="P1075" t="s">
        <v>421</v>
      </c>
      <c r="Q1075">
        <v>1</v>
      </c>
      <c r="V1075">
        <v>1</v>
      </c>
      <c r="W1075">
        <v>1</v>
      </c>
      <c r="X1075">
        <v>1</v>
      </c>
      <c r="Y1075">
        <v>1</v>
      </c>
      <c r="Z1075">
        <v>3061.5216599999999</v>
      </c>
    </row>
    <row r="1076" spans="1:26" x14ac:dyDescent="0.25">
      <c r="A1076">
        <v>81934</v>
      </c>
      <c r="B1076" t="s">
        <v>151</v>
      </c>
      <c r="C1076">
        <v>2019</v>
      </c>
      <c r="D1076">
        <v>1</v>
      </c>
      <c r="E1076" t="s">
        <v>415</v>
      </c>
      <c r="F1076" t="s">
        <v>429</v>
      </c>
      <c r="G1076" t="s">
        <v>430</v>
      </c>
      <c r="H1076" t="s">
        <v>84</v>
      </c>
      <c r="I1076" t="s">
        <v>433</v>
      </c>
      <c r="J1076" t="s">
        <v>59</v>
      </c>
      <c r="K1076">
        <v>-11621.381342459999</v>
      </c>
      <c r="L1076" t="s">
        <v>89</v>
      </c>
      <c r="M1076" t="s">
        <v>422</v>
      </c>
      <c r="N1076">
        <v>7.1262429683470005E-2</v>
      </c>
      <c r="O1076">
        <v>828.16787099999999</v>
      </c>
      <c r="P1076" t="s">
        <v>421</v>
      </c>
      <c r="Q1076">
        <v>1</v>
      </c>
      <c r="V1076">
        <v>1</v>
      </c>
      <c r="W1076">
        <v>1</v>
      </c>
      <c r="X1076">
        <v>1</v>
      </c>
      <c r="Y1076">
        <v>1</v>
      </c>
      <c r="Z1076">
        <v>828.16787099999999</v>
      </c>
    </row>
    <row r="1077" spans="1:26" x14ac:dyDescent="0.25">
      <c r="A1077">
        <v>81935</v>
      </c>
      <c r="B1077" t="s">
        <v>151</v>
      </c>
      <c r="C1077">
        <v>2019</v>
      </c>
      <c r="D1077">
        <v>1</v>
      </c>
      <c r="E1077" t="s">
        <v>415</v>
      </c>
      <c r="F1077" t="s">
        <v>429</v>
      </c>
      <c r="G1077" t="s">
        <v>430</v>
      </c>
      <c r="H1077" t="s">
        <v>84</v>
      </c>
      <c r="I1077" t="s">
        <v>433</v>
      </c>
      <c r="J1077" t="s">
        <v>59</v>
      </c>
      <c r="K1077">
        <v>-11621.381342459999</v>
      </c>
      <c r="L1077" t="s">
        <v>89</v>
      </c>
      <c r="M1077" t="s">
        <v>423</v>
      </c>
      <c r="N1077">
        <v>0.74738783869542003</v>
      </c>
      <c r="O1077">
        <v>8685.6790839999994</v>
      </c>
      <c r="P1077" t="s">
        <v>421</v>
      </c>
      <c r="Q1077">
        <v>1</v>
      </c>
      <c r="V1077">
        <v>1</v>
      </c>
      <c r="W1077">
        <v>1</v>
      </c>
      <c r="X1077">
        <v>1</v>
      </c>
      <c r="Y1077">
        <v>1</v>
      </c>
      <c r="Z1077">
        <v>8685.6790839999994</v>
      </c>
    </row>
    <row r="1078" spans="1:26" x14ac:dyDescent="0.25">
      <c r="A1078">
        <v>81936</v>
      </c>
      <c r="B1078" t="s">
        <v>151</v>
      </c>
      <c r="C1078">
        <v>2019</v>
      </c>
      <c r="D1078">
        <v>1</v>
      </c>
      <c r="E1078" t="s">
        <v>415</v>
      </c>
      <c r="F1078" t="s">
        <v>429</v>
      </c>
      <c r="G1078" t="s">
        <v>430</v>
      </c>
      <c r="H1078" t="s">
        <v>84</v>
      </c>
      <c r="I1078" t="s">
        <v>433</v>
      </c>
      <c r="J1078" t="s">
        <v>59</v>
      </c>
      <c r="K1078">
        <v>-11621.381342459999</v>
      </c>
      <c r="L1078" t="s">
        <v>89</v>
      </c>
      <c r="M1078" t="s">
        <v>424</v>
      </c>
      <c r="N1078">
        <v>3.08071516317E-3</v>
      </c>
      <c r="O1078">
        <v>35.802166</v>
      </c>
      <c r="P1078" t="s">
        <v>421</v>
      </c>
      <c r="Q1078">
        <v>1</v>
      </c>
      <c r="V1078">
        <v>1</v>
      </c>
      <c r="W1078">
        <v>1</v>
      </c>
      <c r="X1078">
        <v>1</v>
      </c>
      <c r="Y1078">
        <v>1</v>
      </c>
      <c r="Z1078">
        <v>35.802166</v>
      </c>
    </row>
    <row r="1079" spans="1:26" x14ac:dyDescent="0.25">
      <c r="A1079">
        <v>81937</v>
      </c>
      <c r="B1079" t="s">
        <v>151</v>
      </c>
      <c r="C1079">
        <v>2019</v>
      </c>
      <c r="D1079">
        <v>1</v>
      </c>
      <c r="E1079" t="s">
        <v>415</v>
      </c>
      <c r="F1079" t="s">
        <v>429</v>
      </c>
      <c r="G1079" t="s">
        <v>430</v>
      </c>
      <c r="H1079" t="s">
        <v>84</v>
      </c>
      <c r="I1079" t="s">
        <v>433</v>
      </c>
      <c r="J1079" t="s">
        <v>59</v>
      </c>
      <c r="K1079">
        <v>-11621.381342459999</v>
      </c>
      <c r="L1079" t="s">
        <v>89</v>
      </c>
      <c r="M1079" t="s">
        <v>425</v>
      </c>
      <c r="N1079">
        <v>2.5360775708E-3</v>
      </c>
      <c r="O1079">
        <v>29.472725000000001</v>
      </c>
      <c r="P1079" t="s">
        <v>421</v>
      </c>
      <c r="Q1079">
        <v>1</v>
      </c>
      <c r="V1079">
        <v>1</v>
      </c>
      <c r="W1079">
        <v>1</v>
      </c>
      <c r="X1079">
        <v>1</v>
      </c>
      <c r="Y1079">
        <v>1</v>
      </c>
      <c r="Z1079">
        <v>29.472725000000001</v>
      </c>
    </row>
    <row r="1080" spans="1:26" x14ac:dyDescent="0.25">
      <c r="A1080">
        <v>81938</v>
      </c>
      <c r="B1080" t="s">
        <v>151</v>
      </c>
      <c r="C1080">
        <v>2019</v>
      </c>
      <c r="D1080">
        <v>1</v>
      </c>
      <c r="E1080" t="s">
        <v>415</v>
      </c>
      <c r="F1080" t="s">
        <v>434</v>
      </c>
      <c r="G1080" t="s">
        <v>435</v>
      </c>
      <c r="H1080" t="s">
        <v>84</v>
      </c>
      <c r="I1080" t="s">
        <v>436</v>
      </c>
      <c r="J1080" t="s">
        <v>419</v>
      </c>
      <c r="K1080">
        <v>-13327.96742709</v>
      </c>
      <c r="L1080" t="s">
        <v>85</v>
      </c>
      <c r="M1080" t="s">
        <v>420</v>
      </c>
      <c r="N1080">
        <v>0.24824931095561001</v>
      </c>
      <c r="O1080">
        <v>3308.6587300000001</v>
      </c>
      <c r="P1080" t="s">
        <v>421</v>
      </c>
      <c r="Q1080">
        <v>1</v>
      </c>
      <c r="V1080">
        <v>1</v>
      </c>
      <c r="W1080">
        <v>1</v>
      </c>
      <c r="X1080">
        <v>1</v>
      </c>
      <c r="Y1080">
        <v>1</v>
      </c>
      <c r="Z1080">
        <v>3308.6587300000001</v>
      </c>
    </row>
    <row r="1081" spans="1:26" x14ac:dyDescent="0.25">
      <c r="A1081">
        <v>81939</v>
      </c>
      <c r="B1081" t="s">
        <v>151</v>
      </c>
      <c r="C1081">
        <v>2019</v>
      </c>
      <c r="D1081">
        <v>1</v>
      </c>
      <c r="E1081" t="s">
        <v>415</v>
      </c>
      <c r="F1081" t="s">
        <v>434</v>
      </c>
      <c r="G1081" t="s">
        <v>435</v>
      </c>
      <c r="H1081" t="s">
        <v>84</v>
      </c>
      <c r="I1081" t="s">
        <v>436</v>
      </c>
      <c r="J1081" t="s">
        <v>419</v>
      </c>
      <c r="K1081">
        <v>-13327.96742709</v>
      </c>
      <c r="L1081" t="s">
        <v>85</v>
      </c>
      <c r="M1081" t="s">
        <v>422</v>
      </c>
      <c r="N1081">
        <v>7.7540047892240005E-2</v>
      </c>
      <c r="O1081">
        <v>1033.451233</v>
      </c>
      <c r="P1081" t="s">
        <v>421</v>
      </c>
      <c r="Q1081">
        <v>1</v>
      </c>
      <c r="V1081">
        <v>1</v>
      </c>
      <c r="W1081">
        <v>1</v>
      </c>
      <c r="X1081">
        <v>1</v>
      </c>
      <c r="Y1081">
        <v>1</v>
      </c>
      <c r="Z1081">
        <v>1033.451233</v>
      </c>
    </row>
    <row r="1082" spans="1:26" x14ac:dyDescent="0.25">
      <c r="A1082">
        <v>81940</v>
      </c>
      <c r="B1082" t="s">
        <v>151</v>
      </c>
      <c r="C1082">
        <v>2019</v>
      </c>
      <c r="D1082">
        <v>1</v>
      </c>
      <c r="E1082" t="s">
        <v>415</v>
      </c>
      <c r="F1082" t="s">
        <v>434</v>
      </c>
      <c r="G1082" t="s">
        <v>435</v>
      </c>
      <c r="H1082" t="s">
        <v>84</v>
      </c>
      <c r="I1082" t="s">
        <v>436</v>
      </c>
      <c r="J1082" t="s">
        <v>419</v>
      </c>
      <c r="K1082">
        <v>-13327.96742709</v>
      </c>
      <c r="L1082" t="s">
        <v>85</v>
      </c>
      <c r="M1082" t="s">
        <v>423</v>
      </c>
      <c r="N1082">
        <v>0.73979703899049998</v>
      </c>
      <c r="O1082">
        <v>9859.9908379999997</v>
      </c>
      <c r="P1082" t="s">
        <v>421</v>
      </c>
      <c r="Q1082">
        <v>1</v>
      </c>
      <c r="V1082">
        <v>1</v>
      </c>
      <c r="W1082">
        <v>1</v>
      </c>
      <c r="X1082">
        <v>1</v>
      </c>
      <c r="Y1082">
        <v>1</v>
      </c>
      <c r="Z1082">
        <v>9859.9908379999997</v>
      </c>
    </row>
    <row r="1083" spans="1:26" x14ac:dyDescent="0.25">
      <c r="A1083">
        <v>81941</v>
      </c>
      <c r="B1083" t="s">
        <v>151</v>
      </c>
      <c r="C1083">
        <v>2019</v>
      </c>
      <c r="D1083">
        <v>1</v>
      </c>
      <c r="E1083" t="s">
        <v>415</v>
      </c>
      <c r="F1083" t="s">
        <v>434</v>
      </c>
      <c r="G1083" t="s">
        <v>435</v>
      </c>
      <c r="H1083" t="s">
        <v>84</v>
      </c>
      <c r="I1083" t="s">
        <v>436</v>
      </c>
      <c r="J1083" t="s">
        <v>419</v>
      </c>
      <c r="K1083">
        <v>-13327.96742709</v>
      </c>
      <c r="L1083" t="s">
        <v>85</v>
      </c>
      <c r="M1083" t="s">
        <v>424</v>
      </c>
      <c r="N1083">
        <v>2.9085775596699999E-3</v>
      </c>
      <c r="O1083">
        <v>38.765427000000003</v>
      </c>
      <c r="P1083" t="s">
        <v>421</v>
      </c>
      <c r="Q1083">
        <v>1</v>
      </c>
      <c r="V1083">
        <v>1</v>
      </c>
      <c r="W1083">
        <v>1</v>
      </c>
      <c r="X1083">
        <v>1</v>
      </c>
      <c r="Y1083">
        <v>1</v>
      </c>
      <c r="Z1083">
        <v>38.765427000000003</v>
      </c>
    </row>
    <row r="1084" spans="1:26" x14ac:dyDescent="0.25">
      <c r="A1084">
        <v>81942</v>
      </c>
      <c r="B1084" t="s">
        <v>151</v>
      </c>
      <c r="C1084">
        <v>2019</v>
      </c>
      <c r="D1084">
        <v>1</v>
      </c>
      <c r="E1084" t="s">
        <v>415</v>
      </c>
      <c r="F1084" t="s">
        <v>434</v>
      </c>
      <c r="G1084" t="s">
        <v>435</v>
      </c>
      <c r="H1084" t="s">
        <v>84</v>
      </c>
      <c r="I1084" t="s">
        <v>436</v>
      </c>
      <c r="J1084" t="s">
        <v>419</v>
      </c>
      <c r="K1084">
        <v>-13327.96742709</v>
      </c>
      <c r="L1084" t="s">
        <v>85</v>
      </c>
      <c r="M1084" t="s">
        <v>425</v>
      </c>
      <c r="N1084">
        <v>2.6170694898000001E-3</v>
      </c>
      <c r="O1084">
        <v>34.880217000000002</v>
      </c>
      <c r="P1084" t="s">
        <v>421</v>
      </c>
      <c r="Q1084">
        <v>1</v>
      </c>
      <c r="V1084">
        <v>1</v>
      </c>
      <c r="W1084">
        <v>1</v>
      </c>
      <c r="X1084">
        <v>1</v>
      </c>
      <c r="Y1084">
        <v>1</v>
      </c>
      <c r="Z1084">
        <v>34.880217000000002</v>
      </c>
    </row>
    <row r="1085" spans="1:26" x14ac:dyDescent="0.25">
      <c r="A1085">
        <v>81943</v>
      </c>
      <c r="B1085" t="s">
        <v>151</v>
      </c>
      <c r="C1085">
        <v>2019</v>
      </c>
      <c r="D1085">
        <v>1</v>
      </c>
      <c r="E1085" t="s">
        <v>415</v>
      </c>
      <c r="F1085" t="s">
        <v>434</v>
      </c>
      <c r="G1085" t="s">
        <v>435</v>
      </c>
      <c r="H1085" t="s">
        <v>84</v>
      </c>
      <c r="I1085" t="s">
        <v>437</v>
      </c>
      <c r="J1085" t="s">
        <v>87</v>
      </c>
      <c r="K1085">
        <v>-2959.1470765399999</v>
      </c>
      <c r="L1085" t="s">
        <v>427</v>
      </c>
      <c r="M1085" t="s">
        <v>420</v>
      </c>
      <c r="N1085">
        <v>0.45523813654234002</v>
      </c>
      <c r="O1085">
        <v>1347.1166009999999</v>
      </c>
      <c r="P1085" t="s">
        <v>421</v>
      </c>
      <c r="Q1085">
        <v>1</v>
      </c>
      <c r="V1085">
        <v>1</v>
      </c>
      <c r="W1085">
        <v>1</v>
      </c>
      <c r="X1085">
        <v>1</v>
      </c>
      <c r="Y1085">
        <v>1</v>
      </c>
      <c r="Z1085">
        <v>1347.1166009999999</v>
      </c>
    </row>
    <row r="1086" spans="1:26" x14ac:dyDescent="0.25">
      <c r="A1086">
        <v>81944</v>
      </c>
      <c r="B1086" t="s">
        <v>151</v>
      </c>
      <c r="C1086">
        <v>2019</v>
      </c>
      <c r="D1086">
        <v>1</v>
      </c>
      <c r="E1086" t="s">
        <v>415</v>
      </c>
      <c r="F1086" t="s">
        <v>434</v>
      </c>
      <c r="G1086" t="s">
        <v>435</v>
      </c>
      <c r="H1086" t="s">
        <v>84</v>
      </c>
      <c r="I1086" t="s">
        <v>437</v>
      </c>
      <c r="J1086" t="s">
        <v>87</v>
      </c>
      <c r="K1086">
        <v>-2959.1470765399999</v>
      </c>
      <c r="L1086" t="s">
        <v>427</v>
      </c>
      <c r="M1086" t="s">
        <v>422</v>
      </c>
      <c r="N1086">
        <v>6.8896616392329996E-2</v>
      </c>
      <c r="O1086">
        <v>203.87522100000001</v>
      </c>
      <c r="P1086" t="s">
        <v>421</v>
      </c>
      <c r="Q1086">
        <v>1</v>
      </c>
      <c r="V1086">
        <v>1</v>
      </c>
      <c r="W1086">
        <v>1</v>
      </c>
      <c r="X1086">
        <v>1</v>
      </c>
      <c r="Y1086">
        <v>1</v>
      </c>
      <c r="Z1086">
        <v>203.87522100000001</v>
      </c>
    </row>
    <row r="1087" spans="1:26" x14ac:dyDescent="0.25">
      <c r="A1087">
        <v>81945</v>
      </c>
      <c r="B1087" t="s">
        <v>151</v>
      </c>
      <c r="C1087">
        <v>2019</v>
      </c>
      <c r="D1087">
        <v>1</v>
      </c>
      <c r="E1087" t="s">
        <v>415</v>
      </c>
      <c r="F1087" t="s">
        <v>434</v>
      </c>
      <c r="G1087" t="s">
        <v>435</v>
      </c>
      <c r="H1087" t="s">
        <v>84</v>
      </c>
      <c r="I1087" t="s">
        <v>437</v>
      </c>
      <c r="J1087" t="s">
        <v>87</v>
      </c>
      <c r="K1087">
        <v>-2959.1470765399999</v>
      </c>
      <c r="L1087" t="s">
        <v>427</v>
      </c>
      <c r="M1087" t="s">
        <v>423</v>
      </c>
      <c r="N1087">
        <v>0.70986919705586005</v>
      </c>
      <c r="O1087">
        <v>2100.6073590000001</v>
      </c>
      <c r="P1087" t="s">
        <v>421</v>
      </c>
      <c r="Q1087">
        <v>1</v>
      </c>
      <c r="V1087">
        <v>1</v>
      </c>
      <c r="W1087">
        <v>1</v>
      </c>
      <c r="X1087">
        <v>1</v>
      </c>
      <c r="Y1087">
        <v>1</v>
      </c>
      <c r="Z1087">
        <v>2100.6073590000001</v>
      </c>
    </row>
    <row r="1088" spans="1:26" x14ac:dyDescent="0.25">
      <c r="A1088">
        <v>81946</v>
      </c>
      <c r="B1088" t="s">
        <v>151</v>
      </c>
      <c r="C1088">
        <v>2019</v>
      </c>
      <c r="D1088">
        <v>1</v>
      </c>
      <c r="E1088" t="s">
        <v>415</v>
      </c>
      <c r="F1088" t="s">
        <v>434</v>
      </c>
      <c r="G1088" t="s">
        <v>435</v>
      </c>
      <c r="H1088" t="s">
        <v>84</v>
      </c>
      <c r="I1088" t="s">
        <v>437</v>
      </c>
      <c r="J1088" t="s">
        <v>87</v>
      </c>
      <c r="K1088">
        <v>-2959.1470765399999</v>
      </c>
      <c r="L1088" t="s">
        <v>427</v>
      </c>
      <c r="M1088" t="s">
        <v>425</v>
      </c>
      <c r="N1088">
        <v>1.4965642882E-3</v>
      </c>
      <c r="O1088">
        <v>4.4285540000000001</v>
      </c>
      <c r="P1088" t="s">
        <v>421</v>
      </c>
      <c r="Q1088">
        <v>1</v>
      </c>
      <c r="V1088">
        <v>1</v>
      </c>
      <c r="W1088">
        <v>1</v>
      </c>
      <c r="X1088">
        <v>1</v>
      </c>
      <c r="Y1088">
        <v>1</v>
      </c>
      <c r="Z1088">
        <v>4.4285540000000001</v>
      </c>
    </row>
    <row r="1089" spans="1:26" x14ac:dyDescent="0.25">
      <c r="A1089">
        <v>81947</v>
      </c>
      <c r="B1089" t="s">
        <v>151</v>
      </c>
      <c r="C1089">
        <v>2019</v>
      </c>
      <c r="D1089">
        <v>1</v>
      </c>
      <c r="E1089" t="s">
        <v>415</v>
      </c>
      <c r="F1089" t="s">
        <v>434</v>
      </c>
      <c r="G1089" t="s">
        <v>435</v>
      </c>
      <c r="H1089" t="s">
        <v>84</v>
      </c>
      <c r="I1089" t="s">
        <v>438</v>
      </c>
      <c r="J1089" t="s">
        <v>59</v>
      </c>
      <c r="K1089">
        <v>-6428.6689017899998</v>
      </c>
      <c r="L1089" t="s">
        <v>89</v>
      </c>
      <c r="M1089" t="s">
        <v>420</v>
      </c>
      <c r="N1089">
        <v>0.26343870574139999</v>
      </c>
      <c r="O1089">
        <v>1693.560215</v>
      </c>
      <c r="P1089" t="s">
        <v>421</v>
      </c>
      <c r="Q1089">
        <v>1</v>
      </c>
      <c r="V1089">
        <v>1</v>
      </c>
      <c r="W1089">
        <v>1</v>
      </c>
      <c r="X1089">
        <v>1</v>
      </c>
      <c r="Y1089">
        <v>1</v>
      </c>
      <c r="Z1089">
        <v>1693.560215</v>
      </c>
    </row>
    <row r="1090" spans="1:26" x14ac:dyDescent="0.25">
      <c r="A1090">
        <v>81948</v>
      </c>
      <c r="B1090" t="s">
        <v>151</v>
      </c>
      <c r="C1090">
        <v>2019</v>
      </c>
      <c r="D1090">
        <v>1</v>
      </c>
      <c r="E1090" t="s">
        <v>415</v>
      </c>
      <c r="F1090" t="s">
        <v>434</v>
      </c>
      <c r="G1090" t="s">
        <v>435</v>
      </c>
      <c r="H1090" t="s">
        <v>84</v>
      </c>
      <c r="I1090" t="s">
        <v>438</v>
      </c>
      <c r="J1090" t="s">
        <v>59</v>
      </c>
      <c r="K1090">
        <v>-6428.6689017899998</v>
      </c>
      <c r="L1090" t="s">
        <v>89</v>
      </c>
      <c r="M1090" t="s">
        <v>422</v>
      </c>
      <c r="N1090">
        <v>7.1262429683470005E-2</v>
      </c>
      <c r="O1090">
        <v>458.12256600000001</v>
      </c>
      <c r="P1090" t="s">
        <v>421</v>
      </c>
      <c r="Q1090">
        <v>1</v>
      </c>
      <c r="V1090">
        <v>1</v>
      </c>
      <c r="W1090">
        <v>1</v>
      </c>
      <c r="X1090">
        <v>1</v>
      </c>
      <c r="Y1090">
        <v>1</v>
      </c>
      <c r="Z1090">
        <v>458.12256600000001</v>
      </c>
    </row>
    <row r="1091" spans="1:26" x14ac:dyDescent="0.25">
      <c r="A1091">
        <v>81949</v>
      </c>
      <c r="B1091" t="s">
        <v>151</v>
      </c>
      <c r="C1091">
        <v>2019</v>
      </c>
      <c r="D1091">
        <v>1</v>
      </c>
      <c r="E1091" t="s">
        <v>415</v>
      </c>
      <c r="F1091" t="s">
        <v>434</v>
      </c>
      <c r="G1091" t="s">
        <v>435</v>
      </c>
      <c r="H1091" t="s">
        <v>84</v>
      </c>
      <c r="I1091" t="s">
        <v>438</v>
      </c>
      <c r="J1091" t="s">
        <v>59</v>
      </c>
      <c r="K1091">
        <v>-6428.6689017899998</v>
      </c>
      <c r="L1091" t="s">
        <v>89</v>
      </c>
      <c r="M1091" t="s">
        <v>423</v>
      </c>
      <c r="N1091">
        <v>0.74738783869542003</v>
      </c>
      <c r="O1091">
        <v>4804.7089560000004</v>
      </c>
      <c r="P1091" t="s">
        <v>421</v>
      </c>
      <c r="Q1091">
        <v>1</v>
      </c>
      <c r="V1091">
        <v>1</v>
      </c>
      <c r="W1091">
        <v>1</v>
      </c>
      <c r="X1091">
        <v>1</v>
      </c>
      <c r="Y1091">
        <v>1</v>
      </c>
      <c r="Z1091">
        <v>4804.7089560000004</v>
      </c>
    </row>
    <row r="1092" spans="1:26" x14ac:dyDescent="0.25">
      <c r="A1092">
        <v>81950</v>
      </c>
      <c r="B1092" t="s">
        <v>151</v>
      </c>
      <c r="C1092">
        <v>2019</v>
      </c>
      <c r="D1092">
        <v>1</v>
      </c>
      <c r="E1092" t="s">
        <v>415</v>
      </c>
      <c r="F1092" t="s">
        <v>434</v>
      </c>
      <c r="G1092" t="s">
        <v>435</v>
      </c>
      <c r="H1092" t="s">
        <v>84</v>
      </c>
      <c r="I1092" t="s">
        <v>438</v>
      </c>
      <c r="J1092" t="s">
        <v>59</v>
      </c>
      <c r="K1092">
        <v>-6428.6689017899998</v>
      </c>
      <c r="L1092" t="s">
        <v>89</v>
      </c>
      <c r="M1092" t="s">
        <v>424</v>
      </c>
      <c r="N1092">
        <v>3.08071516317E-3</v>
      </c>
      <c r="O1092">
        <v>19.804898000000001</v>
      </c>
      <c r="P1092" t="s">
        <v>421</v>
      </c>
      <c r="Q1092">
        <v>1</v>
      </c>
      <c r="V1092">
        <v>1</v>
      </c>
      <c r="W1092">
        <v>1</v>
      </c>
      <c r="X1092">
        <v>1</v>
      </c>
      <c r="Y1092">
        <v>1</v>
      </c>
      <c r="Z1092">
        <v>19.804898000000001</v>
      </c>
    </row>
    <row r="1093" spans="1:26" x14ac:dyDescent="0.25">
      <c r="A1093">
        <v>81951</v>
      </c>
      <c r="B1093" t="s">
        <v>151</v>
      </c>
      <c r="C1093">
        <v>2019</v>
      </c>
      <c r="D1093">
        <v>1</v>
      </c>
      <c r="E1093" t="s">
        <v>415</v>
      </c>
      <c r="F1093" t="s">
        <v>434</v>
      </c>
      <c r="G1093" t="s">
        <v>435</v>
      </c>
      <c r="H1093" t="s">
        <v>84</v>
      </c>
      <c r="I1093" t="s">
        <v>438</v>
      </c>
      <c r="J1093" t="s">
        <v>59</v>
      </c>
      <c r="K1093">
        <v>-6428.6689017899998</v>
      </c>
      <c r="L1093" t="s">
        <v>89</v>
      </c>
      <c r="M1093" t="s">
        <v>425</v>
      </c>
      <c r="N1093">
        <v>2.5360775708E-3</v>
      </c>
      <c r="O1093">
        <v>16.303602999999999</v>
      </c>
      <c r="P1093" t="s">
        <v>421</v>
      </c>
      <c r="Q1093">
        <v>1</v>
      </c>
      <c r="V1093">
        <v>1</v>
      </c>
      <c r="W1093">
        <v>1</v>
      </c>
      <c r="X1093">
        <v>1</v>
      </c>
      <c r="Y1093">
        <v>1</v>
      </c>
      <c r="Z1093">
        <v>16.303602999999999</v>
      </c>
    </row>
    <row r="1094" spans="1:26" x14ac:dyDescent="0.25">
      <c r="A1094">
        <v>136633</v>
      </c>
      <c r="B1094" t="s">
        <v>237</v>
      </c>
      <c r="C1094">
        <v>2020</v>
      </c>
      <c r="D1094">
        <v>1</v>
      </c>
      <c r="E1094" t="s">
        <v>415</v>
      </c>
      <c r="F1094" t="s">
        <v>416</v>
      </c>
      <c r="G1094" t="s">
        <v>417</v>
      </c>
      <c r="H1094" t="s">
        <v>84</v>
      </c>
      <c r="I1094" t="s">
        <v>418</v>
      </c>
      <c r="J1094" t="s">
        <v>419</v>
      </c>
      <c r="K1094">
        <v>-40883.180628310001</v>
      </c>
      <c r="L1094" t="s">
        <v>85</v>
      </c>
      <c r="M1094" t="s">
        <v>420</v>
      </c>
      <c r="N1094">
        <v>0.24824931095561001</v>
      </c>
      <c r="O1094">
        <v>10149.221421</v>
      </c>
      <c r="P1094" t="s">
        <v>421</v>
      </c>
      <c r="Q1094">
        <v>1</v>
      </c>
      <c r="V1094">
        <v>1</v>
      </c>
      <c r="W1094">
        <v>1</v>
      </c>
      <c r="X1094">
        <v>1</v>
      </c>
      <c r="Y1094">
        <v>1</v>
      </c>
      <c r="Z1094">
        <v>10149.221421</v>
      </c>
    </row>
    <row r="1095" spans="1:26" x14ac:dyDescent="0.25">
      <c r="A1095">
        <v>136634</v>
      </c>
      <c r="B1095" t="s">
        <v>237</v>
      </c>
      <c r="C1095">
        <v>2020</v>
      </c>
      <c r="D1095">
        <v>1</v>
      </c>
      <c r="E1095" t="s">
        <v>415</v>
      </c>
      <c r="F1095" t="s">
        <v>416</v>
      </c>
      <c r="G1095" t="s">
        <v>417</v>
      </c>
      <c r="H1095" t="s">
        <v>84</v>
      </c>
      <c r="I1095" t="s">
        <v>418</v>
      </c>
      <c r="J1095" t="s">
        <v>419</v>
      </c>
      <c r="K1095">
        <v>-40883.180628310001</v>
      </c>
      <c r="L1095" t="s">
        <v>85</v>
      </c>
      <c r="M1095" t="s">
        <v>422</v>
      </c>
      <c r="N1095">
        <v>7.7540047892240005E-2</v>
      </c>
      <c r="O1095">
        <v>3170.0837839999999</v>
      </c>
      <c r="P1095" t="s">
        <v>421</v>
      </c>
      <c r="Q1095">
        <v>1</v>
      </c>
      <c r="V1095">
        <v>1</v>
      </c>
      <c r="W1095">
        <v>1</v>
      </c>
      <c r="X1095">
        <v>1</v>
      </c>
      <c r="Y1095">
        <v>1</v>
      </c>
      <c r="Z1095">
        <v>3170.0837839999999</v>
      </c>
    </row>
    <row r="1096" spans="1:26" x14ac:dyDescent="0.25">
      <c r="A1096">
        <v>136635</v>
      </c>
      <c r="B1096" t="s">
        <v>237</v>
      </c>
      <c r="C1096">
        <v>2020</v>
      </c>
      <c r="D1096">
        <v>1</v>
      </c>
      <c r="E1096" t="s">
        <v>415</v>
      </c>
      <c r="F1096" t="s">
        <v>416</v>
      </c>
      <c r="G1096" t="s">
        <v>417</v>
      </c>
      <c r="H1096" t="s">
        <v>84</v>
      </c>
      <c r="I1096" t="s">
        <v>418</v>
      </c>
      <c r="J1096" t="s">
        <v>419</v>
      </c>
      <c r="K1096">
        <v>-40883.180628310001</v>
      </c>
      <c r="L1096" t="s">
        <v>85</v>
      </c>
      <c r="M1096" t="s">
        <v>423</v>
      </c>
      <c r="N1096">
        <v>0.73979703899049998</v>
      </c>
      <c r="O1096">
        <v>30245.255972999999</v>
      </c>
      <c r="P1096" t="s">
        <v>421</v>
      </c>
      <c r="Q1096">
        <v>1</v>
      </c>
      <c r="V1096">
        <v>1</v>
      </c>
      <c r="W1096">
        <v>1</v>
      </c>
      <c r="X1096">
        <v>1</v>
      </c>
      <c r="Y1096">
        <v>1</v>
      </c>
      <c r="Z1096">
        <v>30245.255972999999</v>
      </c>
    </row>
    <row r="1097" spans="1:26" x14ac:dyDescent="0.25">
      <c r="A1097">
        <v>136636</v>
      </c>
      <c r="B1097" t="s">
        <v>237</v>
      </c>
      <c r="C1097">
        <v>2020</v>
      </c>
      <c r="D1097">
        <v>1</v>
      </c>
      <c r="E1097" t="s">
        <v>415</v>
      </c>
      <c r="F1097" t="s">
        <v>416</v>
      </c>
      <c r="G1097" t="s">
        <v>417</v>
      </c>
      <c r="H1097" t="s">
        <v>84</v>
      </c>
      <c r="I1097" t="s">
        <v>418</v>
      </c>
      <c r="J1097" t="s">
        <v>419</v>
      </c>
      <c r="K1097">
        <v>-40883.180628310001</v>
      </c>
      <c r="L1097" t="s">
        <v>85</v>
      </c>
      <c r="M1097" t="s">
        <v>424</v>
      </c>
      <c r="N1097">
        <v>2.9085775596699999E-3</v>
      </c>
      <c r="O1097">
        <v>118.911902</v>
      </c>
      <c r="P1097" t="s">
        <v>421</v>
      </c>
      <c r="Q1097">
        <v>1</v>
      </c>
      <c r="V1097">
        <v>1</v>
      </c>
      <c r="W1097">
        <v>1</v>
      </c>
      <c r="X1097">
        <v>1</v>
      </c>
      <c r="Y1097">
        <v>1</v>
      </c>
      <c r="Z1097">
        <v>118.911902</v>
      </c>
    </row>
    <row r="1098" spans="1:26" x14ac:dyDescent="0.25">
      <c r="A1098">
        <v>136637</v>
      </c>
      <c r="B1098" t="s">
        <v>237</v>
      </c>
      <c r="C1098">
        <v>2020</v>
      </c>
      <c r="D1098">
        <v>1</v>
      </c>
      <c r="E1098" t="s">
        <v>415</v>
      </c>
      <c r="F1098" t="s">
        <v>416</v>
      </c>
      <c r="G1098" t="s">
        <v>417</v>
      </c>
      <c r="H1098" t="s">
        <v>84</v>
      </c>
      <c r="I1098" t="s">
        <v>418</v>
      </c>
      <c r="J1098" t="s">
        <v>419</v>
      </c>
      <c r="K1098">
        <v>-40883.180628310001</v>
      </c>
      <c r="L1098" t="s">
        <v>85</v>
      </c>
      <c r="M1098" t="s">
        <v>425</v>
      </c>
      <c r="N1098">
        <v>2.6170694898000001E-3</v>
      </c>
      <c r="O1098">
        <v>106.994125</v>
      </c>
      <c r="P1098" t="s">
        <v>421</v>
      </c>
      <c r="Q1098">
        <v>1</v>
      </c>
      <c r="V1098">
        <v>1</v>
      </c>
      <c r="W1098">
        <v>1</v>
      </c>
      <c r="X1098">
        <v>1</v>
      </c>
      <c r="Y1098">
        <v>1</v>
      </c>
      <c r="Z1098">
        <v>106.994125</v>
      </c>
    </row>
    <row r="1099" spans="1:26" x14ac:dyDescent="0.25">
      <c r="A1099">
        <v>136638</v>
      </c>
      <c r="B1099" t="s">
        <v>237</v>
      </c>
      <c r="C1099">
        <v>2020</v>
      </c>
      <c r="D1099">
        <v>1</v>
      </c>
      <c r="E1099" t="s">
        <v>415</v>
      </c>
      <c r="F1099" t="s">
        <v>416</v>
      </c>
      <c r="G1099" t="s">
        <v>417</v>
      </c>
      <c r="H1099" t="s">
        <v>84</v>
      </c>
      <c r="I1099" t="s">
        <v>426</v>
      </c>
      <c r="J1099" t="s">
        <v>87</v>
      </c>
      <c r="K1099">
        <v>-6796.2340345599996</v>
      </c>
      <c r="L1099" t="s">
        <v>427</v>
      </c>
      <c r="M1099" t="s">
        <v>420</v>
      </c>
      <c r="N1099">
        <v>0.45523813654234002</v>
      </c>
      <c r="O1099">
        <v>3093.9049169999998</v>
      </c>
      <c r="P1099" t="s">
        <v>421</v>
      </c>
      <c r="Q1099">
        <v>1</v>
      </c>
      <c r="V1099">
        <v>1</v>
      </c>
      <c r="W1099">
        <v>1</v>
      </c>
      <c r="X1099">
        <v>1</v>
      </c>
      <c r="Y1099">
        <v>1</v>
      </c>
      <c r="Z1099">
        <v>3093.9049169999998</v>
      </c>
    </row>
    <row r="1100" spans="1:26" x14ac:dyDescent="0.25">
      <c r="A1100">
        <v>136639</v>
      </c>
      <c r="B1100" t="s">
        <v>237</v>
      </c>
      <c r="C1100">
        <v>2020</v>
      </c>
      <c r="D1100">
        <v>1</v>
      </c>
      <c r="E1100" t="s">
        <v>415</v>
      </c>
      <c r="F1100" t="s">
        <v>416</v>
      </c>
      <c r="G1100" t="s">
        <v>417</v>
      </c>
      <c r="H1100" t="s">
        <v>84</v>
      </c>
      <c r="I1100" t="s">
        <v>426</v>
      </c>
      <c r="J1100" t="s">
        <v>87</v>
      </c>
      <c r="K1100">
        <v>-6796.2340345599996</v>
      </c>
      <c r="L1100" t="s">
        <v>427</v>
      </c>
      <c r="M1100" t="s">
        <v>422</v>
      </c>
      <c r="N1100">
        <v>6.8896616392329996E-2</v>
      </c>
      <c r="O1100">
        <v>468.23752899999999</v>
      </c>
      <c r="P1100" t="s">
        <v>421</v>
      </c>
      <c r="Q1100">
        <v>1</v>
      </c>
      <c r="V1100">
        <v>1</v>
      </c>
      <c r="W1100">
        <v>1</v>
      </c>
      <c r="X1100">
        <v>1</v>
      </c>
      <c r="Y1100">
        <v>1</v>
      </c>
      <c r="Z1100">
        <v>468.23752899999999</v>
      </c>
    </row>
    <row r="1101" spans="1:26" x14ac:dyDescent="0.25">
      <c r="A1101">
        <v>136640</v>
      </c>
      <c r="B1101" t="s">
        <v>237</v>
      </c>
      <c r="C1101">
        <v>2020</v>
      </c>
      <c r="D1101">
        <v>1</v>
      </c>
      <c r="E1101" t="s">
        <v>415</v>
      </c>
      <c r="F1101" t="s">
        <v>416</v>
      </c>
      <c r="G1101" t="s">
        <v>417</v>
      </c>
      <c r="H1101" t="s">
        <v>84</v>
      </c>
      <c r="I1101" t="s">
        <v>426</v>
      </c>
      <c r="J1101" t="s">
        <v>87</v>
      </c>
      <c r="K1101">
        <v>-6796.2340345599996</v>
      </c>
      <c r="L1101" t="s">
        <v>427</v>
      </c>
      <c r="M1101" t="s">
        <v>423</v>
      </c>
      <c r="N1101">
        <v>0.70986919705586005</v>
      </c>
      <c r="O1101">
        <v>4824.4371970000002</v>
      </c>
      <c r="P1101" t="s">
        <v>421</v>
      </c>
      <c r="Q1101">
        <v>1</v>
      </c>
      <c r="V1101">
        <v>1</v>
      </c>
      <c r="W1101">
        <v>1</v>
      </c>
      <c r="X1101">
        <v>1</v>
      </c>
      <c r="Y1101">
        <v>1</v>
      </c>
      <c r="Z1101">
        <v>4824.4371970000002</v>
      </c>
    </row>
    <row r="1102" spans="1:26" x14ac:dyDescent="0.25">
      <c r="A1102">
        <v>136641</v>
      </c>
      <c r="B1102" t="s">
        <v>237</v>
      </c>
      <c r="C1102">
        <v>2020</v>
      </c>
      <c r="D1102">
        <v>1</v>
      </c>
      <c r="E1102" t="s">
        <v>415</v>
      </c>
      <c r="F1102" t="s">
        <v>416</v>
      </c>
      <c r="G1102" t="s">
        <v>417</v>
      </c>
      <c r="H1102" t="s">
        <v>84</v>
      </c>
      <c r="I1102" t="s">
        <v>426</v>
      </c>
      <c r="J1102" t="s">
        <v>87</v>
      </c>
      <c r="K1102">
        <v>-6796.2340345599996</v>
      </c>
      <c r="L1102" t="s">
        <v>427</v>
      </c>
      <c r="M1102" t="s">
        <v>425</v>
      </c>
      <c r="N1102">
        <v>1.4965642882E-3</v>
      </c>
      <c r="O1102">
        <v>10.171001</v>
      </c>
      <c r="P1102" t="s">
        <v>421</v>
      </c>
      <c r="Q1102">
        <v>1</v>
      </c>
      <c r="V1102">
        <v>1</v>
      </c>
      <c r="W1102">
        <v>1</v>
      </c>
      <c r="X1102">
        <v>1</v>
      </c>
      <c r="Y1102">
        <v>1</v>
      </c>
      <c r="Z1102">
        <v>10.171001</v>
      </c>
    </row>
    <row r="1103" spans="1:26" x14ac:dyDescent="0.25">
      <c r="A1103">
        <v>136642</v>
      </c>
      <c r="B1103" t="s">
        <v>237</v>
      </c>
      <c r="C1103">
        <v>2020</v>
      </c>
      <c r="D1103">
        <v>1</v>
      </c>
      <c r="E1103" t="s">
        <v>415</v>
      </c>
      <c r="F1103" t="s">
        <v>416</v>
      </c>
      <c r="G1103" t="s">
        <v>417</v>
      </c>
      <c r="H1103" t="s">
        <v>84</v>
      </c>
      <c r="I1103" t="s">
        <v>428</v>
      </c>
      <c r="J1103" t="s">
        <v>59</v>
      </c>
      <c r="K1103">
        <v>-19116.828202370001</v>
      </c>
      <c r="L1103" t="s">
        <v>89</v>
      </c>
      <c r="M1103" t="s">
        <v>420</v>
      </c>
      <c r="N1103">
        <v>0.26343870574139999</v>
      </c>
      <c r="O1103">
        <v>5036.1124799999998</v>
      </c>
      <c r="P1103" t="s">
        <v>421</v>
      </c>
      <c r="Q1103">
        <v>1</v>
      </c>
      <c r="V1103">
        <v>1</v>
      </c>
      <c r="W1103">
        <v>1</v>
      </c>
      <c r="X1103">
        <v>1</v>
      </c>
      <c r="Y1103">
        <v>1</v>
      </c>
      <c r="Z1103">
        <v>5036.1124799999998</v>
      </c>
    </row>
    <row r="1104" spans="1:26" x14ac:dyDescent="0.25">
      <c r="A1104">
        <v>136643</v>
      </c>
      <c r="B1104" t="s">
        <v>237</v>
      </c>
      <c r="C1104">
        <v>2020</v>
      </c>
      <c r="D1104">
        <v>1</v>
      </c>
      <c r="E1104" t="s">
        <v>415</v>
      </c>
      <c r="F1104" t="s">
        <v>416</v>
      </c>
      <c r="G1104" t="s">
        <v>417</v>
      </c>
      <c r="H1104" t="s">
        <v>84</v>
      </c>
      <c r="I1104" t="s">
        <v>428</v>
      </c>
      <c r="J1104" t="s">
        <v>59</v>
      </c>
      <c r="K1104">
        <v>-19116.828202370001</v>
      </c>
      <c r="L1104" t="s">
        <v>89</v>
      </c>
      <c r="M1104" t="s">
        <v>422</v>
      </c>
      <c r="N1104">
        <v>7.1262429683470005E-2</v>
      </c>
      <c r="O1104">
        <v>1362.3116259999999</v>
      </c>
      <c r="P1104" t="s">
        <v>421</v>
      </c>
      <c r="Q1104">
        <v>1</v>
      </c>
      <c r="V1104">
        <v>1</v>
      </c>
      <c r="W1104">
        <v>1</v>
      </c>
      <c r="X1104">
        <v>1</v>
      </c>
      <c r="Y1104">
        <v>1</v>
      </c>
      <c r="Z1104">
        <v>1362.3116259999999</v>
      </c>
    </row>
    <row r="1105" spans="1:26" x14ac:dyDescent="0.25">
      <c r="A1105">
        <v>136644</v>
      </c>
      <c r="B1105" t="s">
        <v>237</v>
      </c>
      <c r="C1105">
        <v>2020</v>
      </c>
      <c r="D1105">
        <v>1</v>
      </c>
      <c r="E1105" t="s">
        <v>415</v>
      </c>
      <c r="F1105" t="s">
        <v>416</v>
      </c>
      <c r="G1105" t="s">
        <v>417</v>
      </c>
      <c r="H1105" t="s">
        <v>84</v>
      </c>
      <c r="I1105" t="s">
        <v>428</v>
      </c>
      <c r="J1105" t="s">
        <v>59</v>
      </c>
      <c r="K1105">
        <v>-19116.828202370001</v>
      </c>
      <c r="L1105" t="s">
        <v>89</v>
      </c>
      <c r="M1105" t="s">
        <v>423</v>
      </c>
      <c r="N1105">
        <v>0.74738783869542003</v>
      </c>
      <c r="O1105">
        <v>14287.684912999999</v>
      </c>
      <c r="P1105" t="s">
        <v>421</v>
      </c>
      <c r="Q1105">
        <v>1</v>
      </c>
      <c r="V1105">
        <v>1</v>
      </c>
      <c r="W1105">
        <v>1</v>
      </c>
      <c r="X1105">
        <v>1</v>
      </c>
      <c r="Y1105">
        <v>1</v>
      </c>
      <c r="Z1105">
        <v>14287.684912999999</v>
      </c>
    </row>
    <row r="1106" spans="1:26" x14ac:dyDescent="0.25">
      <c r="A1106">
        <v>136645</v>
      </c>
      <c r="B1106" t="s">
        <v>237</v>
      </c>
      <c r="C1106">
        <v>2020</v>
      </c>
      <c r="D1106">
        <v>1</v>
      </c>
      <c r="E1106" t="s">
        <v>415</v>
      </c>
      <c r="F1106" t="s">
        <v>416</v>
      </c>
      <c r="G1106" t="s">
        <v>417</v>
      </c>
      <c r="H1106" t="s">
        <v>84</v>
      </c>
      <c r="I1106" t="s">
        <v>428</v>
      </c>
      <c r="J1106" t="s">
        <v>59</v>
      </c>
      <c r="K1106">
        <v>-19116.828202370001</v>
      </c>
      <c r="L1106" t="s">
        <v>89</v>
      </c>
      <c r="M1106" t="s">
        <v>424</v>
      </c>
      <c r="N1106">
        <v>3.08071516317E-3</v>
      </c>
      <c r="O1106">
        <v>58.893503000000003</v>
      </c>
      <c r="P1106" t="s">
        <v>421</v>
      </c>
      <c r="Q1106">
        <v>1</v>
      </c>
      <c r="V1106">
        <v>1</v>
      </c>
      <c r="W1106">
        <v>1</v>
      </c>
      <c r="X1106">
        <v>1</v>
      </c>
      <c r="Y1106">
        <v>1</v>
      </c>
      <c r="Z1106">
        <v>58.893503000000003</v>
      </c>
    </row>
    <row r="1107" spans="1:26" x14ac:dyDescent="0.25">
      <c r="A1107">
        <v>136646</v>
      </c>
      <c r="B1107" t="s">
        <v>237</v>
      </c>
      <c r="C1107">
        <v>2020</v>
      </c>
      <c r="D1107">
        <v>1</v>
      </c>
      <c r="E1107" t="s">
        <v>415</v>
      </c>
      <c r="F1107" t="s">
        <v>416</v>
      </c>
      <c r="G1107" t="s">
        <v>417</v>
      </c>
      <c r="H1107" t="s">
        <v>84</v>
      </c>
      <c r="I1107" t="s">
        <v>428</v>
      </c>
      <c r="J1107" t="s">
        <v>59</v>
      </c>
      <c r="K1107">
        <v>-19116.828202370001</v>
      </c>
      <c r="L1107" t="s">
        <v>89</v>
      </c>
      <c r="M1107" t="s">
        <v>425</v>
      </c>
      <c r="N1107">
        <v>2.5360775708E-3</v>
      </c>
      <c r="O1107">
        <v>48.481758999999997</v>
      </c>
      <c r="P1107" t="s">
        <v>421</v>
      </c>
      <c r="Q1107">
        <v>1</v>
      </c>
      <c r="V1107">
        <v>1</v>
      </c>
      <c r="W1107">
        <v>1</v>
      </c>
      <c r="X1107">
        <v>1</v>
      </c>
      <c r="Y1107">
        <v>1</v>
      </c>
      <c r="Z1107">
        <v>48.481758999999997</v>
      </c>
    </row>
    <row r="1108" spans="1:26" x14ac:dyDescent="0.25">
      <c r="A1108">
        <v>136647</v>
      </c>
      <c r="B1108" t="s">
        <v>237</v>
      </c>
      <c r="C1108">
        <v>2020</v>
      </c>
      <c r="D1108">
        <v>1</v>
      </c>
      <c r="E1108" t="s">
        <v>415</v>
      </c>
      <c r="F1108" t="s">
        <v>429</v>
      </c>
      <c r="G1108" t="s">
        <v>430</v>
      </c>
      <c r="H1108" t="s">
        <v>84</v>
      </c>
      <c r="I1108" t="s">
        <v>431</v>
      </c>
      <c r="J1108" t="s">
        <v>419</v>
      </c>
      <c r="K1108">
        <v>-56558.055522549999</v>
      </c>
      <c r="L1108" t="s">
        <v>85</v>
      </c>
      <c r="M1108" t="s">
        <v>420</v>
      </c>
      <c r="N1108">
        <v>0.24824931095561001</v>
      </c>
      <c r="O1108">
        <v>14040.498312</v>
      </c>
      <c r="P1108" t="s">
        <v>421</v>
      </c>
      <c r="Q1108">
        <v>1</v>
      </c>
      <c r="V1108">
        <v>1</v>
      </c>
      <c r="W1108">
        <v>1</v>
      </c>
      <c r="X1108">
        <v>1</v>
      </c>
      <c r="Y1108">
        <v>1</v>
      </c>
      <c r="Z1108">
        <v>14040.498312</v>
      </c>
    </row>
    <row r="1109" spans="1:26" x14ac:dyDescent="0.25">
      <c r="A1109">
        <v>136648</v>
      </c>
      <c r="B1109" t="s">
        <v>237</v>
      </c>
      <c r="C1109">
        <v>2020</v>
      </c>
      <c r="D1109">
        <v>1</v>
      </c>
      <c r="E1109" t="s">
        <v>415</v>
      </c>
      <c r="F1109" t="s">
        <v>429</v>
      </c>
      <c r="G1109" t="s">
        <v>430</v>
      </c>
      <c r="H1109" t="s">
        <v>84</v>
      </c>
      <c r="I1109" t="s">
        <v>431</v>
      </c>
      <c r="J1109" t="s">
        <v>419</v>
      </c>
      <c r="K1109">
        <v>-56558.055522549999</v>
      </c>
      <c r="L1109" t="s">
        <v>85</v>
      </c>
      <c r="M1109" t="s">
        <v>422</v>
      </c>
      <c r="N1109">
        <v>7.7540047892240005E-2</v>
      </c>
      <c r="O1109">
        <v>4385.5143340000004</v>
      </c>
      <c r="P1109" t="s">
        <v>421</v>
      </c>
      <c r="Q1109">
        <v>1</v>
      </c>
      <c r="V1109">
        <v>1</v>
      </c>
      <c r="W1109">
        <v>1</v>
      </c>
      <c r="X1109">
        <v>1</v>
      </c>
      <c r="Y1109">
        <v>1</v>
      </c>
      <c r="Z1109">
        <v>4385.5143340000004</v>
      </c>
    </row>
    <row r="1110" spans="1:26" x14ac:dyDescent="0.25">
      <c r="A1110">
        <v>136649</v>
      </c>
      <c r="B1110" t="s">
        <v>237</v>
      </c>
      <c r="C1110">
        <v>2020</v>
      </c>
      <c r="D1110">
        <v>1</v>
      </c>
      <c r="E1110" t="s">
        <v>415</v>
      </c>
      <c r="F1110" t="s">
        <v>429</v>
      </c>
      <c r="G1110" t="s">
        <v>430</v>
      </c>
      <c r="H1110" t="s">
        <v>84</v>
      </c>
      <c r="I1110" t="s">
        <v>431</v>
      </c>
      <c r="J1110" t="s">
        <v>419</v>
      </c>
      <c r="K1110">
        <v>-56558.055522549999</v>
      </c>
      <c r="L1110" t="s">
        <v>85</v>
      </c>
      <c r="M1110" t="s">
        <v>423</v>
      </c>
      <c r="N1110">
        <v>0.73979703899049998</v>
      </c>
      <c r="O1110">
        <v>41841.482006999999</v>
      </c>
      <c r="P1110" t="s">
        <v>421</v>
      </c>
      <c r="Q1110">
        <v>1</v>
      </c>
      <c r="V1110">
        <v>1</v>
      </c>
      <c r="W1110">
        <v>1</v>
      </c>
      <c r="X1110">
        <v>1</v>
      </c>
      <c r="Y1110">
        <v>1</v>
      </c>
      <c r="Z1110">
        <v>41841.482006999999</v>
      </c>
    </row>
    <row r="1111" spans="1:26" x14ac:dyDescent="0.25">
      <c r="A1111">
        <v>136650</v>
      </c>
      <c r="B1111" t="s">
        <v>237</v>
      </c>
      <c r="C1111">
        <v>2020</v>
      </c>
      <c r="D1111">
        <v>1</v>
      </c>
      <c r="E1111" t="s">
        <v>415</v>
      </c>
      <c r="F1111" t="s">
        <v>429</v>
      </c>
      <c r="G1111" t="s">
        <v>430</v>
      </c>
      <c r="H1111" t="s">
        <v>84</v>
      </c>
      <c r="I1111" t="s">
        <v>431</v>
      </c>
      <c r="J1111" t="s">
        <v>419</v>
      </c>
      <c r="K1111">
        <v>-56558.055522549999</v>
      </c>
      <c r="L1111" t="s">
        <v>85</v>
      </c>
      <c r="M1111" t="s">
        <v>424</v>
      </c>
      <c r="N1111">
        <v>2.9085775596699999E-3</v>
      </c>
      <c r="O1111">
        <v>164.503491</v>
      </c>
      <c r="P1111" t="s">
        <v>421</v>
      </c>
      <c r="Q1111">
        <v>1</v>
      </c>
      <c r="V1111">
        <v>1</v>
      </c>
      <c r="W1111">
        <v>1</v>
      </c>
      <c r="X1111">
        <v>1</v>
      </c>
      <c r="Y1111">
        <v>1</v>
      </c>
      <c r="Z1111">
        <v>164.503491</v>
      </c>
    </row>
    <row r="1112" spans="1:26" x14ac:dyDescent="0.25">
      <c r="A1112">
        <v>136651</v>
      </c>
      <c r="B1112" t="s">
        <v>237</v>
      </c>
      <c r="C1112">
        <v>2020</v>
      </c>
      <c r="D1112">
        <v>1</v>
      </c>
      <c r="E1112" t="s">
        <v>415</v>
      </c>
      <c r="F1112" t="s">
        <v>429</v>
      </c>
      <c r="G1112" t="s">
        <v>430</v>
      </c>
      <c r="H1112" t="s">
        <v>84</v>
      </c>
      <c r="I1112" t="s">
        <v>431</v>
      </c>
      <c r="J1112" t="s">
        <v>419</v>
      </c>
      <c r="K1112">
        <v>-56558.055522549999</v>
      </c>
      <c r="L1112" t="s">
        <v>85</v>
      </c>
      <c r="M1112" t="s">
        <v>425</v>
      </c>
      <c r="N1112">
        <v>2.6170694898000001E-3</v>
      </c>
      <c r="O1112">
        <v>148.01636199999999</v>
      </c>
      <c r="P1112" t="s">
        <v>421</v>
      </c>
      <c r="Q1112">
        <v>1</v>
      </c>
      <c r="V1112">
        <v>1</v>
      </c>
      <c r="W1112">
        <v>1</v>
      </c>
      <c r="X1112">
        <v>1</v>
      </c>
      <c r="Y1112">
        <v>1</v>
      </c>
      <c r="Z1112">
        <v>148.01636199999999</v>
      </c>
    </row>
    <row r="1113" spans="1:26" x14ac:dyDescent="0.25">
      <c r="A1113">
        <v>136652</v>
      </c>
      <c r="B1113" t="s">
        <v>237</v>
      </c>
      <c r="C1113">
        <v>2020</v>
      </c>
      <c r="D1113">
        <v>1</v>
      </c>
      <c r="E1113" t="s">
        <v>415</v>
      </c>
      <c r="F1113" t="s">
        <v>429</v>
      </c>
      <c r="G1113" t="s">
        <v>430</v>
      </c>
      <c r="H1113" t="s">
        <v>84</v>
      </c>
      <c r="I1113" t="s">
        <v>432</v>
      </c>
      <c r="J1113" t="s">
        <v>87</v>
      </c>
      <c r="K1113">
        <v>-8281.5331217300009</v>
      </c>
      <c r="L1113" t="s">
        <v>427</v>
      </c>
      <c r="M1113" t="s">
        <v>420</v>
      </c>
      <c r="N1113">
        <v>0.45523813654234002</v>
      </c>
      <c r="O1113">
        <v>3770.0697060000002</v>
      </c>
      <c r="P1113" t="s">
        <v>421</v>
      </c>
      <c r="Q1113">
        <v>1</v>
      </c>
      <c r="V1113">
        <v>1</v>
      </c>
      <c r="W1113">
        <v>1</v>
      </c>
      <c r="X1113">
        <v>1</v>
      </c>
      <c r="Y1113">
        <v>1</v>
      </c>
      <c r="Z1113">
        <v>3770.0697060000002</v>
      </c>
    </row>
    <row r="1114" spans="1:26" x14ac:dyDescent="0.25">
      <c r="A1114">
        <v>136653</v>
      </c>
      <c r="B1114" t="s">
        <v>237</v>
      </c>
      <c r="C1114">
        <v>2020</v>
      </c>
      <c r="D1114">
        <v>1</v>
      </c>
      <c r="E1114" t="s">
        <v>415</v>
      </c>
      <c r="F1114" t="s">
        <v>429</v>
      </c>
      <c r="G1114" t="s">
        <v>430</v>
      </c>
      <c r="H1114" t="s">
        <v>84</v>
      </c>
      <c r="I1114" t="s">
        <v>432</v>
      </c>
      <c r="J1114" t="s">
        <v>87</v>
      </c>
      <c r="K1114">
        <v>-8281.5331217300009</v>
      </c>
      <c r="L1114" t="s">
        <v>427</v>
      </c>
      <c r="M1114" t="s">
        <v>422</v>
      </c>
      <c r="N1114">
        <v>6.8896616392329996E-2</v>
      </c>
      <c r="O1114">
        <v>570.56961100000001</v>
      </c>
      <c r="P1114" t="s">
        <v>421</v>
      </c>
      <c r="Q1114">
        <v>1</v>
      </c>
      <c r="V1114">
        <v>1</v>
      </c>
      <c r="W1114">
        <v>1</v>
      </c>
      <c r="X1114">
        <v>1</v>
      </c>
      <c r="Y1114">
        <v>1</v>
      </c>
      <c r="Z1114">
        <v>570.56961100000001</v>
      </c>
    </row>
    <row r="1115" spans="1:26" x14ac:dyDescent="0.25">
      <c r="A1115">
        <v>136654</v>
      </c>
      <c r="B1115" t="s">
        <v>237</v>
      </c>
      <c r="C1115">
        <v>2020</v>
      </c>
      <c r="D1115">
        <v>1</v>
      </c>
      <c r="E1115" t="s">
        <v>415</v>
      </c>
      <c r="F1115" t="s">
        <v>429</v>
      </c>
      <c r="G1115" t="s">
        <v>430</v>
      </c>
      <c r="H1115" t="s">
        <v>84</v>
      </c>
      <c r="I1115" t="s">
        <v>432</v>
      </c>
      <c r="J1115" t="s">
        <v>87</v>
      </c>
      <c r="K1115">
        <v>-8281.5331217300009</v>
      </c>
      <c r="L1115" t="s">
        <v>427</v>
      </c>
      <c r="M1115" t="s">
        <v>423</v>
      </c>
      <c r="N1115">
        <v>0.70986919705586005</v>
      </c>
      <c r="O1115">
        <v>5878.8052680000001</v>
      </c>
      <c r="P1115" t="s">
        <v>421</v>
      </c>
      <c r="Q1115">
        <v>1</v>
      </c>
      <c r="V1115">
        <v>1</v>
      </c>
      <c r="W1115">
        <v>1</v>
      </c>
      <c r="X1115">
        <v>1</v>
      </c>
      <c r="Y1115">
        <v>1</v>
      </c>
      <c r="Z1115">
        <v>5878.8052680000001</v>
      </c>
    </row>
    <row r="1116" spans="1:26" x14ac:dyDescent="0.25">
      <c r="A1116">
        <v>136655</v>
      </c>
      <c r="B1116" t="s">
        <v>237</v>
      </c>
      <c r="C1116">
        <v>2020</v>
      </c>
      <c r="D1116">
        <v>1</v>
      </c>
      <c r="E1116" t="s">
        <v>415</v>
      </c>
      <c r="F1116" t="s">
        <v>429</v>
      </c>
      <c r="G1116" t="s">
        <v>430</v>
      </c>
      <c r="H1116" t="s">
        <v>84</v>
      </c>
      <c r="I1116" t="s">
        <v>432</v>
      </c>
      <c r="J1116" t="s">
        <v>87</v>
      </c>
      <c r="K1116">
        <v>-8281.5331217300009</v>
      </c>
      <c r="L1116" t="s">
        <v>427</v>
      </c>
      <c r="M1116" t="s">
        <v>425</v>
      </c>
      <c r="N1116">
        <v>1.4965642882E-3</v>
      </c>
      <c r="O1116">
        <v>12.393846999999999</v>
      </c>
      <c r="P1116" t="s">
        <v>421</v>
      </c>
      <c r="Q1116">
        <v>1</v>
      </c>
      <c r="V1116">
        <v>1</v>
      </c>
      <c r="W1116">
        <v>1</v>
      </c>
      <c r="X1116">
        <v>1</v>
      </c>
      <c r="Y1116">
        <v>1</v>
      </c>
      <c r="Z1116">
        <v>12.393846999999999</v>
      </c>
    </row>
    <row r="1117" spans="1:26" x14ac:dyDescent="0.25">
      <c r="A1117">
        <v>136656</v>
      </c>
      <c r="B1117" t="s">
        <v>237</v>
      </c>
      <c r="C1117">
        <v>2020</v>
      </c>
      <c r="D1117">
        <v>1</v>
      </c>
      <c r="E1117" t="s">
        <v>415</v>
      </c>
      <c r="F1117" t="s">
        <v>429</v>
      </c>
      <c r="G1117" t="s">
        <v>430</v>
      </c>
      <c r="H1117" t="s">
        <v>84</v>
      </c>
      <c r="I1117" t="s">
        <v>433</v>
      </c>
      <c r="J1117" t="s">
        <v>59</v>
      </c>
      <c r="K1117">
        <v>-25367.872248290001</v>
      </c>
      <c r="L1117" t="s">
        <v>89</v>
      </c>
      <c r="M1117" t="s">
        <v>420</v>
      </c>
      <c r="N1117">
        <v>0.26343870574139999</v>
      </c>
      <c r="O1117">
        <v>6682.8794330000001</v>
      </c>
      <c r="P1117" t="s">
        <v>421</v>
      </c>
      <c r="Q1117">
        <v>1</v>
      </c>
      <c r="V1117">
        <v>1</v>
      </c>
      <c r="W1117">
        <v>1</v>
      </c>
      <c r="X1117">
        <v>1</v>
      </c>
      <c r="Y1117">
        <v>1</v>
      </c>
      <c r="Z1117">
        <v>6682.8794330000001</v>
      </c>
    </row>
    <row r="1118" spans="1:26" x14ac:dyDescent="0.25">
      <c r="A1118">
        <v>136657</v>
      </c>
      <c r="B1118" t="s">
        <v>237</v>
      </c>
      <c r="C1118">
        <v>2020</v>
      </c>
      <c r="D1118">
        <v>1</v>
      </c>
      <c r="E1118" t="s">
        <v>415</v>
      </c>
      <c r="F1118" t="s">
        <v>429</v>
      </c>
      <c r="G1118" t="s">
        <v>430</v>
      </c>
      <c r="H1118" t="s">
        <v>84</v>
      </c>
      <c r="I1118" t="s">
        <v>433</v>
      </c>
      <c r="J1118" t="s">
        <v>59</v>
      </c>
      <c r="K1118">
        <v>-25367.872248290001</v>
      </c>
      <c r="L1118" t="s">
        <v>89</v>
      </c>
      <c r="M1118" t="s">
        <v>422</v>
      </c>
      <c r="N1118">
        <v>7.1262429683470005E-2</v>
      </c>
      <c r="O1118">
        <v>1807.776212</v>
      </c>
      <c r="P1118" t="s">
        <v>421</v>
      </c>
      <c r="Q1118">
        <v>1</v>
      </c>
      <c r="V1118">
        <v>1</v>
      </c>
      <c r="W1118">
        <v>1</v>
      </c>
      <c r="X1118">
        <v>1</v>
      </c>
      <c r="Y1118">
        <v>1</v>
      </c>
      <c r="Z1118">
        <v>1807.776212</v>
      </c>
    </row>
    <row r="1119" spans="1:26" x14ac:dyDescent="0.25">
      <c r="A1119">
        <v>136658</v>
      </c>
      <c r="B1119" t="s">
        <v>237</v>
      </c>
      <c r="C1119">
        <v>2020</v>
      </c>
      <c r="D1119">
        <v>1</v>
      </c>
      <c r="E1119" t="s">
        <v>415</v>
      </c>
      <c r="F1119" t="s">
        <v>429</v>
      </c>
      <c r="G1119" t="s">
        <v>430</v>
      </c>
      <c r="H1119" t="s">
        <v>84</v>
      </c>
      <c r="I1119" t="s">
        <v>433</v>
      </c>
      <c r="J1119" t="s">
        <v>59</v>
      </c>
      <c r="K1119">
        <v>-25367.872248290001</v>
      </c>
      <c r="L1119" t="s">
        <v>89</v>
      </c>
      <c r="M1119" t="s">
        <v>423</v>
      </c>
      <c r="N1119">
        <v>0.74738783869542003</v>
      </c>
      <c r="O1119">
        <v>18959.639211999998</v>
      </c>
      <c r="P1119" t="s">
        <v>421</v>
      </c>
      <c r="Q1119">
        <v>1</v>
      </c>
      <c r="V1119">
        <v>1</v>
      </c>
      <c r="W1119">
        <v>1</v>
      </c>
      <c r="X1119">
        <v>1</v>
      </c>
      <c r="Y1119">
        <v>1</v>
      </c>
      <c r="Z1119">
        <v>18959.639211999998</v>
      </c>
    </row>
    <row r="1120" spans="1:26" x14ac:dyDescent="0.25">
      <c r="A1120">
        <v>136659</v>
      </c>
      <c r="B1120" t="s">
        <v>237</v>
      </c>
      <c r="C1120">
        <v>2020</v>
      </c>
      <c r="D1120">
        <v>1</v>
      </c>
      <c r="E1120" t="s">
        <v>415</v>
      </c>
      <c r="F1120" t="s">
        <v>429</v>
      </c>
      <c r="G1120" t="s">
        <v>430</v>
      </c>
      <c r="H1120" t="s">
        <v>84</v>
      </c>
      <c r="I1120" t="s">
        <v>433</v>
      </c>
      <c r="J1120" t="s">
        <v>59</v>
      </c>
      <c r="K1120">
        <v>-25367.872248290001</v>
      </c>
      <c r="L1120" t="s">
        <v>89</v>
      </c>
      <c r="M1120" t="s">
        <v>424</v>
      </c>
      <c r="N1120">
        <v>3.08071516317E-3</v>
      </c>
      <c r="O1120">
        <v>78.151189000000002</v>
      </c>
      <c r="P1120" t="s">
        <v>421</v>
      </c>
      <c r="Q1120">
        <v>1</v>
      </c>
      <c r="V1120">
        <v>1</v>
      </c>
      <c r="W1120">
        <v>1</v>
      </c>
      <c r="X1120">
        <v>1</v>
      </c>
      <c r="Y1120">
        <v>1</v>
      </c>
      <c r="Z1120">
        <v>78.151189000000002</v>
      </c>
    </row>
    <row r="1121" spans="1:26" x14ac:dyDescent="0.25">
      <c r="A1121">
        <v>136660</v>
      </c>
      <c r="B1121" t="s">
        <v>237</v>
      </c>
      <c r="C1121">
        <v>2020</v>
      </c>
      <c r="D1121">
        <v>1</v>
      </c>
      <c r="E1121" t="s">
        <v>415</v>
      </c>
      <c r="F1121" t="s">
        <v>429</v>
      </c>
      <c r="G1121" t="s">
        <v>430</v>
      </c>
      <c r="H1121" t="s">
        <v>84</v>
      </c>
      <c r="I1121" t="s">
        <v>433</v>
      </c>
      <c r="J1121" t="s">
        <v>59</v>
      </c>
      <c r="K1121">
        <v>-25367.872248290001</v>
      </c>
      <c r="L1121" t="s">
        <v>89</v>
      </c>
      <c r="M1121" t="s">
        <v>425</v>
      </c>
      <c r="N1121">
        <v>2.5360775708E-3</v>
      </c>
      <c r="O1121">
        <v>64.334891999999996</v>
      </c>
      <c r="P1121" t="s">
        <v>421</v>
      </c>
      <c r="Q1121">
        <v>1</v>
      </c>
      <c r="V1121">
        <v>1</v>
      </c>
      <c r="W1121">
        <v>1</v>
      </c>
      <c r="X1121">
        <v>1</v>
      </c>
      <c r="Y1121">
        <v>1</v>
      </c>
      <c r="Z1121">
        <v>64.334891999999996</v>
      </c>
    </row>
    <row r="1122" spans="1:26" x14ac:dyDescent="0.25">
      <c r="A1122">
        <v>136661</v>
      </c>
      <c r="B1122" t="s">
        <v>237</v>
      </c>
      <c r="C1122">
        <v>2020</v>
      </c>
      <c r="D1122">
        <v>1</v>
      </c>
      <c r="E1122" t="s">
        <v>415</v>
      </c>
      <c r="F1122" t="s">
        <v>434</v>
      </c>
      <c r="G1122" t="s">
        <v>435</v>
      </c>
      <c r="H1122" t="s">
        <v>84</v>
      </c>
      <c r="I1122" t="s">
        <v>436</v>
      </c>
      <c r="J1122" t="s">
        <v>419</v>
      </c>
      <c r="K1122">
        <v>-33509.697209669997</v>
      </c>
      <c r="L1122" t="s">
        <v>85</v>
      </c>
      <c r="M1122" t="s">
        <v>420</v>
      </c>
      <c r="N1122">
        <v>0.24824931095561001</v>
      </c>
      <c r="O1122">
        <v>8318.7592430000004</v>
      </c>
      <c r="P1122" t="s">
        <v>421</v>
      </c>
      <c r="Q1122">
        <v>1</v>
      </c>
      <c r="V1122">
        <v>1</v>
      </c>
      <c r="W1122">
        <v>1</v>
      </c>
      <c r="X1122">
        <v>1</v>
      </c>
      <c r="Y1122">
        <v>1</v>
      </c>
      <c r="Z1122">
        <v>8318.7592430000004</v>
      </c>
    </row>
    <row r="1123" spans="1:26" x14ac:dyDescent="0.25">
      <c r="A1123">
        <v>136662</v>
      </c>
      <c r="B1123" t="s">
        <v>237</v>
      </c>
      <c r="C1123">
        <v>2020</v>
      </c>
      <c r="D1123">
        <v>1</v>
      </c>
      <c r="E1123" t="s">
        <v>415</v>
      </c>
      <c r="F1123" t="s">
        <v>434</v>
      </c>
      <c r="G1123" t="s">
        <v>435</v>
      </c>
      <c r="H1123" t="s">
        <v>84</v>
      </c>
      <c r="I1123" t="s">
        <v>436</v>
      </c>
      <c r="J1123" t="s">
        <v>419</v>
      </c>
      <c r="K1123">
        <v>-33509.697209669997</v>
      </c>
      <c r="L1123" t="s">
        <v>85</v>
      </c>
      <c r="M1123" t="s">
        <v>422</v>
      </c>
      <c r="N1123">
        <v>7.7540047892240005E-2</v>
      </c>
      <c r="O1123">
        <v>2598.3435260000001</v>
      </c>
      <c r="P1123" t="s">
        <v>421</v>
      </c>
      <c r="Q1123">
        <v>1</v>
      </c>
      <c r="V1123">
        <v>1</v>
      </c>
      <c r="W1123">
        <v>1</v>
      </c>
      <c r="X1123">
        <v>1</v>
      </c>
      <c r="Y1123">
        <v>1</v>
      </c>
      <c r="Z1123">
        <v>2598.3435260000001</v>
      </c>
    </row>
    <row r="1124" spans="1:26" x14ac:dyDescent="0.25">
      <c r="A1124">
        <v>136663</v>
      </c>
      <c r="B1124" t="s">
        <v>237</v>
      </c>
      <c r="C1124">
        <v>2020</v>
      </c>
      <c r="D1124">
        <v>1</v>
      </c>
      <c r="E1124" t="s">
        <v>415</v>
      </c>
      <c r="F1124" t="s">
        <v>434</v>
      </c>
      <c r="G1124" t="s">
        <v>435</v>
      </c>
      <c r="H1124" t="s">
        <v>84</v>
      </c>
      <c r="I1124" t="s">
        <v>436</v>
      </c>
      <c r="J1124" t="s">
        <v>419</v>
      </c>
      <c r="K1124">
        <v>-33509.697209669997</v>
      </c>
      <c r="L1124" t="s">
        <v>85</v>
      </c>
      <c r="M1124" t="s">
        <v>423</v>
      </c>
      <c r="N1124">
        <v>0.73979703899049998</v>
      </c>
      <c r="O1124">
        <v>24790.374773</v>
      </c>
      <c r="P1124" t="s">
        <v>421</v>
      </c>
      <c r="Q1124">
        <v>1</v>
      </c>
      <c r="V1124">
        <v>1</v>
      </c>
      <c r="W1124">
        <v>1</v>
      </c>
      <c r="X1124">
        <v>1</v>
      </c>
      <c r="Y1124">
        <v>1</v>
      </c>
      <c r="Z1124">
        <v>24790.374773</v>
      </c>
    </row>
    <row r="1125" spans="1:26" x14ac:dyDescent="0.25">
      <c r="A1125">
        <v>136664</v>
      </c>
      <c r="B1125" t="s">
        <v>237</v>
      </c>
      <c r="C1125">
        <v>2020</v>
      </c>
      <c r="D1125">
        <v>1</v>
      </c>
      <c r="E1125" t="s">
        <v>415</v>
      </c>
      <c r="F1125" t="s">
        <v>434</v>
      </c>
      <c r="G1125" t="s">
        <v>435</v>
      </c>
      <c r="H1125" t="s">
        <v>84</v>
      </c>
      <c r="I1125" t="s">
        <v>436</v>
      </c>
      <c r="J1125" t="s">
        <v>419</v>
      </c>
      <c r="K1125">
        <v>-33509.697209669997</v>
      </c>
      <c r="L1125" t="s">
        <v>85</v>
      </c>
      <c r="M1125" t="s">
        <v>424</v>
      </c>
      <c r="N1125">
        <v>2.9085775596699999E-3</v>
      </c>
      <c r="O1125">
        <v>97.465553</v>
      </c>
      <c r="P1125" t="s">
        <v>421</v>
      </c>
      <c r="Q1125">
        <v>1</v>
      </c>
      <c r="V1125">
        <v>1</v>
      </c>
      <c r="W1125">
        <v>1</v>
      </c>
      <c r="X1125">
        <v>1</v>
      </c>
      <c r="Y1125">
        <v>1</v>
      </c>
      <c r="Z1125">
        <v>97.465553</v>
      </c>
    </row>
    <row r="1126" spans="1:26" x14ac:dyDescent="0.25">
      <c r="A1126">
        <v>136665</v>
      </c>
      <c r="B1126" t="s">
        <v>237</v>
      </c>
      <c r="C1126">
        <v>2020</v>
      </c>
      <c r="D1126">
        <v>1</v>
      </c>
      <c r="E1126" t="s">
        <v>415</v>
      </c>
      <c r="F1126" t="s">
        <v>434</v>
      </c>
      <c r="G1126" t="s">
        <v>435</v>
      </c>
      <c r="H1126" t="s">
        <v>84</v>
      </c>
      <c r="I1126" t="s">
        <v>436</v>
      </c>
      <c r="J1126" t="s">
        <v>419</v>
      </c>
      <c r="K1126">
        <v>-33509.697209669997</v>
      </c>
      <c r="L1126" t="s">
        <v>85</v>
      </c>
      <c r="M1126" t="s">
        <v>425</v>
      </c>
      <c r="N1126">
        <v>2.6170694898000001E-3</v>
      </c>
      <c r="O1126">
        <v>87.697205999999994</v>
      </c>
      <c r="P1126" t="s">
        <v>421</v>
      </c>
      <c r="Q1126">
        <v>1</v>
      </c>
      <c r="V1126">
        <v>1</v>
      </c>
      <c r="W1126">
        <v>1</v>
      </c>
      <c r="X1126">
        <v>1</v>
      </c>
      <c r="Y1126">
        <v>1</v>
      </c>
      <c r="Z1126">
        <v>87.697205999999994</v>
      </c>
    </row>
    <row r="1127" spans="1:26" x14ac:dyDescent="0.25">
      <c r="A1127">
        <v>136666</v>
      </c>
      <c r="B1127" t="s">
        <v>237</v>
      </c>
      <c r="C1127">
        <v>2020</v>
      </c>
      <c r="D1127">
        <v>1</v>
      </c>
      <c r="E1127" t="s">
        <v>415</v>
      </c>
      <c r="F1127" t="s">
        <v>434</v>
      </c>
      <c r="G1127" t="s">
        <v>435</v>
      </c>
      <c r="H1127" t="s">
        <v>84</v>
      </c>
      <c r="I1127" t="s">
        <v>437</v>
      </c>
      <c r="J1127" t="s">
        <v>87</v>
      </c>
      <c r="K1127">
        <v>-5032.91323156</v>
      </c>
      <c r="L1127" t="s">
        <v>427</v>
      </c>
      <c r="M1127" t="s">
        <v>420</v>
      </c>
      <c r="N1127">
        <v>0.45523813654234002</v>
      </c>
      <c r="O1127">
        <v>2291.1740410000002</v>
      </c>
      <c r="P1127" t="s">
        <v>421</v>
      </c>
      <c r="Q1127">
        <v>1</v>
      </c>
      <c r="V1127">
        <v>1</v>
      </c>
      <c r="W1127">
        <v>1</v>
      </c>
      <c r="X1127">
        <v>1</v>
      </c>
      <c r="Y1127">
        <v>1</v>
      </c>
      <c r="Z1127">
        <v>2291.1740410000002</v>
      </c>
    </row>
    <row r="1128" spans="1:26" x14ac:dyDescent="0.25">
      <c r="A1128">
        <v>136667</v>
      </c>
      <c r="B1128" t="s">
        <v>237</v>
      </c>
      <c r="C1128">
        <v>2020</v>
      </c>
      <c r="D1128">
        <v>1</v>
      </c>
      <c r="E1128" t="s">
        <v>415</v>
      </c>
      <c r="F1128" t="s">
        <v>434</v>
      </c>
      <c r="G1128" t="s">
        <v>435</v>
      </c>
      <c r="H1128" t="s">
        <v>84</v>
      </c>
      <c r="I1128" t="s">
        <v>437</v>
      </c>
      <c r="J1128" t="s">
        <v>87</v>
      </c>
      <c r="K1128">
        <v>-5032.91323156</v>
      </c>
      <c r="L1128" t="s">
        <v>427</v>
      </c>
      <c r="M1128" t="s">
        <v>422</v>
      </c>
      <c r="N1128">
        <v>6.8896616392329996E-2</v>
      </c>
      <c r="O1128">
        <v>346.75069200000002</v>
      </c>
      <c r="P1128" t="s">
        <v>421</v>
      </c>
      <c r="Q1128">
        <v>1</v>
      </c>
      <c r="V1128">
        <v>1</v>
      </c>
      <c r="W1128">
        <v>1</v>
      </c>
      <c r="X1128">
        <v>1</v>
      </c>
      <c r="Y1128">
        <v>1</v>
      </c>
      <c r="Z1128">
        <v>346.75069200000002</v>
      </c>
    </row>
    <row r="1129" spans="1:26" x14ac:dyDescent="0.25">
      <c r="A1129">
        <v>136668</v>
      </c>
      <c r="B1129" t="s">
        <v>237</v>
      </c>
      <c r="C1129">
        <v>2020</v>
      </c>
      <c r="D1129">
        <v>1</v>
      </c>
      <c r="E1129" t="s">
        <v>415</v>
      </c>
      <c r="F1129" t="s">
        <v>434</v>
      </c>
      <c r="G1129" t="s">
        <v>435</v>
      </c>
      <c r="H1129" t="s">
        <v>84</v>
      </c>
      <c r="I1129" t="s">
        <v>437</v>
      </c>
      <c r="J1129" t="s">
        <v>87</v>
      </c>
      <c r="K1129">
        <v>-5032.91323156</v>
      </c>
      <c r="L1129" t="s">
        <v>427</v>
      </c>
      <c r="M1129" t="s">
        <v>423</v>
      </c>
      <c r="N1129">
        <v>0.70986919705586005</v>
      </c>
      <c r="O1129">
        <v>3572.710075</v>
      </c>
      <c r="P1129" t="s">
        <v>421</v>
      </c>
      <c r="Q1129">
        <v>1</v>
      </c>
      <c r="V1129">
        <v>1</v>
      </c>
      <c r="W1129">
        <v>1</v>
      </c>
      <c r="X1129">
        <v>1</v>
      </c>
      <c r="Y1129">
        <v>1</v>
      </c>
      <c r="Z1129">
        <v>3572.710075</v>
      </c>
    </row>
    <row r="1130" spans="1:26" x14ac:dyDescent="0.25">
      <c r="A1130">
        <v>136669</v>
      </c>
      <c r="B1130" t="s">
        <v>237</v>
      </c>
      <c r="C1130">
        <v>2020</v>
      </c>
      <c r="D1130">
        <v>1</v>
      </c>
      <c r="E1130" t="s">
        <v>415</v>
      </c>
      <c r="F1130" t="s">
        <v>434</v>
      </c>
      <c r="G1130" t="s">
        <v>435</v>
      </c>
      <c r="H1130" t="s">
        <v>84</v>
      </c>
      <c r="I1130" t="s">
        <v>437</v>
      </c>
      <c r="J1130" t="s">
        <v>87</v>
      </c>
      <c r="K1130">
        <v>-5032.91323156</v>
      </c>
      <c r="L1130" t="s">
        <v>427</v>
      </c>
      <c r="M1130" t="s">
        <v>425</v>
      </c>
      <c r="N1130">
        <v>1.4965642882E-3</v>
      </c>
      <c r="O1130">
        <v>7.5320780000000003</v>
      </c>
      <c r="P1130" t="s">
        <v>421</v>
      </c>
      <c r="Q1130">
        <v>1</v>
      </c>
      <c r="V1130">
        <v>1</v>
      </c>
      <c r="W1130">
        <v>1</v>
      </c>
      <c r="X1130">
        <v>1</v>
      </c>
      <c r="Y1130">
        <v>1</v>
      </c>
      <c r="Z1130">
        <v>7.5320780000000003</v>
      </c>
    </row>
    <row r="1131" spans="1:26" x14ac:dyDescent="0.25">
      <c r="A1131">
        <v>136670</v>
      </c>
      <c r="B1131" t="s">
        <v>237</v>
      </c>
      <c r="C1131">
        <v>2020</v>
      </c>
      <c r="D1131">
        <v>1</v>
      </c>
      <c r="E1131" t="s">
        <v>415</v>
      </c>
      <c r="F1131" t="s">
        <v>434</v>
      </c>
      <c r="G1131" t="s">
        <v>435</v>
      </c>
      <c r="H1131" t="s">
        <v>84</v>
      </c>
      <c r="I1131" t="s">
        <v>438</v>
      </c>
      <c r="J1131" t="s">
        <v>59</v>
      </c>
      <c r="K1131">
        <v>-14699.24522031</v>
      </c>
      <c r="L1131" t="s">
        <v>89</v>
      </c>
      <c r="M1131" t="s">
        <v>420</v>
      </c>
      <c r="N1131">
        <v>0.26343870574139999</v>
      </c>
      <c r="O1131">
        <v>3872.350136</v>
      </c>
      <c r="P1131" t="s">
        <v>421</v>
      </c>
      <c r="Q1131">
        <v>1</v>
      </c>
      <c r="V1131">
        <v>1</v>
      </c>
      <c r="W1131">
        <v>1</v>
      </c>
      <c r="X1131">
        <v>1</v>
      </c>
      <c r="Y1131">
        <v>1</v>
      </c>
      <c r="Z1131">
        <v>3872.350136</v>
      </c>
    </row>
    <row r="1132" spans="1:26" x14ac:dyDescent="0.25">
      <c r="A1132">
        <v>136671</v>
      </c>
      <c r="B1132" t="s">
        <v>237</v>
      </c>
      <c r="C1132">
        <v>2020</v>
      </c>
      <c r="D1132">
        <v>1</v>
      </c>
      <c r="E1132" t="s">
        <v>415</v>
      </c>
      <c r="F1132" t="s">
        <v>434</v>
      </c>
      <c r="G1132" t="s">
        <v>435</v>
      </c>
      <c r="H1132" t="s">
        <v>84</v>
      </c>
      <c r="I1132" t="s">
        <v>438</v>
      </c>
      <c r="J1132" t="s">
        <v>59</v>
      </c>
      <c r="K1132">
        <v>-14699.24522031</v>
      </c>
      <c r="L1132" t="s">
        <v>89</v>
      </c>
      <c r="M1132" t="s">
        <v>422</v>
      </c>
      <c r="N1132">
        <v>7.1262429683470005E-2</v>
      </c>
      <c r="O1132">
        <v>1047.503929</v>
      </c>
      <c r="P1132" t="s">
        <v>421</v>
      </c>
      <c r="Q1132">
        <v>1</v>
      </c>
      <c r="V1132">
        <v>1</v>
      </c>
      <c r="W1132">
        <v>1</v>
      </c>
      <c r="X1132">
        <v>1</v>
      </c>
      <c r="Y1132">
        <v>1</v>
      </c>
      <c r="Z1132">
        <v>1047.503929</v>
      </c>
    </row>
    <row r="1133" spans="1:26" x14ac:dyDescent="0.25">
      <c r="A1133">
        <v>136672</v>
      </c>
      <c r="B1133" t="s">
        <v>237</v>
      </c>
      <c r="C1133">
        <v>2020</v>
      </c>
      <c r="D1133">
        <v>1</v>
      </c>
      <c r="E1133" t="s">
        <v>415</v>
      </c>
      <c r="F1133" t="s">
        <v>434</v>
      </c>
      <c r="G1133" t="s">
        <v>435</v>
      </c>
      <c r="H1133" t="s">
        <v>84</v>
      </c>
      <c r="I1133" t="s">
        <v>438</v>
      </c>
      <c r="J1133" t="s">
        <v>59</v>
      </c>
      <c r="K1133">
        <v>-14699.24522031</v>
      </c>
      <c r="L1133" t="s">
        <v>89</v>
      </c>
      <c r="M1133" t="s">
        <v>423</v>
      </c>
      <c r="N1133">
        <v>0.74738783869542003</v>
      </c>
      <c r="O1133">
        <v>10986.037116</v>
      </c>
      <c r="P1133" t="s">
        <v>421</v>
      </c>
      <c r="Q1133">
        <v>1</v>
      </c>
      <c r="V1133">
        <v>1</v>
      </c>
      <c r="W1133">
        <v>1</v>
      </c>
      <c r="X1133">
        <v>1</v>
      </c>
      <c r="Y1133">
        <v>1</v>
      </c>
      <c r="Z1133">
        <v>10986.037116</v>
      </c>
    </row>
    <row r="1134" spans="1:26" x14ac:dyDescent="0.25">
      <c r="A1134">
        <v>136673</v>
      </c>
      <c r="B1134" t="s">
        <v>237</v>
      </c>
      <c r="C1134">
        <v>2020</v>
      </c>
      <c r="D1134">
        <v>1</v>
      </c>
      <c r="E1134" t="s">
        <v>415</v>
      </c>
      <c r="F1134" t="s">
        <v>434</v>
      </c>
      <c r="G1134" t="s">
        <v>435</v>
      </c>
      <c r="H1134" t="s">
        <v>84</v>
      </c>
      <c r="I1134" t="s">
        <v>438</v>
      </c>
      <c r="J1134" t="s">
        <v>59</v>
      </c>
      <c r="K1134">
        <v>-14699.24522031</v>
      </c>
      <c r="L1134" t="s">
        <v>89</v>
      </c>
      <c r="M1134" t="s">
        <v>424</v>
      </c>
      <c r="N1134">
        <v>3.08071516317E-3</v>
      </c>
      <c r="O1134">
        <v>45.284188</v>
      </c>
      <c r="P1134" t="s">
        <v>421</v>
      </c>
      <c r="Q1134">
        <v>1</v>
      </c>
      <c r="V1134">
        <v>1</v>
      </c>
      <c r="W1134">
        <v>1</v>
      </c>
      <c r="X1134">
        <v>1</v>
      </c>
      <c r="Y1134">
        <v>1</v>
      </c>
      <c r="Z1134">
        <v>45.284188</v>
      </c>
    </row>
    <row r="1135" spans="1:26" x14ac:dyDescent="0.25">
      <c r="A1135">
        <v>136674</v>
      </c>
      <c r="B1135" t="s">
        <v>237</v>
      </c>
      <c r="C1135">
        <v>2020</v>
      </c>
      <c r="D1135">
        <v>1</v>
      </c>
      <c r="E1135" t="s">
        <v>415</v>
      </c>
      <c r="F1135" t="s">
        <v>434</v>
      </c>
      <c r="G1135" t="s">
        <v>435</v>
      </c>
      <c r="H1135" t="s">
        <v>84</v>
      </c>
      <c r="I1135" t="s">
        <v>438</v>
      </c>
      <c r="J1135" t="s">
        <v>59</v>
      </c>
      <c r="K1135">
        <v>-14699.24522031</v>
      </c>
      <c r="L1135" t="s">
        <v>89</v>
      </c>
      <c r="M1135" t="s">
        <v>425</v>
      </c>
      <c r="N1135">
        <v>2.5360775708E-3</v>
      </c>
      <c r="O1135">
        <v>37.278426000000003</v>
      </c>
      <c r="P1135" t="s">
        <v>421</v>
      </c>
      <c r="Q1135">
        <v>1</v>
      </c>
      <c r="V1135">
        <v>1</v>
      </c>
      <c r="W1135">
        <v>1</v>
      </c>
      <c r="X1135">
        <v>1</v>
      </c>
      <c r="Y1135">
        <v>1</v>
      </c>
      <c r="Z1135">
        <v>37.278426000000003</v>
      </c>
    </row>
    <row r="1136" spans="1:26" x14ac:dyDescent="0.25">
      <c r="A1136">
        <v>32386</v>
      </c>
      <c r="B1136" t="s">
        <v>113</v>
      </c>
      <c r="C1136">
        <v>2018</v>
      </c>
      <c r="D1136">
        <v>1</v>
      </c>
      <c r="E1136" t="s">
        <v>415</v>
      </c>
      <c r="F1136" t="s">
        <v>416</v>
      </c>
      <c r="G1136" t="s">
        <v>417</v>
      </c>
      <c r="H1136" t="s">
        <v>84</v>
      </c>
      <c r="I1136" t="s">
        <v>418</v>
      </c>
      <c r="J1136" t="s">
        <v>419</v>
      </c>
      <c r="K1136">
        <v>-8637.1622508100008</v>
      </c>
      <c r="L1136" t="s">
        <v>85</v>
      </c>
      <c r="M1136" t="s">
        <v>420</v>
      </c>
      <c r="N1136">
        <v>0.24824931095561001</v>
      </c>
      <c r="O1136">
        <v>2144.1695770000001</v>
      </c>
      <c r="P1136" t="s">
        <v>421</v>
      </c>
      <c r="Q1136">
        <v>1</v>
      </c>
      <c r="V1136">
        <v>1</v>
      </c>
      <c r="W1136">
        <v>1</v>
      </c>
      <c r="X1136">
        <v>1</v>
      </c>
      <c r="Y1136">
        <v>1</v>
      </c>
      <c r="Z1136">
        <v>2144.1695770000001</v>
      </c>
    </row>
    <row r="1137" spans="1:26" x14ac:dyDescent="0.25">
      <c r="A1137">
        <v>32387</v>
      </c>
      <c r="B1137" t="s">
        <v>113</v>
      </c>
      <c r="C1137">
        <v>2018</v>
      </c>
      <c r="D1137">
        <v>1</v>
      </c>
      <c r="E1137" t="s">
        <v>415</v>
      </c>
      <c r="F1137" t="s">
        <v>416</v>
      </c>
      <c r="G1137" t="s">
        <v>417</v>
      </c>
      <c r="H1137" t="s">
        <v>84</v>
      </c>
      <c r="I1137" t="s">
        <v>418</v>
      </c>
      <c r="J1137" t="s">
        <v>419</v>
      </c>
      <c r="K1137">
        <v>-8637.1622508100008</v>
      </c>
      <c r="L1137" t="s">
        <v>85</v>
      </c>
      <c r="M1137" t="s">
        <v>422</v>
      </c>
      <c r="N1137">
        <v>7.7540047892240005E-2</v>
      </c>
      <c r="O1137">
        <v>669.72597499999995</v>
      </c>
      <c r="P1137" t="s">
        <v>421</v>
      </c>
      <c r="Q1137">
        <v>1</v>
      </c>
      <c r="V1137">
        <v>1</v>
      </c>
      <c r="W1137">
        <v>1</v>
      </c>
      <c r="X1137">
        <v>1</v>
      </c>
      <c r="Y1137">
        <v>1</v>
      </c>
      <c r="Z1137">
        <v>669.72597499999995</v>
      </c>
    </row>
    <row r="1138" spans="1:26" x14ac:dyDescent="0.25">
      <c r="A1138">
        <v>32388</v>
      </c>
      <c r="B1138" t="s">
        <v>113</v>
      </c>
      <c r="C1138">
        <v>2018</v>
      </c>
      <c r="D1138">
        <v>1</v>
      </c>
      <c r="E1138" t="s">
        <v>415</v>
      </c>
      <c r="F1138" t="s">
        <v>416</v>
      </c>
      <c r="G1138" t="s">
        <v>417</v>
      </c>
      <c r="H1138" t="s">
        <v>84</v>
      </c>
      <c r="I1138" t="s">
        <v>418</v>
      </c>
      <c r="J1138" t="s">
        <v>419</v>
      </c>
      <c r="K1138">
        <v>-8637.1622508100008</v>
      </c>
      <c r="L1138" t="s">
        <v>85</v>
      </c>
      <c r="M1138" t="s">
        <v>423</v>
      </c>
      <c r="N1138">
        <v>0.73979703899049998</v>
      </c>
      <c r="O1138">
        <v>6389.7470579999999</v>
      </c>
      <c r="P1138" t="s">
        <v>421</v>
      </c>
      <c r="Q1138">
        <v>1</v>
      </c>
      <c r="V1138">
        <v>1</v>
      </c>
      <c r="W1138">
        <v>1</v>
      </c>
      <c r="X1138">
        <v>1</v>
      </c>
      <c r="Y1138">
        <v>1</v>
      </c>
      <c r="Z1138">
        <v>6389.7470579999999</v>
      </c>
    </row>
    <row r="1139" spans="1:26" x14ac:dyDescent="0.25">
      <c r="A1139">
        <v>32389</v>
      </c>
      <c r="B1139" t="s">
        <v>113</v>
      </c>
      <c r="C1139">
        <v>2018</v>
      </c>
      <c r="D1139">
        <v>1</v>
      </c>
      <c r="E1139" t="s">
        <v>415</v>
      </c>
      <c r="F1139" t="s">
        <v>416</v>
      </c>
      <c r="G1139" t="s">
        <v>417</v>
      </c>
      <c r="H1139" t="s">
        <v>84</v>
      </c>
      <c r="I1139" t="s">
        <v>418</v>
      </c>
      <c r="J1139" t="s">
        <v>419</v>
      </c>
      <c r="K1139">
        <v>-8637.1622508100008</v>
      </c>
      <c r="L1139" t="s">
        <v>85</v>
      </c>
      <c r="M1139" t="s">
        <v>424</v>
      </c>
      <c r="N1139">
        <v>2.9085775596699999E-3</v>
      </c>
      <c r="O1139">
        <v>25.121856000000001</v>
      </c>
      <c r="P1139" t="s">
        <v>421</v>
      </c>
      <c r="Q1139">
        <v>1</v>
      </c>
      <c r="V1139">
        <v>1</v>
      </c>
      <c r="W1139">
        <v>1</v>
      </c>
      <c r="X1139">
        <v>1</v>
      </c>
      <c r="Y1139">
        <v>1</v>
      </c>
      <c r="Z1139">
        <v>25.121856000000001</v>
      </c>
    </row>
    <row r="1140" spans="1:26" x14ac:dyDescent="0.25">
      <c r="A1140">
        <v>32390</v>
      </c>
      <c r="B1140" t="s">
        <v>113</v>
      </c>
      <c r="C1140">
        <v>2018</v>
      </c>
      <c r="D1140">
        <v>1</v>
      </c>
      <c r="E1140" t="s">
        <v>415</v>
      </c>
      <c r="F1140" t="s">
        <v>416</v>
      </c>
      <c r="G1140" t="s">
        <v>417</v>
      </c>
      <c r="H1140" t="s">
        <v>84</v>
      </c>
      <c r="I1140" t="s">
        <v>418</v>
      </c>
      <c r="J1140" t="s">
        <v>419</v>
      </c>
      <c r="K1140">
        <v>-8637.1622508100008</v>
      </c>
      <c r="L1140" t="s">
        <v>85</v>
      </c>
      <c r="M1140" t="s">
        <v>425</v>
      </c>
      <c r="N1140">
        <v>2.6170694898000001E-3</v>
      </c>
      <c r="O1140">
        <v>22.604054000000001</v>
      </c>
      <c r="P1140" t="s">
        <v>421</v>
      </c>
      <c r="Q1140">
        <v>1</v>
      </c>
      <c r="V1140">
        <v>1</v>
      </c>
      <c r="W1140">
        <v>1</v>
      </c>
      <c r="X1140">
        <v>1</v>
      </c>
      <c r="Y1140">
        <v>1</v>
      </c>
      <c r="Z1140">
        <v>22.604054000000001</v>
      </c>
    </row>
    <row r="1141" spans="1:26" x14ac:dyDescent="0.25">
      <c r="A1141">
        <v>32391</v>
      </c>
      <c r="B1141" t="s">
        <v>113</v>
      </c>
      <c r="C1141">
        <v>2018</v>
      </c>
      <c r="D1141">
        <v>1</v>
      </c>
      <c r="E1141" t="s">
        <v>415</v>
      </c>
      <c r="F1141" t="s">
        <v>416</v>
      </c>
      <c r="G1141" t="s">
        <v>417</v>
      </c>
      <c r="H1141" t="s">
        <v>84</v>
      </c>
      <c r="I1141" t="s">
        <v>426</v>
      </c>
      <c r="J1141" t="s">
        <v>87</v>
      </c>
      <c r="K1141">
        <v>-1899.9524769</v>
      </c>
      <c r="L1141" t="s">
        <v>427</v>
      </c>
      <c r="M1141" t="s">
        <v>420</v>
      </c>
      <c r="N1141">
        <v>0.45523813654234002</v>
      </c>
      <c r="O1141">
        <v>864.93082500000003</v>
      </c>
      <c r="P1141" t="s">
        <v>421</v>
      </c>
      <c r="Q1141">
        <v>1</v>
      </c>
      <c r="V1141">
        <v>1</v>
      </c>
      <c r="W1141">
        <v>1</v>
      </c>
      <c r="X1141">
        <v>1</v>
      </c>
      <c r="Y1141">
        <v>1</v>
      </c>
      <c r="Z1141">
        <v>864.93082500000003</v>
      </c>
    </row>
    <row r="1142" spans="1:26" x14ac:dyDescent="0.25">
      <c r="A1142">
        <v>32392</v>
      </c>
      <c r="B1142" t="s">
        <v>113</v>
      </c>
      <c r="C1142">
        <v>2018</v>
      </c>
      <c r="D1142">
        <v>1</v>
      </c>
      <c r="E1142" t="s">
        <v>415</v>
      </c>
      <c r="F1142" t="s">
        <v>416</v>
      </c>
      <c r="G1142" t="s">
        <v>417</v>
      </c>
      <c r="H1142" t="s">
        <v>84</v>
      </c>
      <c r="I1142" t="s">
        <v>426</v>
      </c>
      <c r="J1142" t="s">
        <v>87</v>
      </c>
      <c r="K1142">
        <v>-1899.9524769</v>
      </c>
      <c r="L1142" t="s">
        <v>427</v>
      </c>
      <c r="M1142" t="s">
        <v>422</v>
      </c>
      <c r="N1142">
        <v>6.8896616392329996E-2</v>
      </c>
      <c r="O1142">
        <v>130.90029699999999</v>
      </c>
      <c r="P1142" t="s">
        <v>421</v>
      </c>
      <c r="Q1142">
        <v>1</v>
      </c>
      <c r="V1142">
        <v>1</v>
      </c>
      <c r="W1142">
        <v>1</v>
      </c>
      <c r="X1142">
        <v>1</v>
      </c>
      <c r="Y1142">
        <v>1</v>
      </c>
      <c r="Z1142">
        <v>130.90029699999999</v>
      </c>
    </row>
    <row r="1143" spans="1:26" x14ac:dyDescent="0.25">
      <c r="A1143">
        <v>32393</v>
      </c>
      <c r="B1143" t="s">
        <v>113</v>
      </c>
      <c r="C1143">
        <v>2018</v>
      </c>
      <c r="D1143">
        <v>1</v>
      </c>
      <c r="E1143" t="s">
        <v>415</v>
      </c>
      <c r="F1143" t="s">
        <v>416</v>
      </c>
      <c r="G1143" t="s">
        <v>417</v>
      </c>
      <c r="H1143" t="s">
        <v>84</v>
      </c>
      <c r="I1143" t="s">
        <v>426</v>
      </c>
      <c r="J1143" t="s">
        <v>87</v>
      </c>
      <c r="K1143">
        <v>-1899.9524769</v>
      </c>
      <c r="L1143" t="s">
        <v>427</v>
      </c>
      <c r="M1143" t="s">
        <v>423</v>
      </c>
      <c r="N1143">
        <v>0.70986919705586005</v>
      </c>
      <c r="O1143">
        <v>1348.7177389999999</v>
      </c>
      <c r="P1143" t="s">
        <v>421</v>
      </c>
      <c r="Q1143">
        <v>1</v>
      </c>
      <c r="V1143">
        <v>1</v>
      </c>
      <c r="W1143">
        <v>1</v>
      </c>
      <c r="X1143">
        <v>1</v>
      </c>
      <c r="Y1143">
        <v>1</v>
      </c>
      <c r="Z1143">
        <v>1348.7177389999999</v>
      </c>
    </row>
    <row r="1144" spans="1:26" x14ac:dyDescent="0.25">
      <c r="A1144">
        <v>32394</v>
      </c>
      <c r="B1144" t="s">
        <v>113</v>
      </c>
      <c r="C1144">
        <v>2018</v>
      </c>
      <c r="D1144">
        <v>1</v>
      </c>
      <c r="E1144" t="s">
        <v>415</v>
      </c>
      <c r="F1144" t="s">
        <v>416</v>
      </c>
      <c r="G1144" t="s">
        <v>417</v>
      </c>
      <c r="H1144" t="s">
        <v>84</v>
      </c>
      <c r="I1144" t="s">
        <v>426</v>
      </c>
      <c r="J1144" t="s">
        <v>87</v>
      </c>
      <c r="K1144">
        <v>-1899.9524769</v>
      </c>
      <c r="L1144" t="s">
        <v>427</v>
      </c>
      <c r="M1144" t="s">
        <v>425</v>
      </c>
      <c r="N1144">
        <v>1.4965642882E-3</v>
      </c>
      <c r="O1144">
        <v>2.8434010000000001</v>
      </c>
      <c r="P1144" t="s">
        <v>421</v>
      </c>
      <c r="Q1144">
        <v>1</v>
      </c>
      <c r="V1144">
        <v>1</v>
      </c>
      <c r="W1144">
        <v>1</v>
      </c>
      <c r="X1144">
        <v>1</v>
      </c>
      <c r="Y1144">
        <v>1</v>
      </c>
      <c r="Z1144">
        <v>2.8434010000000001</v>
      </c>
    </row>
    <row r="1145" spans="1:26" x14ac:dyDescent="0.25">
      <c r="A1145">
        <v>32395</v>
      </c>
      <c r="B1145" t="s">
        <v>113</v>
      </c>
      <c r="C1145">
        <v>2018</v>
      </c>
      <c r="D1145">
        <v>1</v>
      </c>
      <c r="E1145" t="s">
        <v>415</v>
      </c>
      <c r="F1145" t="s">
        <v>416</v>
      </c>
      <c r="G1145" t="s">
        <v>417</v>
      </c>
      <c r="H1145" t="s">
        <v>84</v>
      </c>
      <c r="I1145" t="s">
        <v>428</v>
      </c>
      <c r="J1145" t="s">
        <v>59</v>
      </c>
      <c r="K1145">
        <v>-5058.3354983199997</v>
      </c>
      <c r="L1145" t="s">
        <v>89</v>
      </c>
      <c r="M1145" t="s">
        <v>420</v>
      </c>
      <c r="N1145">
        <v>0.26343870574139999</v>
      </c>
      <c r="O1145">
        <v>1332.561357</v>
      </c>
      <c r="P1145" t="s">
        <v>421</v>
      </c>
      <c r="Q1145">
        <v>1</v>
      </c>
      <c r="V1145">
        <v>1</v>
      </c>
      <c r="W1145">
        <v>1</v>
      </c>
      <c r="X1145">
        <v>1</v>
      </c>
      <c r="Y1145">
        <v>1</v>
      </c>
      <c r="Z1145">
        <v>1332.561357</v>
      </c>
    </row>
    <row r="1146" spans="1:26" x14ac:dyDescent="0.25">
      <c r="A1146">
        <v>32396</v>
      </c>
      <c r="B1146" t="s">
        <v>113</v>
      </c>
      <c r="C1146">
        <v>2018</v>
      </c>
      <c r="D1146">
        <v>1</v>
      </c>
      <c r="E1146" t="s">
        <v>415</v>
      </c>
      <c r="F1146" t="s">
        <v>416</v>
      </c>
      <c r="G1146" t="s">
        <v>417</v>
      </c>
      <c r="H1146" t="s">
        <v>84</v>
      </c>
      <c r="I1146" t="s">
        <v>428</v>
      </c>
      <c r="J1146" t="s">
        <v>59</v>
      </c>
      <c r="K1146">
        <v>-5058.3354983199997</v>
      </c>
      <c r="L1146" t="s">
        <v>89</v>
      </c>
      <c r="M1146" t="s">
        <v>422</v>
      </c>
      <c r="N1146">
        <v>7.1262429683470005E-2</v>
      </c>
      <c r="O1146">
        <v>360.46927799999997</v>
      </c>
      <c r="P1146" t="s">
        <v>421</v>
      </c>
      <c r="Q1146">
        <v>1</v>
      </c>
      <c r="V1146">
        <v>1</v>
      </c>
      <c r="W1146">
        <v>1</v>
      </c>
      <c r="X1146">
        <v>1</v>
      </c>
      <c r="Y1146">
        <v>1</v>
      </c>
      <c r="Z1146">
        <v>360.46927799999997</v>
      </c>
    </row>
    <row r="1147" spans="1:26" x14ac:dyDescent="0.25">
      <c r="A1147">
        <v>32397</v>
      </c>
      <c r="B1147" t="s">
        <v>113</v>
      </c>
      <c r="C1147">
        <v>2018</v>
      </c>
      <c r="D1147">
        <v>1</v>
      </c>
      <c r="E1147" t="s">
        <v>415</v>
      </c>
      <c r="F1147" t="s">
        <v>416</v>
      </c>
      <c r="G1147" t="s">
        <v>417</v>
      </c>
      <c r="H1147" t="s">
        <v>84</v>
      </c>
      <c r="I1147" t="s">
        <v>428</v>
      </c>
      <c r="J1147" t="s">
        <v>59</v>
      </c>
      <c r="K1147">
        <v>-5058.3354983199997</v>
      </c>
      <c r="L1147" t="s">
        <v>89</v>
      </c>
      <c r="M1147" t="s">
        <v>423</v>
      </c>
      <c r="N1147">
        <v>0.74738783869542003</v>
      </c>
      <c r="O1147">
        <v>3780.5384349999999</v>
      </c>
      <c r="P1147" t="s">
        <v>421</v>
      </c>
      <c r="Q1147">
        <v>1</v>
      </c>
      <c r="V1147">
        <v>1</v>
      </c>
      <c r="W1147">
        <v>1</v>
      </c>
      <c r="X1147">
        <v>1</v>
      </c>
      <c r="Y1147">
        <v>1</v>
      </c>
      <c r="Z1147">
        <v>3780.5384349999999</v>
      </c>
    </row>
    <row r="1148" spans="1:26" x14ac:dyDescent="0.25">
      <c r="A1148">
        <v>32398</v>
      </c>
      <c r="B1148" t="s">
        <v>113</v>
      </c>
      <c r="C1148">
        <v>2018</v>
      </c>
      <c r="D1148">
        <v>1</v>
      </c>
      <c r="E1148" t="s">
        <v>415</v>
      </c>
      <c r="F1148" t="s">
        <v>416</v>
      </c>
      <c r="G1148" t="s">
        <v>417</v>
      </c>
      <c r="H1148" t="s">
        <v>84</v>
      </c>
      <c r="I1148" t="s">
        <v>428</v>
      </c>
      <c r="J1148" t="s">
        <v>59</v>
      </c>
      <c r="K1148">
        <v>-5058.3354983199997</v>
      </c>
      <c r="L1148" t="s">
        <v>89</v>
      </c>
      <c r="M1148" t="s">
        <v>424</v>
      </c>
      <c r="N1148">
        <v>3.08071516317E-3</v>
      </c>
      <c r="O1148">
        <v>15.583290999999999</v>
      </c>
      <c r="P1148" t="s">
        <v>421</v>
      </c>
      <c r="Q1148">
        <v>1</v>
      </c>
      <c r="V1148">
        <v>1</v>
      </c>
      <c r="W1148">
        <v>1</v>
      </c>
      <c r="X1148">
        <v>1</v>
      </c>
      <c r="Y1148">
        <v>1</v>
      </c>
      <c r="Z1148">
        <v>15.583290999999999</v>
      </c>
    </row>
    <row r="1149" spans="1:26" x14ac:dyDescent="0.25">
      <c r="A1149">
        <v>32399</v>
      </c>
      <c r="B1149" t="s">
        <v>113</v>
      </c>
      <c r="C1149">
        <v>2018</v>
      </c>
      <c r="D1149">
        <v>1</v>
      </c>
      <c r="E1149" t="s">
        <v>415</v>
      </c>
      <c r="F1149" t="s">
        <v>416</v>
      </c>
      <c r="G1149" t="s">
        <v>417</v>
      </c>
      <c r="H1149" t="s">
        <v>84</v>
      </c>
      <c r="I1149" t="s">
        <v>428</v>
      </c>
      <c r="J1149" t="s">
        <v>59</v>
      </c>
      <c r="K1149">
        <v>-5058.3354983199997</v>
      </c>
      <c r="L1149" t="s">
        <v>89</v>
      </c>
      <c r="M1149" t="s">
        <v>425</v>
      </c>
      <c r="N1149">
        <v>2.5360775708E-3</v>
      </c>
      <c r="O1149">
        <v>12.828331</v>
      </c>
      <c r="P1149" t="s">
        <v>421</v>
      </c>
      <c r="Q1149">
        <v>1</v>
      </c>
      <c r="V1149">
        <v>1</v>
      </c>
      <c r="W1149">
        <v>1</v>
      </c>
      <c r="X1149">
        <v>1</v>
      </c>
      <c r="Y1149">
        <v>1</v>
      </c>
      <c r="Z1149">
        <v>12.828331</v>
      </c>
    </row>
    <row r="1150" spans="1:26" x14ac:dyDescent="0.25">
      <c r="A1150">
        <v>32400</v>
      </c>
      <c r="B1150" t="s">
        <v>113</v>
      </c>
      <c r="C1150">
        <v>2018</v>
      </c>
      <c r="D1150">
        <v>1</v>
      </c>
      <c r="E1150" t="s">
        <v>415</v>
      </c>
      <c r="F1150" t="s">
        <v>429</v>
      </c>
      <c r="G1150" t="s">
        <v>430</v>
      </c>
      <c r="H1150" t="s">
        <v>84</v>
      </c>
      <c r="I1150" t="s">
        <v>431</v>
      </c>
      <c r="J1150" t="s">
        <v>419</v>
      </c>
      <c r="K1150">
        <v>-12805.81449923</v>
      </c>
      <c r="L1150" t="s">
        <v>85</v>
      </c>
      <c r="M1150" t="s">
        <v>420</v>
      </c>
      <c r="N1150">
        <v>0.24824931095561001</v>
      </c>
      <c r="O1150">
        <v>3179.0346260000001</v>
      </c>
      <c r="P1150" t="s">
        <v>421</v>
      </c>
      <c r="Q1150">
        <v>1</v>
      </c>
      <c r="V1150">
        <v>1</v>
      </c>
      <c r="W1150">
        <v>1</v>
      </c>
      <c r="X1150">
        <v>1</v>
      </c>
      <c r="Y1150">
        <v>1</v>
      </c>
      <c r="Z1150">
        <v>3179.0346260000001</v>
      </c>
    </row>
    <row r="1151" spans="1:26" x14ac:dyDescent="0.25">
      <c r="A1151">
        <v>32401</v>
      </c>
      <c r="B1151" t="s">
        <v>113</v>
      </c>
      <c r="C1151">
        <v>2018</v>
      </c>
      <c r="D1151">
        <v>1</v>
      </c>
      <c r="E1151" t="s">
        <v>415</v>
      </c>
      <c r="F1151" t="s">
        <v>429</v>
      </c>
      <c r="G1151" t="s">
        <v>430</v>
      </c>
      <c r="H1151" t="s">
        <v>84</v>
      </c>
      <c r="I1151" t="s">
        <v>431</v>
      </c>
      <c r="J1151" t="s">
        <v>419</v>
      </c>
      <c r="K1151">
        <v>-12805.81449923</v>
      </c>
      <c r="L1151" t="s">
        <v>85</v>
      </c>
      <c r="M1151" t="s">
        <v>422</v>
      </c>
      <c r="N1151">
        <v>7.7540047892240005E-2</v>
      </c>
      <c r="O1151">
        <v>992.96347000000003</v>
      </c>
      <c r="P1151" t="s">
        <v>421</v>
      </c>
      <c r="Q1151">
        <v>1</v>
      </c>
      <c r="V1151">
        <v>1</v>
      </c>
      <c r="W1151">
        <v>1</v>
      </c>
      <c r="X1151">
        <v>1</v>
      </c>
      <c r="Y1151">
        <v>1</v>
      </c>
      <c r="Z1151">
        <v>992.96347000000003</v>
      </c>
    </row>
    <row r="1152" spans="1:26" x14ac:dyDescent="0.25">
      <c r="A1152">
        <v>32402</v>
      </c>
      <c r="B1152" t="s">
        <v>113</v>
      </c>
      <c r="C1152">
        <v>2018</v>
      </c>
      <c r="D1152">
        <v>1</v>
      </c>
      <c r="E1152" t="s">
        <v>415</v>
      </c>
      <c r="F1152" t="s">
        <v>429</v>
      </c>
      <c r="G1152" t="s">
        <v>430</v>
      </c>
      <c r="H1152" t="s">
        <v>84</v>
      </c>
      <c r="I1152" t="s">
        <v>431</v>
      </c>
      <c r="J1152" t="s">
        <v>419</v>
      </c>
      <c r="K1152">
        <v>-12805.81449923</v>
      </c>
      <c r="L1152" t="s">
        <v>85</v>
      </c>
      <c r="M1152" t="s">
        <v>423</v>
      </c>
      <c r="N1152">
        <v>0.73979703899049998</v>
      </c>
      <c r="O1152">
        <v>9473.7036480000006</v>
      </c>
      <c r="P1152" t="s">
        <v>421</v>
      </c>
      <c r="Q1152">
        <v>1</v>
      </c>
      <c r="V1152">
        <v>1</v>
      </c>
      <c r="W1152">
        <v>1</v>
      </c>
      <c r="X1152">
        <v>1</v>
      </c>
      <c r="Y1152">
        <v>1</v>
      </c>
      <c r="Z1152">
        <v>9473.7036480000006</v>
      </c>
    </row>
    <row r="1153" spans="1:26" x14ac:dyDescent="0.25">
      <c r="A1153">
        <v>32403</v>
      </c>
      <c r="B1153" t="s">
        <v>113</v>
      </c>
      <c r="C1153">
        <v>2018</v>
      </c>
      <c r="D1153">
        <v>1</v>
      </c>
      <c r="E1153" t="s">
        <v>415</v>
      </c>
      <c r="F1153" t="s">
        <v>429</v>
      </c>
      <c r="G1153" t="s">
        <v>430</v>
      </c>
      <c r="H1153" t="s">
        <v>84</v>
      </c>
      <c r="I1153" t="s">
        <v>431</v>
      </c>
      <c r="J1153" t="s">
        <v>419</v>
      </c>
      <c r="K1153">
        <v>-12805.81449923</v>
      </c>
      <c r="L1153" t="s">
        <v>85</v>
      </c>
      <c r="M1153" t="s">
        <v>424</v>
      </c>
      <c r="N1153">
        <v>2.9085775596699999E-3</v>
      </c>
      <c r="O1153">
        <v>37.246704999999999</v>
      </c>
      <c r="P1153" t="s">
        <v>421</v>
      </c>
      <c r="Q1153">
        <v>1</v>
      </c>
      <c r="V1153">
        <v>1</v>
      </c>
      <c r="W1153">
        <v>1</v>
      </c>
      <c r="X1153">
        <v>1</v>
      </c>
      <c r="Y1153">
        <v>1</v>
      </c>
      <c r="Z1153">
        <v>37.246704999999999</v>
      </c>
    </row>
    <row r="1154" spans="1:26" x14ac:dyDescent="0.25">
      <c r="A1154">
        <v>32404</v>
      </c>
      <c r="B1154" t="s">
        <v>113</v>
      </c>
      <c r="C1154">
        <v>2018</v>
      </c>
      <c r="D1154">
        <v>1</v>
      </c>
      <c r="E1154" t="s">
        <v>415</v>
      </c>
      <c r="F1154" t="s">
        <v>429</v>
      </c>
      <c r="G1154" t="s">
        <v>430</v>
      </c>
      <c r="H1154" t="s">
        <v>84</v>
      </c>
      <c r="I1154" t="s">
        <v>431</v>
      </c>
      <c r="J1154" t="s">
        <v>419</v>
      </c>
      <c r="K1154">
        <v>-12805.81449923</v>
      </c>
      <c r="L1154" t="s">
        <v>85</v>
      </c>
      <c r="M1154" t="s">
        <v>425</v>
      </c>
      <c r="N1154">
        <v>2.6170694898000001E-3</v>
      </c>
      <c r="O1154">
        <v>33.513705999999999</v>
      </c>
      <c r="P1154" t="s">
        <v>421</v>
      </c>
      <c r="Q1154">
        <v>1</v>
      </c>
      <c r="V1154">
        <v>1</v>
      </c>
      <c r="W1154">
        <v>1</v>
      </c>
      <c r="X1154">
        <v>1</v>
      </c>
      <c r="Y1154">
        <v>1</v>
      </c>
      <c r="Z1154">
        <v>33.513705999999999</v>
      </c>
    </row>
    <row r="1155" spans="1:26" x14ac:dyDescent="0.25">
      <c r="A1155">
        <v>32405</v>
      </c>
      <c r="B1155" t="s">
        <v>113</v>
      </c>
      <c r="C1155">
        <v>2018</v>
      </c>
      <c r="D1155">
        <v>1</v>
      </c>
      <c r="E1155" t="s">
        <v>415</v>
      </c>
      <c r="F1155" t="s">
        <v>429</v>
      </c>
      <c r="G1155" t="s">
        <v>430</v>
      </c>
      <c r="H1155" t="s">
        <v>84</v>
      </c>
      <c r="I1155" t="s">
        <v>432</v>
      </c>
      <c r="J1155" t="s">
        <v>87</v>
      </c>
      <c r="K1155">
        <v>-2555.56513017</v>
      </c>
      <c r="L1155" t="s">
        <v>427</v>
      </c>
      <c r="M1155" t="s">
        <v>420</v>
      </c>
      <c r="N1155">
        <v>0.45523813654234002</v>
      </c>
      <c r="O1155">
        <v>1163.3907079999999</v>
      </c>
      <c r="P1155" t="s">
        <v>421</v>
      </c>
      <c r="Q1155">
        <v>1</v>
      </c>
      <c r="V1155">
        <v>1</v>
      </c>
      <c r="W1155">
        <v>1</v>
      </c>
      <c r="X1155">
        <v>1</v>
      </c>
      <c r="Y1155">
        <v>1</v>
      </c>
      <c r="Z1155">
        <v>1163.3907079999999</v>
      </c>
    </row>
    <row r="1156" spans="1:26" x14ac:dyDescent="0.25">
      <c r="A1156">
        <v>32406</v>
      </c>
      <c r="B1156" t="s">
        <v>113</v>
      </c>
      <c r="C1156">
        <v>2018</v>
      </c>
      <c r="D1156">
        <v>1</v>
      </c>
      <c r="E1156" t="s">
        <v>415</v>
      </c>
      <c r="F1156" t="s">
        <v>429</v>
      </c>
      <c r="G1156" t="s">
        <v>430</v>
      </c>
      <c r="H1156" t="s">
        <v>84</v>
      </c>
      <c r="I1156" t="s">
        <v>432</v>
      </c>
      <c r="J1156" t="s">
        <v>87</v>
      </c>
      <c r="K1156">
        <v>-2555.56513017</v>
      </c>
      <c r="L1156" t="s">
        <v>427</v>
      </c>
      <c r="M1156" t="s">
        <v>422</v>
      </c>
      <c r="N1156">
        <v>6.8896616392329996E-2</v>
      </c>
      <c r="O1156">
        <v>176.06979000000001</v>
      </c>
      <c r="P1156" t="s">
        <v>421</v>
      </c>
      <c r="Q1156">
        <v>1</v>
      </c>
      <c r="V1156">
        <v>1</v>
      </c>
      <c r="W1156">
        <v>1</v>
      </c>
      <c r="X1156">
        <v>1</v>
      </c>
      <c r="Y1156">
        <v>1</v>
      </c>
      <c r="Z1156">
        <v>176.06979000000001</v>
      </c>
    </row>
    <row r="1157" spans="1:26" x14ac:dyDescent="0.25">
      <c r="A1157">
        <v>32407</v>
      </c>
      <c r="B1157" t="s">
        <v>113</v>
      </c>
      <c r="C1157">
        <v>2018</v>
      </c>
      <c r="D1157">
        <v>1</v>
      </c>
      <c r="E1157" t="s">
        <v>415</v>
      </c>
      <c r="F1157" t="s">
        <v>429</v>
      </c>
      <c r="G1157" t="s">
        <v>430</v>
      </c>
      <c r="H1157" t="s">
        <v>84</v>
      </c>
      <c r="I1157" t="s">
        <v>432</v>
      </c>
      <c r="J1157" t="s">
        <v>87</v>
      </c>
      <c r="K1157">
        <v>-2555.56513017</v>
      </c>
      <c r="L1157" t="s">
        <v>427</v>
      </c>
      <c r="M1157" t="s">
        <v>423</v>
      </c>
      <c r="N1157">
        <v>0.70986919705586005</v>
      </c>
      <c r="O1157">
        <v>1814.1169669999999</v>
      </c>
      <c r="P1157" t="s">
        <v>421</v>
      </c>
      <c r="Q1157">
        <v>1</v>
      </c>
      <c r="V1157">
        <v>1</v>
      </c>
      <c r="W1157">
        <v>1</v>
      </c>
      <c r="X1157">
        <v>1</v>
      </c>
      <c r="Y1157">
        <v>1</v>
      </c>
      <c r="Z1157">
        <v>1814.1169669999999</v>
      </c>
    </row>
    <row r="1158" spans="1:26" x14ac:dyDescent="0.25">
      <c r="A1158">
        <v>32408</v>
      </c>
      <c r="B1158" t="s">
        <v>113</v>
      </c>
      <c r="C1158">
        <v>2018</v>
      </c>
      <c r="D1158">
        <v>1</v>
      </c>
      <c r="E1158" t="s">
        <v>415</v>
      </c>
      <c r="F1158" t="s">
        <v>429</v>
      </c>
      <c r="G1158" t="s">
        <v>430</v>
      </c>
      <c r="H1158" t="s">
        <v>84</v>
      </c>
      <c r="I1158" t="s">
        <v>432</v>
      </c>
      <c r="J1158" t="s">
        <v>87</v>
      </c>
      <c r="K1158">
        <v>-2555.56513017</v>
      </c>
      <c r="L1158" t="s">
        <v>427</v>
      </c>
      <c r="M1158" t="s">
        <v>425</v>
      </c>
      <c r="N1158">
        <v>1.4965642882E-3</v>
      </c>
      <c r="O1158">
        <v>3.8245680000000002</v>
      </c>
      <c r="P1158" t="s">
        <v>421</v>
      </c>
      <c r="Q1158">
        <v>1</v>
      </c>
      <c r="V1158">
        <v>1</v>
      </c>
      <c r="W1158">
        <v>1</v>
      </c>
      <c r="X1158">
        <v>1</v>
      </c>
      <c r="Y1158">
        <v>1</v>
      </c>
      <c r="Z1158">
        <v>3.8245680000000002</v>
      </c>
    </row>
    <row r="1159" spans="1:26" x14ac:dyDescent="0.25">
      <c r="A1159">
        <v>32409</v>
      </c>
      <c r="B1159" t="s">
        <v>113</v>
      </c>
      <c r="C1159">
        <v>2018</v>
      </c>
      <c r="D1159">
        <v>1</v>
      </c>
      <c r="E1159" t="s">
        <v>415</v>
      </c>
      <c r="F1159" t="s">
        <v>429</v>
      </c>
      <c r="G1159" t="s">
        <v>430</v>
      </c>
      <c r="H1159" t="s">
        <v>84</v>
      </c>
      <c r="I1159" t="s">
        <v>433</v>
      </c>
      <c r="J1159" t="s">
        <v>59</v>
      </c>
      <c r="K1159">
        <v>-6038.7160952000004</v>
      </c>
      <c r="L1159" t="s">
        <v>89</v>
      </c>
      <c r="M1159" t="s">
        <v>420</v>
      </c>
      <c r="N1159">
        <v>0.26343870574139999</v>
      </c>
      <c r="O1159">
        <v>1590.8315520000001</v>
      </c>
      <c r="P1159" t="s">
        <v>421</v>
      </c>
      <c r="Q1159">
        <v>1</v>
      </c>
      <c r="V1159">
        <v>1</v>
      </c>
      <c r="W1159">
        <v>1</v>
      </c>
      <c r="X1159">
        <v>1</v>
      </c>
      <c r="Y1159">
        <v>1</v>
      </c>
      <c r="Z1159">
        <v>1590.8315520000001</v>
      </c>
    </row>
    <row r="1160" spans="1:26" x14ac:dyDescent="0.25">
      <c r="A1160">
        <v>32410</v>
      </c>
      <c r="B1160" t="s">
        <v>113</v>
      </c>
      <c r="C1160">
        <v>2018</v>
      </c>
      <c r="D1160">
        <v>1</v>
      </c>
      <c r="E1160" t="s">
        <v>415</v>
      </c>
      <c r="F1160" t="s">
        <v>429</v>
      </c>
      <c r="G1160" t="s">
        <v>430</v>
      </c>
      <c r="H1160" t="s">
        <v>84</v>
      </c>
      <c r="I1160" t="s">
        <v>433</v>
      </c>
      <c r="J1160" t="s">
        <v>59</v>
      </c>
      <c r="K1160">
        <v>-6038.7160952000004</v>
      </c>
      <c r="L1160" t="s">
        <v>89</v>
      </c>
      <c r="M1160" t="s">
        <v>422</v>
      </c>
      <c r="N1160">
        <v>7.1262429683470005E-2</v>
      </c>
      <c r="O1160">
        <v>430.33358099999998</v>
      </c>
      <c r="P1160" t="s">
        <v>421</v>
      </c>
      <c r="Q1160">
        <v>1</v>
      </c>
      <c r="V1160">
        <v>1</v>
      </c>
      <c r="W1160">
        <v>1</v>
      </c>
      <c r="X1160">
        <v>1</v>
      </c>
      <c r="Y1160">
        <v>1</v>
      </c>
      <c r="Z1160">
        <v>430.33358099999998</v>
      </c>
    </row>
    <row r="1161" spans="1:26" x14ac:dyDescent="0.25">
      <c r="A1161">
        <v>32411</v>
      </c>
      <c r="B1161" t="s">
        <v>113</v>
      </c>
      <c r="C1161">
        <v>2018</v>
      </c>
      <c r="D1161">
        <v>1</v>
      </c>
      <c r="E1161" t="s">
        <v>415</v>
      </c>
      <c r="F1161" t="s">
        <v>429</v>
      </c>
      <c r="G1161" t="s">
        <v>430</v>
      </c>
      <c r="H1161" t="s">
        <v>84</v>
      </c>
      <c r="I1161" t="s">
        <v>433</v>
      </c>
      <c r="J1161" t="s">
        <v>59</v>
      </c>
      <c r="K1161">
        <v>-6038.7160952000004</v>
      </c>
      <c r="L1161" t="s">
        <v>89</v>
      </c>
      <c r="M1161" t="s">
        <v>423</v>
      </c>
      <c r="N1161">
        <v>0.74738783869542003</v>
      </c>
      <c r="O1161">
        <v>4513.2629710000001</v>
      </c>
      <c r="P1161" t="s">
        <v>421</v>
      </c>
      <c r="Q1161">
        <v>1</v>
      </c>
      <c r="V1161">
        <v>1</v>
      </c>
      <c r="W1161">
        <v>1</v>
      </c>
      <c r="X1161">
        <v>1</v>
      </c>
      <c r="Y1161">
        <v>1</v>
      </c>
      <c r="Z1161">
        <v>4513.2629710000001</v>
      </c>
    </row>
    <row r="1162" spans="1:26" x14ac:dyDescent="0.25">
      <c r="A1162">
        <v>32412</v>
      </c>
      <c r="B1162" t="s">
        <v>113</v>
      </c>
      <c r="C1162">
        <v>2018</v>
      </c>
      <c r="D1162">
        <v>1</v>
      </c>
      <c r="E1162" t="s">
        <v>415</v>
      </c>
      <c r="F1162" t="s">
        <v>429</v>
      </c>
      <c r="G1162" t="s">
        <v>430</v>
      </c>
      <c r="H1162" t="s">
        <v>84</v>
      </c>
      <c r="I1162" t="s">
        <v>433</v>
      </c>
      <c r="J1162" t="s">
        <v>59</v>
      </c>
      <c r="K1162">
        <v>-6038.7160952000004</v>
      </c>
      <c r="L1162" t="s">
        <v>89</v>
      </c>
      <c r="M1162" t="s">
        <v>424</v>
      </c>
      <c r="N1162">
        <v>3.08071516317E-3</v>
      </c>
      <c r="O1162">
        <v>18.603563999999999</v>
      </c>
      <c r="P1162" t="s">
        <v>421</v>
      </c>
      <c r="Q1162">
        <v>1</v>
      </c>
      <c r="V1162">
        <v>1</v>
      </c>
      <c r="W1162">
        <v>1</v>
      </c>
      <c r="X1162">
        <v>1</v>
      </c>
      <c r="Y1162">
        <v>1</v>
      </c>
      <c r="Z1162">
        <v>18.603563999999999</v>
      </c>
    </row>
    <row r="1163" spans="1:26" x14ac:dyDescent="0.25">
      <c r="A1163">
        <v>32413</v>
      </c>
      <c r="B1163" t="s">
        <v>113</v>
      </c>
      <c r="C1163">
        <v>2018</v>
      </c>
      <c r="D1163">
        <v>1</v>
      </c>
      <c r="E1163" t="s">
        <v>415</v>
      </c>
      <c r="F1163" t="s">
        <v>429</v>
      </c>
      <c r="G1163" t="s">
        <v>430</v>
      </c>
      <c r="H1163" t="s">
        <v>84</v>
      </c>
      <c r="I1163" t="s">
        <v>433</v>
      </c>
      <c r="J1163" t="s">
        <v>59</v>
      </c>
      <c r="K1163">
        <v>-6038.7160952000004</v>
      </c>
      <c r="L1163" t="s">
        <v>89</v>
      </c>
      <c r="M1163" t="s">
        <v>425</v>
      </c>
      <c r="N1163">
        <v>2.5360775708E-3</v>
      </c>
      <c r="O1163">
        <v>15.314652000000001</v>
      </c>
      <c r="P1163" t="s">
        <v>421</v>
      </c>
      <c r="Q1163">
        <v>1</v>
      </c>
      <c r="V1163">
        <v>1</v>
      </c>
      <c r="W1163">
        <v>1</v>
      </c>
      <c r="X1163">
        <v>1</v>
      </c>
      <c r="Y1163">
        <v>1</v>
      </c>
      <c r="Z1163">
        <v>15.314652000000001</v>
      </c>
    </row>
    <row r="1164" spans="1:26" x14ac:dyDescent="0.25">
      <c r="A1164">
        <v>32414</v>
      </c>
      <c r="B1164" t="s">
        <v>113</v>
      </c>
      <c r="C1164">
        <v>2018</v>
      </c>
      <c r="D1164">
        <v>1</v>
      </c>
      <c r="E1164" t="s">
        <v>415</v>
      </c>
      <c r="F1164" t="s">
        <v>434</v>
      </c>
      <c r="G1164" t="s">
        <v>435</v>
      </c>
      <c r="H1164" t="s">
        <v>84</v>
      </c>
      <c r="I1164" t="s">
        <v>436</v>
      </c>
      <c r="J1164" t="s">
        <v>419</v>
      </c>
      <c r="K1164">
        <v>-5781.1999023500002</v>
      </c>
      <c r="L1164" t="s">
        <v>85</v>
      </c>
      <c r="M1164" t="s">
        <v>420</v>
      </c>
      <c r="N1164">
        <v>0.24824931095561001</v>
      </c>
      <c r="O1164">
        <v>1435.1788919999999</v>
      </c>
      <c r="P1164" t="s">
        <v>421</v>
      </c>
      <c r="Q1164">
        <v>1</v>
      </c>
      <c r="V1164">
        <v>1</v>
      </c>
      <c r="W1164">
        <v>1</v>
      </c>
      <c r="X1164">
        <v>1</v>
      </c>
      <c r="Y1164">
        <v>1</v>
      </c>
      <c r="Z1164">
        <v>1435.1788919999999</v>
      </c>
    </row>
    <row r="1165" spans="1:26" x14ac:dyDescent="0.25">
      <c r="A1165">
        <v>32415</v>
      </c>
      <c r="B1165" t="s">
        <v>113</v>
      </c>
      <c r="C1165">
        <v>2018</v>
      </c>
      <c r="D1165">
        <v>1</v>
      </c>
      <c r="E1165" t="s">
        <v>415</v>
      </c>
      <c r="F1165" t="s">
        <v>434</v>
      </c>
      <c r="G1165" t="s">
        <v>435</v>
      </c>
      <c r="H1165" t="s">
        <v>84</v>
      </c>
      <c r="I1165" t="s">
        <v>436</v>
      </c>
      <c r="J1165" t="s">
        <v>419</v>
      </c>
      <c r="K1165">
        <v>-5781.1999023500002</v>
      </c>
      <c r="L1165" t="s">
        <v>85</v>
      </c>
      <c r="M1165" t="s">
        <v>422</v>
      </c>
      <c r="N1165">
        <v>7.7540047892240005E-2</v>
      </c>
      <c r="O1165">
        <v>448.274517</v>
      </c>
      <c r="P1165" t="s">
        <v>421</v>
      </c>
      <c r="Q1165">
        <v>1</v>
      </c>
      <c r="V1165">
        <v>1</v>
      </c>
      <c r="W1165">
        <v>1</v>
      </c>
      <c r="X1165">
        <v>1</v>
      </c>
      <c r="Y1165">
        <v>1</v>
      </c>
      <c r="Z1165">
        <v>448.274517</v>
      </c>
    </row>
    <row r="1166" spans="1:26" x14ac:dyDescent="0.25">
      <c r="A1166">
        <v>32416</v>
      </c>
      <c r="B1166" t="s">
        <v>113</v>
      </c>
      <c r="C1166">
        <v>2018</v>
      </c>
      <c r="D1166">
        <v>1</v>
      </c>
      <c r="E1166" t="s">
        <v>415</v>
      </c>
      <c r="F1166" t="s">
        <v>434</v>
      </c>
      <c r="G1166" t="s">
        <v>435</v>
      </c>
      <c r="H1166" t="s">
        <v>84</v>
      </c>
      <c r="I1166" t="s">
        <v>436</v>
      </c>
      <c r="J1166" t="s">
        <v>419</v>
      </c>
      <c r="K1166">
        <v>-5781.1999023500002</v>
      </c>
      <c r="L1166" t="s">
        <v>85</v>
      </c>
      <c r="M1166" t="s">
        <v>423</v>
      </c>
      <c r="N1166">
        <v>0.73979703899049998</v>
      </c>
      <c r="O1166">
        <v>4276.9145699999999</v>
      </c>
      <c r="P1166" t="s">
        <v>421</v>
      </c>
      <c r="Q1166">
        <v>1</v>
      </c>
      <c r="V1166">
        <v>1</v>
      </c>
      <c r="W1166">
        <v>1</v>
      </c>
      <c r="X1166">
        <v>1</v>
      </c>
      <c r="Y1166">
        <v>1</v>
      </c>
      <c r="Z1166">
        <v>4276.9145699999999</v>
      </c>
    </row>
    <row r="1167" spans="1:26" x14ac:dyDescent="0.25">
      <c r="A1167">
        <v>32417</v>
      </c>
      <c r="B1167" t="s">
        <v>113</v>
      </c>
      <c r="C1167">
        <v>2018</v>
      </c>
      <c r="D1167">
        <v>1</v>
      </c>
      <c r="E1167" t="s">
        <v>415</v>
      </c>
      <c r="F1167" t="s">
        <v>434</v>
      </c>
      <c r="G1167" t="s">
        <v>435</v>
      </c>
      <c r="H1167" t="s">
        <v>84</v>
      </c>
      <c r="I1167" t="s">
        <v>436</v>
      </c>
      <c r="J1167" t="s">
        <v>419</v>
      </c>
      <c r="K1167">
        <v>-5781.1999023500002</v>
      </c>
      <c r="L1167" t="s">
        <v>85</v>
      </c>
      <c r="M1167" t="s">
        <v>424</v>
      </c>
      <c r="N1167">
        <v>2.9085775596699999E-3</v>
      </c>
      <c r="O1167">
        <v>16.815068</v>
      </c>
      <c r="P1167" t="s">
        <v>421</v>
      </c>
      <c r="Q1167">
        <v>1</v>
      </c>
      <c r="V1167">
        <v>1</v>
      </c>
      <c r="W1167">
        <v>1</v>
      </c>
      <c r="X1167">
        <v>1</v>
      </c>
      <c r="Y1167">
        <v>1</v>
      </c>
      <c r="Z1167">
        <v>16.815068</v>
      </c>
    </row>
    <row r="1168" spans="1:26" x14ac:dyDescent="0.25">
      <c r="A1168">
        <v>32418</v>
      </c>
      <c r="B1168" t="s">
        <v>113</v>
      </c>
      <c r="C1168">
        <v>2018</v>
      </c>
      <c r="D1168">
        <v>1</v>
      </c>
      <c r="E1168" t="s">
        <v>415</v>
      </c>
      <c r="F1168" t="s">
        <v>434</v>
      </c>
      <c r="G1168" t="s">
        <v>435</v>
      </c>
      <c r="H1168" t="s">
        <v>84</v>
      </c>
      <c r="I1168" t="s">
        <v>436</v>
      </c>
      <c r="J1168" t="s">
        <v>419</v>
      </c>
      <c r="K1168">
        <v>-5781.1999023500002</v>
      </c>
      <c r="L1168" t="s">
        <v>85</v>
      </c>
      <c r="M1168" t="s">
        <v>425</v>
      </c>
      <c r="N1168">
        <v>2.6170694898000001E-3</v>
      </c>
      <c r="O1168">
        <v>15.129802</v>
      </c>
      <c r="P1168" t="s">
        <v>421</v>
      </c>
      <c r="Q1168">
        <v>1</v>
      </c>
      <c r="V1168">
        <v>1</v>
      </c>
      <c r="W1168">
        <v>1</v>
      </c>
      <c r="X1168">
        <v>1</v>
      </c>
      <c r="Y1168">
        <v>1</v>
      </c>
      <c r="Z1168">
        <v>15.129802</v>
      </c>
    </row>
    <row r="1169" spans="1:26" x14ac:dyDescent="0.25">
      <c r="A1169">
        <v>32419</v>
      </c>
      <c r="B1169" t="s">
        <v>113</v>
      </c>
      <c r="C1169">
        <v>2018</v>
      </c>
      <c r="D1169">
        <v>1</v>
      </c>
      <c r="E1169" t="s">
        <v>415</v>
      </c>
      <c r="F1169" t="s">
        <v>434</v>
      </c>
      <c r="G1169" t="s">
        <v>435</v>
      </c>
      <c r="H1169" t="s">
        <v>84</v>
      </c>
      <c r="I1169" t="s">
        <v>437</v>
      </c>
      <c r="J1169" t="s">
        <v>87</v>
      </c>
      <c r="K1169">
        <v>-1158.0490421899999</v>
      </c>
      <c r="L1169" t="s">
        <v>427</v>
      </c>
      <c r="M1169" t="s">
        <v>420</v>
      </c>
      <c r="N1169">
        <v>0.45523813654234002</v>
      </c>
      <c r="O1169">
        <v>527.18808799999999</v>
      </c>
      <c r="P1169" t="s">
        <v>421</v>
      </c>
      <c r="Q1169">
        <v>1</v>
      </c>
      <c r="V1169">
        <v>1</v>
      </c>
      <c r="W1169">
        <v>1</v>
      </c>
      <c r="X1169">
        <v>1</v>
      </c>
      <c r="Y1169">
        <v>1</v>
      </c>
      <c r="Z1169">
        <v>527.18808799999999</v>
      </c>
    </row>
    <row r="1170" spans="1:26" x14ac:dyDescent="0.25">
      <c r="A1170">
        <v>32420</v>
      </c>
      <c r="B1170" t="s">
        <v>113</v>
      </c>
      <c r="C1170">
        <v>2018</v>
      </c>
      <c r="D1170">
        <v>1</v>
      </c>
      <c r="E1170" t="s">
        <v>415</v>
      </c>
      <c r="F1170" t="s">
        <v>434</v>
      </c>
      <c r="G1170" t="s">
        <v>435</v>
      </c>
      <c r="H1170" t="s">
        <v>84</v>
      </c>
      <c r="I1170" t="s">
        <v>437</v>
      </c>
      <c r="J1170" t="s">
        <v>87</v>
      </c>
      <c r="K1170">
        <v>-1158.0490421899999</v>
      </c>
      <c r="L1170" t="s">
        <v>427</v>
      </c>
      <c r="M1170" t="s">
        <v>422</v>
      </c>
      <c r="N1170">
        <v>6.8896616392329996E-2</v>
      </c>
      <c r="O1170">
        <v>79.785661000000005</v>
      </c>
      <c r="P1170" t="s">
        <v>421</v>
      </c>
      <c r="Q1170">
        <v>1</v>
      </c>
      <c r="V1170">
        <v>1</v>
      </c>
      <c r="W1170">
        <v>1</v>
      </c>
      <c r="X1170">
        <v>1</v>
      </c>
      <c r="Y1170">
        <v>1</v>
      </c>
      <c r="Z1170">
        <v>79.785661000000005</v>
      </c>
    </row>
    <row r="1171" spans="1:26" x14ac:dyDescent="0.25">
      <c r="A1171">
        <v>32421</v>
      </c>
      <c r="B1171" t="s">
        <v>113</v>
      </c>
      <c r="C1171">
        <v>2018</v>
      </c>
      <c r="D1171">
        <v>1</v>
      </c>
      <c r="E1171" t="s">
        <v>415</v>
      </c>
      <c r="F1171" t="s">
        <v>434</v>
      </c>
      <c r="G1171" t="s">
        <v>435</v>
      </c>
      <c r="H1171" t="s">
        <v>84</v>
      </c>
      <c r="I1171" t="s">
        <v>437</v>
      </c>
      <c r="J1171" t="s">
        <v>87</v>
      </c>
      <c r="K1171">
        <v>-1158.0490421899999</v>
      </c>
      <c r="L1171" t="s">
        <v>427</v>
      </c>
      <c r="M1171" t="s">
        <v>423</v>
      </c>
      <c r="N1171">
        <v>0.70986919705586005</v>
      </c>
      <c r="O1171">
        <v>822.06334400000003</v>
      </c>
      <c r="P1171" t="s">
        <v>421</v>
      </c>
      <c r="Q1171">
        <v>1</v>
      </c>
      <c r="V1171">
        <v>1</v>
      </c>
      <c r="W1171">
        <v>1</v>
      </c>
      <c r="X1171">
        <v>1</v>
      </c>
      <c r="Y1171">
        <v>1</v>
      </c>
      <c r="Z1171">
        <v>822.06334400000003</v>
      </c>
    </row>
    <row r="1172" spans="1:26" x14ac:dyDescent="0.25">
      <c r="A1172">
        <v>32422</v>
      </c>
      <c r="B1172" t="s">
        <v>113</v>
      </c>
      <c r="C1172">
        <v>2018</v>
      </c>
      <c r="D1172">
        <v>1</v>
      </c>
      <c r="E1172" t="s">
        <v>415</v>
      </c>
      <c r="F1172" t="s">
        <v>434</v>
      </c>
      <c r="G1172" t="s">
        <v>435</v>
      </c>
      <c r="H1172" t="s">
        <v>84</v>
      </c>
      <c r="I1172" t="s">
        <v>437</v>
      </c>
      <c r="J1172" t="s">
        <v>87</v>
      </c>
      <c r="K1172">
        <v>-1158.0490421899999</v>
      </c>
      <c r="L1172" t="s">
        <v>427</v>
      </c>
      <c r="M1172" t="s">
        <v>425</v>
      </c>
      <c r="N1172">
        <v>1.4965642882E-3</v>
      </c>
      <c r="O1172">
        <v>1.7330950000000001</v>
      </c>
      <c r="P1172" t="s">
        <v>421</v>
      </c>
      <c r="Q1172">
        <v>1</v>
      </c>
      <c r="V1172">
        <v>1</v>
      </c>
      <c r="W1172">
        <v>1</v>
      </c>
      <c r="X1172">
        <v>1</v>
      </c>
      <c r="Y1172">
        <v>1</v>
      </c>
      <c r="Z1172">
        <v>1.7330950000000001</v>
      </c>
    </row>
    <row r="1173" spans="1:26" x14ac:dyDescent="0.25">
      <c r="A1173">
        <v>32423</v>
      </c>
      <c r="B1173" t="s">
        <v>113</v>
      </c>
      <c r="C1173">
        <v>2018</v>
      </c>
      <c r="D1173">
        <v>1</v>
      </c>
      <c r="E1173" t="s">
        <v>415</v>
      </c>
      <c r="F1173" t="s">
        <v>434</v>
      </c>
      <c r="G1173" t="s">
        <v>435</v>
      </c>
      <c r="H1173" t="s">
        <v>84</v>
      </c>
      <c r="I1173" t="s">
        <v>438</v>
      </c>
      <c r="J1173" t="s">
        <v>59</v>
      </c>
      <c r="K1173">
        <v>-3367.96846435</v>
      </c>
      <c r="L1173" t="s">
        <v>89</v>
      </c>
      <c r="M1173" t="s">
        <v>420</v>
      </c>
      <c r="N1173">
        <v>0.26343870574139999</v>
      </c>
      <c r="O1173">
        <v>887.25325299999997</v>
      </c>
      <c r="P1173" t="s">
        <v>421</v>
      </c>
      <c r="Q1173">
        <v>1</v>
      </c>
      <c r="V1173">
        <v>1</v>
      </c>
      <c r="W1173">
        <v>1</v>
      </c>
      <c r="X1173">
        <v>1</v>
      </c>
      <c r="Y1173">
        <v>1</v>
      </c>
      <c r="Z1173">
        <v>887.25325299999997</v>
      </c>
    </row>
    <row r="1174" spans="1:26" x14ac:dyDescent="0.25">
      <c r="A1174">
        <v>32424</v>
      </c>
      <c r="B1174" t="s">
        <v>113</v>
      </c>
      <c r="C1174">
        <v>2018</v>
      </c>
      <c r="D1174">
        <v>1</v>
      </c>
      <c r="E1174" t="s">
        <v>415</v>
      </c>
      <c r="F1174" t="s">
        <v>434</v>
      </c>
      <c r="G1174" t="s">
        <v>435</v>
      </c>
      <c r="H1174" t="s">
        <v>84</v>
      </c>
      <c r="I1174" t="s">
        <v>438</v>
      </c>
      <c r="J1174" t="s">
        <v>59</v>
      </c>
      <c r="K1174">
        <v>-3367.96846435</v>
      </c>
      <c r="L1174" t="s">
        <v>89</v>
      </c>
      <c r="M1174" t="s">
        <v>422</v>
      </c>
      <c r="N1174">
        <v>7.1262429683470005E-2</v>
      </c>
      <c r="O1174">
        <v>240.00961599999999</v>
      </c>
      <c r="P1174" t="s">
        <v>421</v>
      </c>
      <c r="Q1174">
        <v>1</v>
      </c>
      <c r="V1174">
        <v>1</v>
      </c>
      <c r="W1174">
        <v>1</v>
      </c>
      <c r="X1174">
        <v>1</v>
      </c>
      <c r="Y1174">
        <v>1</v>
      </c>
      <c r="Z1174">
        <v>240.00961599999999</v>
      </c>
    </row>
    <row r="1175" spans="1:26" x14ac:dyDescent="0.25">
      <c r="A1175">
        <v>32425</v>
      </c>
      <c r="B1175" t="s">
        <v>113</v>
      </c>
      <c r="C1175">
        <v>2018</v>
      </c>
      <c r="D1175">
        <v>1</v>
      </c>
      <c r="E1175" t="s">
        <v>415</v>
      </c>
      <c r="F1175" t="s">
        <v>434</v>
      </c>
      <c r="G1175" t="s">
        <v>435</v>
      </c>
      <c r="H1175" t="s">
        <v>84</v>
      </c>
      <c r="I1175" t="s">
        <v>438</v>
      </c>
      <c r="J1175" t="s">
        <v>59</v>
      </c>
      <c r="K1175">
        <v>-3367.96846435</v>
      </c>
      <c r="L1175" t="s">
        <v>89</v>
      </c>
      <c r="M1175" t="s">
        <v>423</v>
      </c>
      <c r="N1175">
        <v>0.74738783869542003</v>
      </c>
      <c r="O1175">
        <v>2517.1786710000001</v>
      </c>
      <c r="P1175" t="s">
        <v>421</v>
      </c>
      <c r="Q1175">
        <v>1</v>
      </c>
      <c r="V1175">
        <v>1</v>
      </c>
      <c r="W1175">
        <v>1</v>
      </c>
      <c r="X1175">
        <v>1</v>
      </c>
      <c r="Y1175">
        <v>1</v>
      </c>
      <c r="Z1175">
        <v>2517.1786710000001</v>
      </c>
    </row>
    <row r="1176" spans="1:26" x14ac:dyDescent="0.25">
      <c r="A1176">
        <v>32426</v>
      </c>
      <c r="B1176" t="s">
        <v>113</v>
      </c>
      <c r="C1176">
        <v>2018</v>
      </c>
      <c r="D1176">
        <v>1</v>
      </c>
      <c r="E1176" t="s">
        <v>415</v>
      </c>
      <c r="F1176" t="s">
        <v>434</v>
      </c>
      <c r="G1176" t="s">
        <v>435</v>
      </c>
      <c r="H1176" t="s">
        <v>84</v>
      </c>
      <c r="I1176" t="s">
        <v>438</v>
      </c>
      <c r="J1176" t="s">
        <v>59</v>
      </c>
      <c r="K1176">
        <v>-3367.96846435</v>
      </c>
      <c r="L1176" t="s">
        <v>89</v>
      </c>
      <c r="M1176" t="s">
        <v>424</v>
      </c>
      <c r="N1176">
        <v>3.08071516317E-3</v>
      </c>
      <c r="O1176">
        <v>10.375752</v>
      </c>
      <c r="P1176" t="s">
        <v>421</v>
      </c>
      <c r="Q1176">
        <v>1</v>
      </c>
      <c r="V1176">
        <v>1</v>
      </c>
      <c r="W1176">
        <v>1</v>
      </c>
      <c r="X1176">
        <v>1</v>
      </c>
      <c r="Y1176">
        <v>1</v>
      </c>
      <c r="Z1176">
        <v>10.375752</v>
      </c>
    </row>
    <row r="1177" spans="1:26" x14ac:dyDescent="0.25">
      <c r="A1177">
        <v>32427</v>
      </c>
      <c r="B1177" t="s">
        <v>113</v>
      </c>
      <c r="C1177">
        <v>2018</v>
      </c>
      <c r="D1177">
        <v>1</v>
      </c>
      <c r="E1177" t="s">
        <v>415</v>
      </c>
      <c r="F1177" t="s">
        <v>434</v>
      </c>
      <c r="G1177" t="s">
        <v>435</v>
      </c>
      <c r="H1177" t="s">
        <v>84</v>
      </c>
      <c r="I1177" t="s">
        <v>438</v>
      </c>
      <c r="J1177" t="s">
        <v>59</v>
      </c>
      <c r="K1177">
        <v>-3367.96846435</v>
      </c>
      <c r="L1177" t="s">
        <v>89</v>
      </c>
      <c r="M1177" t="s">
        <v>425</v>
      </c>
      <c r="N1177">
        <v>2.5360775708E-3</v>
      </c>
      <c r="O1177">
        <v>8.5414290000000008</v>
      </c>
      <c r="P1177" t="s">
        <v>421</v>
      </c>
      <c r="Q1177">
        <v>1</v>
      </c>
      <c r="V1177">
        <v>1</v>
      </c>
      <c r="W1177">
        <v>1</v>
      </c>
      <c r="X1177">
        <v>1</v>
      </c>
      <c r="Y1177">
        <v>1</v>
      </c>
      <c r="Z1177">
        <v>8.5414290000000008</v>
      </c>
    </row>
    <row r="1178" spans="1:26" x14ac:dyDescent="0.25">
      <c r="A1178">
        <v>86464</v>
      </c>
      <c r="B1178" t="s">
        <v>154</v>
      </c>
      <c r="C1178">
        <v>2019</v>
      </c>
      <c r="D1178">
        <v>1</v>
      </c>
      <c r="E1178" t="s">
        <v>415</v>
      </c>
      <c r="F1178" t="s">
        <v>416</v>
      </c>
      <c r="G1178" t="s">
        <v>417</v>
      </c>
      <c r="H1178" t="s">
        <v>84</v>
      </c>
      <c r="I1178" t="s">
        <v>418</v>
      </c>
      <c r="J1178" t="s">
        <v>419</v>
      </c>
      <c r="K1178">
        <v>-17468.87467963</v>
      </c>
      <c r="L1178" t="s">
        <v>85</v>
      </c>
      <c r="M1178" t="s">
        <v>420</v>
      </c>
      <c r="N1178">
        <v>0.24824931095561001</v>
      </c>
      <c r="O1178">
        <v>4336.6361020000004</v>
      </c>
      <c r="P1178" t="s">
        <v>421</v>
      </c>
      <c r="Q1178">
        <v>1</v>
      </c>
      <c r="V1178">
        <v>1</v>
      </c>
      <c r="W1178">
        <v>1</v>
      </c>
      <c r="X1178">
        <v>1</v>
      </c>
      <c r="Y1178">
        <v>1</v>
      </c>
      <c r="Z1178">
        <v>4336.6361020000004</v>
      </c>
    </row>
    <row r="1179" spans="1:26" x14ac:dyDescent="0.25">
      <c r="A1179">
        <v>86465</v>
      </c>
      <c r="B1179" t="s">
        <v>154</v>
      </c>
      <c r="C1179">
        <v>2019</v>
      </c>
      <c r="D1179">
        <v>1</v>
      </c>
      <c r="E1179" t="s">
        <v>415</v>
      </c>
      <c r="F1179" t="s">
        <v>416</v>
      </c>
      <c r="G1179" t="s">
        <v>417</v>
      </c>
      <c r="H1179" t="s">
        <v>84</v>
      </c>
      <c r="I1179" t="s">
        <v>418</v>
      </c>
      <c r="J1179" t="s">
        <v>419</v>
      </c>
      <c r="K1179">
        <v>-17468.87467963</v>
      </c>
      <c r="L1179" t="s">
        <v>85</v>
      </c>
      <c r="M1179" t="s">
        <v>422</v>
      </c>
      <c r="N1179">
        <v>7.7540047892240005E-2</v>
      </c>
      <c r="O1179">
        <v>1354.5373790000001</v>
      </c>
      <c r="P1179" t="s">
        <v>421</v>
      </c>
      <c r="Q1179">
        <v>1</v>
      </c>
      <c r="V1179">
        <v>1</v>
      </c>
      <c r="W1179">
        <v>1</v>
      </c>
      <c r="X1179">
        <v>1</v>
      </c>
      <c r="Y1179">
        <v>1</v>
      </c>
      <c r="Z1179">
        <v>1354.5373790000001</v>
      </c>
    </row>
    <row r="1180" spans="1:26" x14ac:dyDescent="0.25">
      <c r="A1180">
        <v>86466</v>
      </c>
      <c r="B1180" t="s">
        <v>154</v>
      </c>
      <c r="C1180">
        <v>2019</v>
      </c>
      <c r="D1180">
        <v>1</v>
      </c>
      <c r="E1180" t="s">
        <v>415</v>
      </c>
      <c r="F1180" t="s">
        <v>416</v>
      </c>
      <c r="G1180" t="s">
        <v>417</v>
      </c>
      <c r="H1180" t="s">
        <v>84</v>
      </c>
      <c r="I1180" t="s">
        <v>418</v>
      </c>
      <c r="J1180" t="s">
        <v>419</v>
      </c>
      <c r="K1180">
        <v>-17468.87467963</v>
      </c>
      <c r="L1180" t="s">
        <v>85</v>
      </c>
      <c r="M1180" t="s">
        <v>423</v>
      </c>
      <c r="N1180">
        <v>0.73979703899049998</v>
      </c>
      <c r="O1180">
        <v>12923.421762</v>
      </c>
      <c r="P1180" t="s">
        <v>421</v>
      </c>
      <c r="Q1180">
        <v>1</v>
      </c>
      <c r="V1180">
        <v>1</v>
      </c>
      <c r="W1180">
        <v>1</v>
      </c>
      <c r="X1180">
        <v>1</v>
      </c>
      <c r="Y1180">
        <v>1</v>
      </c>
      <c r="Z1180">
        <v>12923.421762</v>
      </c>
    </row>
    <row r="1181" spans="1:26" x14ac:dyDescent="0.25">
      <c r="A1181">
        <v>86467</v>
      </c>
      <c r="B1181" t="s">
        <v>154</v>
      </c>
      <c r="C1181">
        <v>2019</v>
      </c>
      <c r="D1181">
        <v>1</v>
      </c>
      <c r="E1181" t="s">
        <v>415</v>
      </c>
      <c r="F1181" t="s">
        <v>416</v>
      </c>
      <c r="G1181" t="s">
        <v>417</v>
      </c>
      <c r="H1181" t="s">
        <v>84</v>
      </c>
      <c r="I1181" t="s">
        <v>418</v>
      </c>
      <c r="J1181" t="s">
        <v>419</v>
      </c>
      <c r="K1181">
        <v>-17468.87467963</v>
      </c>
      <c r="L1181" t="s">
        <v>85</v>
      </c>
      <c r="M1181" t="s">
        <v>424</v>
      </c>
      <c r="N1181">
        <v>2.9085775596699999E-3</v>
      </c>
      <c r="O1181">
        <v>50.809576999999997</v>
      </c>
      <c r="P1181" t="s">
        <v>421</v>
      </c>
      <c r="Q1181">
        <v>1</v>
      </c>
      <c r="V1181">
        <v>1</v>
      </c>
      <c r="W1181">
        <v>1</v>
      </c>
      <c r="X1181">
        <v>1</v>
      </c>
      <c r="Y1181">
        <v>1</v>
      </c>
      <c r="Z1181">
        <v>50.809576999999997</v>
      </c>
    </row>
    <row r="1182" spans="1:26" x14ac:dyDescent="0.25">
      <c r="A1182">
        <v>86468</v>
      </c>
      <c r="B1182" t="s">
        <v>154</v>
      </c>
      <c r="C1182">
        <v>2019</v>
      </c>
      <c r="D1182">
        <v>1</v>
      </c>
      <c r="E1182" t="s">
        <v>415</v>
      </c>
      <c r="F1182" t="s">
        <v>416</v>
      </c>
      <c r="G1182" t="s">
        <v>417</v>
      </c>
      <c r="H1182" t="s">
        <v>84</v>
      </c>
      <c r="I1182" t="s">
        <v>418</v>
      </c>
      <c r="J1182" t="s">
        <v>419</v>
      </c>
      <c r="K1182">
        <v>-17468.87467963</v>
      </c>
      <c r="L1182" t="s">
        <v>85</v>
      </c>
      <c r="M1182" t="s">
        <v>425</v>
      </c>
      <c r="N1182">
        <v>2.6170694898000001E-3</v>
      </c>
      <c r="O1182">
        <v>45.717258999999999</v>
      </c>
      <c r="P1182" t="s">
        <v>421</v>
      </c>
      <c r="Q1182">
        <v>1</v>
      </c>
      <c r="V1182">
        <v>1</v>
      </c>
      <c r="W1182">
        <v>1</v>
      </c>
      <c r="X1182">
        <v>1</v>
      </c>
      <c r="Y1182">
        <v>1</v>
      </c>
      <c r="Z1182">
        <v>45.717258999999999</v>
      </c>
    </row>
    <row r="1183" spans="1:26" x14ac:dyDescent="0.25">
      <c r="A1183">
        <v>86469</v>
      </c>
      <c r="B1183" t="s">
        <v>154</v>
      </c>
      <c r="C1183">
        <v>2019</v>
      </c>
      <c r="D1183">
        <v>1</v>
      </c>
      <c r="E1183" t="s">
        <v>415</v>
      </c>
      <c r="F1183" t="s">
        <v>416</v>
      </c>
      <c r="G1183" t="s">
        <v>417</v>
      </c>
      <c r="H1183" t="s">
        <v>84</v>
      </c>
      <c r="I1183" t="s">
        <v>426</v>
      </c>
      <c r="J1183" t="s">
        <v>87</v>
      </c>
      <c r="K1183">
        <v>-3804.5175444900001</v>
      </c>
      <c r="L1183" t="s">
        <v>427</v>
      </c>
      <c r="M1183" t="s">
        <v>420</v>
      </c>
      <c r="N1183">
        <v>0.45523813654234002</v>
      </c>
      <c r="O1183">
        <v>1731.9614770000001</v>
      </c>
      <c r="P1183" t="s">
        <v>421</v>
      </c>
      <c r="Q1183">
        <v>1</v>
      </c>
      <c r="V1183">
        <v>1</v>
      </c>
      <c r="W1183">
        <v>1</v>
      </c>
      <c r="X1183">
        <v>1</v>
      </c>
      <c r="Y1183">
        <v>1</v>
      </c>
      <c r="Z1183">
        <v>1731.9614770000001</v>
      </c>
    </row>
    <row r="1184" spans="1:26" x14ac:dyDescent="0.25">
      <c r="A1184">
        <v>86470</v>
      </c>
      <c r="B1184" t="s">
        <v>154</v>
      </c>
      <c r="C1184">
        <v>2019</v>
      </c>
      <c r="D1184">
        <v>1</v>
      </c>
      <c r="E1184" t="s">
        <v>415</v>
      </c>
      <c r="F1184" t="s">
        <v>416</v>
      </c>
      <c r="G1184" t="s">
        <v>417</v>
      </c>
      <c r="H1184" t="s">
        <v>84</v>
      </c>
      <c r="I1184" t="s">
        <v>426</v>
      </c>
      <c r="J1184" t="s">
        <v>87</v>
      </c>
      <c r="K1184">
        <v>-3804.5175444900001</v>
      </c>
      <c r="L1184" t="s">
        <v>427</v>
      </c>
      <c r="M1184" t="s">
        <v>422</v>
      </c>
      <c r="N1184">
        <v>6.8896616392329996E-2</v>
      </c>
      <c r="O1184">
        <v>262.11838599999999</v>
      </c>
      <c r="P1184" t="s">
        <v>421</v>
      </c>
      <c r="Q1184">
        <v>1</v>
      </c>
      <c r="V1184">
        <v>1</v>
      </c>
      <c r="W1184">
        <v>1</v>
      </c>
      <c r="X1184">
        <v>1</v>
      </c>
      <c r="Y1184">
        <v>1</v>
      </c>
      <c r="Z1184">
        <v>262.11838599999999</v>
      </c>
    </row>
    <row r="1185" spans="1:26" x14ac:dyDescent="0.25">
      <c r="A1185">
        <v>86471</v>
      </c>
      <c r="B1185" t="s">
        <v>154</v>
      </c>
      <c r="C1185">
        <v>2019</v>
      </c>
      <c r="D1185">
        <v>1</v>
      </c>
      <c r="E1185" t="s">
        <v>415</v>
      </c>
      <c r="F1185" t="s">
        <v>416</v>
      </c>
      <c r="G1185" t="s">
        <v>417</v>
      </c>
      <c r="H1185" t="s">
        <v>84</v>
      </c>
      <c r="I1185" t="s">
        <v>426</v>
      </c>
      <c r="J1185" t="s">
        <v>87</v>
      </c>
      <c r="K1185">
        <v>-3804.5175444900001</v>
      </c>
      <c r="L1185" t="s">
        <v>427</v>
      </c>
      <c r="M1185" t="s">
        <v>423</v>
      </c>
      <c r="N1185">
        <v>0.70986919705586005</v>
      </c>
      <c r="O1185">
        <v>2700.7098139999998</v>
      </c>
      <c r="P1185" t="s">
        <v>421</v>
      </c>
      <c r="Q1185">
        <v>1</v>
      </c>
      <c r="V1185">
        <v>1</v>
      </c>
      <c r="W1185">
        <v>1</v>
      </c>
      <c r="X1185">
        <v>1</v>
      </c>
      <c r="Y1185">
        <v>1</v>
      </c>
      <c r="Z1185">
        <v>2700.7098139999998</v>
      </c>
    </row>
    <row r="1186" spans="1:26" x14ac:dyDescent="0.25">
      <c r="A1186">
        <v>86472</v>
      </c>
      <c r="B1186" t="s">
        <v>154</v>
      </c>
      <c r="C1186">
        <v>2019</v>
      </c>
      <c r="D1186">
        <v>1</v>
      </c>
      <c r="E1186" t="s">
        <v>415</v>
      </c>
      <c r="F1186" t="s">
        <v>416</v>
      </c>
      <c r="G1186" t="s">
        <v>417</v>
      </c>
      <c r="H1186" t="s">
        <v>84</v>
      </c>
      <c r="I1186" t="s">
        <v>426</v>
      </c>
      <c r="J1186" t="s">
        <v>87</v>
      </c>
      <c r="K1186">
        <v>-3804.5175444900001</v>
      </c>
      <c r="L1186" t="s">
        <v>427</v>
      </c>
      <c r="M1186" t="s">
        <v>425</v>
      </c>
      <c r="N1186">
        <v>1.4965642882E-3</v>
      </c>
      <c r="O1186">
        <v>5.6937049999999996</v>
      </c>
      <c r="P1186" t="s">
        <v>421</v>
      </c>
      <c r="Q1186">
        <v>1</v>
      </c>
      <c r="V1186">
        <v>1</v>
      </c>
      <c r="W1186">
        <v>1</v>
      </c>
      <c r="X1186">
        <v>1</v>
      </c>
      <c r="Y1186">
        <v>1</v>
      </c>
      <c r="Z1186">
        <v>5.6937049999999996</v>
      </c>
    </row>
    <row r="1187" spans="1:26" x14ac:dyDescent="0.25">
      <c r="A1187">
        <v>86473</v>
      </c>
      <c r="B1187" t="s">
        <v>154</v>
      </c>
      <c r="C1187">
        <v>2019</v>
      </c>
      <c r="D1187">
        <v>1</v>
      </c>
      <c r="E1187" t="s">
        <v>415</v>
      </c>
      <c r="F1187" t="s">
        <v>416</v>
      </c>
      <c r="G1187" t="s">
        <v>417</v>
      </c>
      <c r="H1187" t="s">
        <v>84</v>
      </c>
      <c r="I1187" t="s">
        <v>428</v>
      </c>
      <c r="J1187" t="s">
        <v>59</v>
      </c>
      <c r="K1187">
        <v>-7976.98419569</v>
      </c>
      <c r="L1187" t="s">
        <v>89</v>
      </c>
      <c r="M1187" t="s">
        <v>420</v>
      </c>
      <c r="N1187">
        <v>0.26343870574139999</v>
      </c>
      <c r="O1187">
        <v>2101.4463919999998</v>
      </c>
      <c r="P1187" t="s">
        <v>421</v>
      </c>
      <c r="Q1187">
        <v>1</v>
      </c>
      <c r="V1187">
        <v>1</v>
      </c>
      <c r="W1187">
        <v>1</v>
      </c>
      <c r="X1187">
        <v>1</v>
      </c>
      <c r="Y1187">
        <v>1</v>
      </c>
      <c r="Z1187">
        <v>2101.4463919999998</v>
      </c>
    </row>
    <row r="1188" spans="1:26" x14ac:dyDescent="0.25">
      <c r="A1188">
        <v>86474</v>
      </c>
      <c r="B1188" t="s">
        <v>154</v>
      </c>
      <c r="C1188">
        <v>2019</v>
      </c>
      <c r="D1188">
        <v>1</v>
      </c>
      <c r="E1188" t="s">
        <v>415</v>
      </c>
      <c r="F1188" t="s">
        <v>416</v>
      </c>
      <c r="G1188" t="s">
        <v>417</v>
      </c>
      <c r="H1188" t="s">
        <v>84</v>
      </c>
      <c r="I1188" t="s">
        <v>428</v>
      </c>
      <c r="J1188" t="s">
        <v>59</v>
      </c>
      <c r="K1188">
        <v>-7976.98419569</v>
      </c>
      <c r="L1188" t="s">
        <v>89</v>
      </c>
      <c r="M1188" t="s">
        <v>422</v>
      </c>
      <c r="N1188">
        <v>7.1262429683470005E-2</v>
      </c>
      <c r="O1188">
        <v>568.45927500000005</v>
      </c>
      <c r="P1188" t="s">
        <v>421</v>
      </c>
      <c r="Q1188">
        <v>1</v>
      </c>
      <c r="V1188">
        <v>1</v>
      </c>
      <c r="W1188">
        <v>1</v>
      </c>
      <c r="X1188">
        <v>1</v>
      </c>
      <c r="Y1188">
        <v>1</v>
      </c>
      <c r="Z1188">
        <v>568.45927500000005</v>
      </c>
    </row>
    <row r="1189" spans="1:26" x14ac:dyDescent="0.25">
      <c r="A1189">
        <v>86475</v>
      </c>
      <c r="B1189" t="s">
        <v>154</v>
      </c>
      <c r="C1189">
        <v>2019</v>
      </c>
      <c r="D1189">
        <v>1</v>
      </c>
      <c r="E1189" t="s">
        <v>415</v>
      </c>
      <c r="F1189" t="s">
        <v>416</v>
      </c>
      <c r="G1189" t="s">
        <v>417</v>
      </c>
      <c r="H1189" t="s">
        <v>84</v>
      </c>
      <c r="I1189" t="s">
        <v>428</v>
      </c>
      <c r="J1189" t="s">
        <v>59</v>
      </c>
      <c r="K1189">
        <v>-7976.98419569</v>
      </c>
      <c r="L1189" t="s">
        <v>89</v>
      </c>
      <c r="M1189" t="s">
        <v>423</v>
      </c>
      <c r="N1189">
        <v>0.74738783869542003</v>
      </c>
      <c r="O1189">
        <v>5961.9009770000002</v>
      </c>
      <c r="P1189" t="s">
        <v>421</v>
      </c>
      <c r="Q1189">
        <v>1</v>
      </c>
      <c r="V1189">
        <v>1</v>
      </c>
      <c r="W1189">
        <v>1</v>
      </c>
      <c r="X1189">
        <v>1</v>
      </c>
      <c r="Y1189">
        <v>1</v>
      </c>
      <c r="Z1189">
        <v>5961.9009770000002</v>
      </c>
    </row>
    <row r="1190" spans="1:26" x14ac:dyDescent="0.25">
      <c r="A1190">
        <v>86476</v>
      </c>
      <c r="B1190" t="s">
        <v>154</v>
      </c>
      <c r="C1190">
        <v>2019</v>
      </c>
      <c r="D1190">
        <v>1</v>
      </c>
      <c r="E1190" t="s">
        <v>415</v>
      </c>
      <c r="F1190" t="s">
        <v>416</v>
      </c>
      <c r="G1190" t="s">
        <v>417</v>
      </c>
      <c r="H1190" t="s">
        <v>84</v>
      </c>
      <c r="I1190" t="s">
        <v>428</v>
      </c>
      <c r="J1190" t="s">
        <v>59</v>
      </c>
      <c r="K1190">
        <v>-7976.98419569</v>
      </c>
      <c r="L1190" t="s">
        <v>89</v>
      </c>
      <c r="M1190" t="s">
        <v>424</v>
      </c>
      <c r="N1190">
        <v>3.08071516317E-3</v>
      </c>
      <c r="O1190">
        <v>24.574815999999998</v>
      </c>
      <c r="P1190" t="s">
        <v>421</v>
      </c>
      <c r="Q1190">
        <v>1</v>
      </c>
      <c r="V1190">
        <v>1</v>
      </c>
      <c r="W1190">
        <v>1</v>
      </c>
      <c r="X1190">
        <v>1</v>
      </c>
      <c r="Y1190">
        <v>1</v>
      </c>
      <c r="Z1190">
        <v>24.574815999999998</v>
      </c>
    </row>
    <row r="1191" spans="1:26" x14ac:dyDescent="0.25">
      <c r="A1191">
        <v>86477</v>
      </c>
      <c r="B1191" t="s">
        <v>154</v>
      </c>
      <c r="C1191">
        <v>2019</v>
      </c>
      <c r="D1191">
        <v>1</v>
      </c>
      <c r="E1191" t="s">
        <v>415</v>
      </c>
      <c r="F1191" t="s">
        <v>416</v>
      </c>
      <c r="G1191" t="s">
        <v>417</v>
      </c>
      <c r="H1191" t="s">
        <v>84</v>
      </c>
      <c r="I1191" t="s">
        <v>428</v>
      </c>
      <c r="J1191" t="s">
        <v>59</v>
      </c>
      <c r="K1191">
        <v>-7976.98419569</v>
      </c>
      <c r="L1191" t="s">
        <v>89</v>
      </c>
      <c r="M1191" t="s">
        <v>425</v>
      </c>
      <c r="N1191">
        <v>2.5360775708E-3</v>
      </c>
      <c r="O1191">
        <v>20.230250999999999</v>
      </c>
      <c r="P1191" t="s">
        <v>421</v>
      </c>
      <c r="Q1191">
        <v>1</v>
      </c>
      <c r="V1191">
        <v>1</v>
      </c>
      <c r="W1191">
        <v>1</v>
      </c>
      <c r="X1191">
        <v>1</v>
      </c>
      <c r="Y1191">
        <v>1</v>
      </c>
      <c r="Z1191">
        <v>20.230250999999999</v>
      </c>
    </row>
    <row r="1192" spans="1:26" x14ac:dyDescent="0.25">
      <c r="A1192">
        <v>86478</v>
      </c>
      <c r="B1192" t="s">
        <v>154</v>
      </c>
      <c r="C1192">
        <v>2019</v>
      </c>
      <c r="D1192">
        <v>1</v>
      </c>
      <c r="E1192" t="s">
        <v>415</v>
      </c>
      <c r="F1192" t="s">
        <v>429</v>
      </c>
      <c r="G1192" t="s">
        <v>430</v>
      </c>
      <c r="H1192" t="s">
        <v>84</v>
      </c>
      <c r="I1192" t="s">
        <v>431</v>
      </c>
      <c r="J1192" t="s">
        <v>419</v>
      </c>
      <c r="K1192">
        <v>-26924.946475289998</v>
      </c>
      <c r="L1192" t="s">
        <v>85</v>
      </c>
      <c r="M1192" t="s">
        <v>420</v>
      </c>
      <c r="N1192">
        <v>0.24824931095561001</v>
      </c>
      <c r="O1192">
        <v>6684.0994099999998</v>
      </c>
      <c r="P1192" t="s">
        <v>421</v>
      </c>
      <c r="Q1192">
        <v>1</v>
      </c>
      <c r="V1192">
        <v>1</v>
      </c>
      <c r="W1192">
        <v>1</v>
      </c>
      <c r="X1192">
        <v>1</v>
      </c>
      <c r="Y1192">
        <v>1</v>
      </c>
      <c r="Z1192">
        <v>6684.0994099999998</v>
      </c>
    </row>
    <row r="1193" spans="1:26" x14ac:dyDescent="0.25">
      <c r="A1193">
        <v>86479</v>
      </c>
      <c r="B1193" t="s">
        <v>154</v>
      </c>
      <c r="C1193">
        <v>2019</v>
      </c>
      <c r="D1193">
        <v>1</v>
      </c>
      <c r="E1193" t="s">
        <v>415</v>
      </c>
      <c r="F1193" t="s">
        <v>429</v>
      </c>
      <c r="G1193" t="s">
        <v>430</v>
      </c>
      <c r="H1193" t="s">
        <v>84</v>
      </c>
      <c r="I1193" t="s">
        <v>431</v>
      </c>
      <c r="J1193" t="s">
        <v>419</v>
      </c>
      <c r="K1193">
        <v>-26924.946475289998</v>
      </c>
      <c r="L1193" t="s">
        <v>85</v>
      </c>
      <c r="M1193" t="s">
        <v>422</v>
      </c>
      <c r="N1193">
        <v>7.7540047892240005E-2</v>
      </c>
      <c r="O1193">
        <v>2087.7616389999998</v>
      </c>
      <c r="P1193" t="s">
        <v>421</v>
      </c>
      <c r="Q1193">
        <v>1</v>
      </c>
      <c r="V1193">
        <v>1</v>
      </c>
      <c r="W1193">
        <v>1</v>
      </c>
      <c r="X1193">
        <v>1</v>
      </c>
      <c r="Y1193">
        <v>1</v>
      </c>
      <c r="Z1193">
        <v>2087.7616389999998</v>
      </c>
    </row>
    <row r="1194" spans="1:26" x14ac:dyDescent="0.25">
      <c r="A1194">
        <v>86480</v>
      </c>
      <c r="B1194" t="s">
        <v>154</v>
      </c>
      <c r="C1194">
        <v>2019</v>
      </c>
      <c r="D1194">
        <v>1</v>
      </c>
      <c r="E1194" t="s">
        <v>415</v>
      </c>
      <c r="F1194" t="s">
        <v>429</v>
      </c>
      <c r="G1194" t="s">
        <v>430</v>
      </c>
      <c r="H1194" t="s">
        <v>84</v>
      </c>
      <c r="I1194" t="s">
        <v>431</v>
      </c>
      <c r="J1194" t="s">
        <v>419</v>
      </c>
      <c r="K1194">
        <v>-26924.946475289998</v>
      </c>
      <c r="L1194" t="s">
        <v>85</v>
      </c>
      <c r="M1194" t="s">
        <v>423</v>
      </c>
      <c r="N1194">
        <v>0.73979703899049998</v>
      </c>
      <c r="O1194">
        <v>19918.995676999999</v>
      </c>
      <c r="P1194" t="s">
        <v>421</v>
      </c>
      <c r="Q1194">
        <v>1</v>
      </c>
      <c r="V1194">
        <v>1</v>
      </c>
      <c r="W1194">
        <v>1</v>
      </c>
      <c r="X1194">
        <v>1</v>
      </c>
      <c r="Y1194">
        <v>1</v>
      </c>
      <c r="Z1194">
        <v>19918.995676999999</v>
      </c>
    </row>
    <row r="1195" spans="1:26" x14ac:dyDescent="0.25">
      <c r="A1195">
        <v>86481</v>
      </c>
      <c r="B1195" t="s">
        <v>154</v>
      </c>
      <c r="C1195">
        <v>2019</v>
      </c>
      <c r="D1195">
        <v>1</v>
      </c>
      <c r="E1195" t="s">
        <v>415</v>
      </c>
      <c r="F1195" t="s">
        <v>429</v>
      </c>
      <c r="G1195" t="s">
        <v>430</v>
      </c>
      <c r="H1195" t="s">
        <v>84</v>
      </c>
      <c r="I1195" t="s">
        <v>431</v>
      </c>
      <c r="J1195" t="s">
        <v>419</v>
      </c>
      <c r="K1195">
        <v>-26924.946475289998</v>
      </c>
      <c r="L1195" t="s">
        <v>85</v>
      </c>
      <c r="M1195" t="s">
        <v>424</v>
      </c>
      <c r="N1195">
        <v>2.9085775596699999E-3</v>
      </c>
      <c r="O1195">
        <v>78.313294999999997</v>
      </c>
      <c r="P1195" t="s">
        <v>421</v>
      </c>
      <c r="Q1195">
        <v>1</v>
      </c>
      <c r="V1195">
        <v>1</v>
      </c>
      <c r="W1195">
        <v>1</v>
      </c>
      <c r="X1195">
        <v>1</v>
      </c>
      <c r="Y1195">
        <v>1</v>
      </c>
      <c r="Z1195">
        <v>78.313294999999997</v>
      </c>
    </row>
    <row r="1196" spans="1:26" x14ac:dyDescent="0.25">
      <c r="A1196">
        <v>86482</v>
      </c>
      <c r="B1196" t="s">
        <v>154</v>
      </c>
      <c r="C1196">
        <v>2019</v>
      </c>
      <c r="D1196">
        <v>1</v>
      </c>
      <c r="E1196" t="s">
        <v>415</v>
      </c>
      <c r="F1196" t="s">
        <v>429</v>
      </c>
      <c r="G1196" t="s">
        <v>430</v>
      </c>
      <c r="H1196" t="s">
        <v>84</v>
      </c>
      <c r="I1196" t="s">
        <v>431</v>
      </c>
      <c r="J1196" t="s">
        <v>419</v>
      </c>
      <c r="K1196">
        <v>-26924.946475289998</v>
      </c>
      <c r="L1196" t="s">
        <v>85</v>
      </c>
      <c r="M1196" t="s">
        <v>425</v>
      </c>
      <c r="N1196">
        <v>2.6170694898000001E-3</v>
      </c>
      <c r="O1196">
        <v>70.464455999999998</v>
      </c>
      <c r="P1196" t="s">
        <v>421</v>
      </c>
      <c r="Q1196">
        <v>1</v>
      </c>
      <c r="V1196">
        <v>1</v>
      </c>
      <c r="W1196">
        <v>1</v>
      </c>
      <c r="X1196">
        <v>1</v>
      </c>
      <c r="Y1196">
        <v>1</v>
      </c>
      <c r="Z1196">
        <v>70.464455999999998</v>
      </c>
    </row>
    <row r="1197" spans="1:26" x14ac:dyDescent="0.25">
      <c r="A1197">
        <v>86483</v>
      </c>
      <c r="B1197" t="s">
        <v>154</v>
      </c>
      <c r="C1197">
        <v>2019</v>
      </c>
      <c r="D1197">
        <v>1</v>
      </c>
      <c r="E1197" t="s">
        <v>415</v>
      </c>
      <c r="F1197" t="s">
        <v>429</v>
      </c>
      <c r="G1197" t="s">
        <v>430</v>
      </c>
      <c r="H1197" t="s">
        <v>84</v>
      </c>
      <c r="I1197" t="s">
        <v>432</v>
      </c>
      <c r="J1197" t="s">
        <v>87</v>
      </c>
      <c r="K1197">
        <v>-6493.0406436200001</v>
      </c>
      <c r="L1197" t="s">
        <v>427</v>
      </c>
      <c r="M1197" t="s">
        <v>420</v>
      </c>
      <c r="N1197">
        <v>0.45523813654234002</v>
      </c>
      <c r="O1197">
        <v>2955.879723</v>
      </c>
      <c r="P1197" t="s">
        <v>421</v>
      </c>
      <c r="Q1197">
        <v>1</v>
      </c>
      <c r="V1197">
        <v>1</v>
      </c>
      <c r="W1197">
        <v>1</v>
      </c>
      <c r="X1197">
        <v>1</v>
      </c>
      <c r="Y1197">
        <v>1</v>
      </c>
      <c r="Z1197">
        <v>2955.879723</v>
      </c>
    </row>
    <row r="1198" spans="1:26" x14ac:dyDescent="0.25">
      <c r="A1198">
        <v>86484</v>
      </c>
      <c r="B1198" t="s">
        <v>154</v>
      </c>
      <c r="C1198">
        <v>2019</v>
      </c>
      <c r="D1198">
        <v>1</v>
      </c>
      <c r="E1198" t="s">
        <v>415</v>
      </c>
      <c r="F1198" t="s">
        <v>429</v>
      </c>
      <c r="G1198" t="s">
        <v>430</v>
      </c>
      <c r="H1198" t="s">
        <v>84</v>
      </c>
      <c r="I1198" t="s">
        <v>432</v>
      </c>
      <c r="J1198" t="s">
        <v>87</v>
      </c>
      <c r="K1198">
        <v>-6493.0406436200001</v>
      </c>
      <c r="L1198" t="s">
        <v>427</v>
      </c>
      <c r="M1198" t="s">
        <v>422</v>
      </c>
      <c r="N1198">
        <v>6.8896616392329996E-2</v>
      </c>
      <c r="O1198">
        <v>447.34852999999998</v>
      </c>
      <c r="P1198" t="s">
        <v>421</v>
      </c>
      <c r="Q1198">
        <v>1</v>
      </c>
      <c r="V1198">
        <v>1</v>
      </c>
      <c r="W1198">
        <v>1</v>
      </c>
      <c r="X1198">
        <v>1</v>
      </c>
      <c r="Y1198">
        <v>1</v>
      </c>
      <c r="Z1198">
        <v>447.34852999999998</v>
      </c>
    </row>
    <row r="1199" spans="1:26" x14ac:dyDescent="0.25">
      <c r="A1199">
        <v>86485</v>
      </c>
      <c r="B1199" t="s">
        <v>154</v>
      </c>
      <c r="C1199">
        <v>2019</v>
      </c>
      <c r="D1199">
        <v>1</v>
      </c>
      <c r="E1199" t="s">
        <v>415</v>
      </c>
      <c r="F1199" t="s">
        <v>429</v>
      </c>
      <c r="G1199" t="s">
        <v>430</v>
      </c>
      <c r="H1199" t="s">
        <v>84</v>
      </c>
      <c r="I1199" t="s">
        <v>432</v>
      </c>
      <c r="J1199" t="s">
        <v>87</v>
      </c>
      <c r="K1199">
        <v>-6493.0406436200001</v>
      </c>
      <c r="L1199" t="s">
        <v>427</v>
      </c>
      <c r="M1199" t="s">
        <v>423</v>
      </c>
      <c r="N1199">
        <v>0.70986919705586005</v>
      </c>
      <c r="O1199">
        <v>4609.2095479999998</v>
      </c>
      <c r="P1199" t="s">
        <v>421</v>
      </c>
      <c r="Q1199">
        <v>1</v>
      </c>
      <c r="V1199">
        <v>1</v>
      </c>
      <c r="W1199">
        <v>1</v>
      </c>
      <c r="X1199">
        <v>1</v>
      </c>
      <c r="Y1199">
        <v>1</v>
      </c>
      <c r="Z1199">
        <v>4609.2095479999998</v>
      </c>
    </row>
    <row r="1200" spans="1:26" x14ac:dyDescent="0.25">
      <c r="A1200">
        <v>86486</v>
      </c>
      <c r="B1200" t="s">
        <v>154</v>
      </c>
      <c r="C1200">
        <v>2019</v>
      </c>
      <c r="D1200">
        <v>1</v>
      </c>
      <c r="E1200" t="s">
        <v>415</v>
      </c>
      <c r="F1200" t="s">
        <v>429</v>
      </c>
      <c r="G1200" t="s">
        <v>430</v>
      </c>
      <c r="H1200" t="s">
        <v>84</v>
      </c>
      <c r="I1200" t="s">
        <v>432</v>
      </c>
      <c r="J1200" t="s">
        <v>87</v>
      </c>
      <c r="K1200">
        <v>-6493.0406436200001</v>
      </c>
      <c r="L1200" t="s">
        <v>427</v>
      </c>
      <c r="M1200" t="s">
        <v>425</v>
      </c>
      <c r="N1200">
        <v>1.4965642882E-3</v>
      </c>
      <c r="O1200">
        <v>9.7172529999999995</v>
      </c>
      <c r="P1200" t="s">
        <v>421</v>
      </c>
      <c r="Q1200">
        <v>1</v>
      </c>
      <c r="V1200">
        <v>1</v>
      </c>
      <c r="W1200">
        <v>1</v>
      </c>
      <c r="X1200">
        <v>1</v>
      </c>
      <c r="Y1200">
        <v>1</v>
      </c>
      <c r="Z1200">
        <v>9.7172529999999995</v>
      </c>
    </row>
    <row r="1201" spans="1:26" x14ac:dyDescent="0.25">
      <c r="A1201">
        <v>86487</v>
      </c>
      <c r="B1201" t="s">
        <v>154</v>
      </c>
      <c r="C1201">
        <v>2019</v>
      </c>
      <c r="D1201">
        <v>1</v>
      </c>
      <c r="E1201" t="s">
        <v>415</v>
      </c>
      <c r="F1201" t="s">
        <v>429</v>
      </c>
      <c r="G1201" t="s">
        <v>430</v>
      </c>
      <c r="H1201" t="s">
        <v>84</v>
      </c>
      <c r="I1201" t="s">
        <v>433</v>
      </c>
      <c r="J1201" t="s">
        <v>59</v>
      </c>
      <c r="K1201">
        <v>-10744.242769099999</v>
      </c>
      <c r="L1201" t="s">
        <v>89</v>
      </c>
      <c r="M1201" t="s">
        <v>420</v>
      </c>
      <c r="N1201">
        <v>0.26343870574139999</v>
      </c>
      <c r="O1201">
        <v>2830.4494089999998</v>
      </c>
      <c r="P1201" t="s">
        <v>421</v>
      </c>
      <c r="Q1201">
        <v>1</v>
      </c>
      <c r="V1201">
        <v>1</v>
      </c>
      <c r="W1201">
        <v>1</v>
      </c>
      <c r="X1201">
        <v>1</v>
      </c>
      <c r="Y1201">
        <v>1</v>
      </c>
      <c r="Z1201">
        <v>2830.4494089999998</v>
      </c>
    </row>
    <row r="1202" spans="1:26" x14ac:dyDescent="0.25">
      <c r="A1202">
        <v>86488</v>
      </c>
      <c r="B1202" t="s">
        <v>154</v>
      </c>
      <c r="C1202">
        <v>2019</v>
      </c>
      <c r="D1202">
        <v>1</v>
      </c>
      <c r="E1202" t="s">
        <v>415</v>
      </c>
      <c r="F1202" t="s">
        <v>429</v>
      </c>
      <c r="G1202" t="s">
        <v>430</v>
      </c>
      <c r="H1202" t="s">
        <v>84</v>
      </c>
      <c r="I1202" t="s">
        <v>433</v>
      </c>
      <c r="J1202" t="s">
        <v>59</v>
      </c>
      <c r="K1202">
        <v>-10744.242769099999</v>
      </c>
      <c r="L1202" t="s">
        <v>89</v>
      </c>
      <c r="M1202" t="s">
        <v>422</v>
      </c>
      <c r="N1202">
        <v>7.1262429683470005E-2</v>
      </c>
      <c r="O1202">
        <v>765.66084499999999</v>
      </c>
      <c r="P1202" t="s">
        <v>421</v>
      </c>
      <c r="Q1202">
        <v>1</v>
      </c>
      <c r="V1202">
        <v>1</v>
      </c>
      <c r="W1202">
        <v>1</v>
      </c>
      <c r="X1202">
        <v>1</v>
      </c>
      <c r="Y1202">
        <v>1</v>
      </c>
      <c r="Z1202">
        <v>765.66084499999999</v>
      </c>
    </row>
    <row r="1203" spans="1:26" x14ac:dyDescent="0.25">
      <c r="A1203">
        <v>86489</v>
      </c>
      <c r="B1203" t="s">
        <v>154</v>
      </c>
      <c r="C1203">
        <v>2019</v>
      </c>
      <c r="D1203">
        <v>1</v>
      </c>
      <c r="E1203" t="s">
        <v>415</v>
      </c>
      <c r="F1203" t="s">
        <v>429</v>
      </c>
      <c r="G1203" t="s">
        <v>430</v>
      </c>
      <c r="H1203" t="s">
        <v>84</v>
      </c>
      <c r="I1203" t="s">
        <v>433</v>
      </c>
      <c r="J1203" t="s">
        <v>59</v>
      </c>
      <c r="K1203">
        <v>-10744.242769099999</v>
      </c>
      <c r="L1203" t="s">
        <v>89</v>
      </c>
      <c r="M1203" t="s">
        <v>423</v>
      </c>
      <c r="N1203">
        <v>0.74738783869542003</v>
      </c>
      <c r="O1203">
        <v>8030.1163820000002</v>
      </c>
      <c r="P1203" t="s">
        <v>421</v>
      </c>
      <c r="Q1203">
        <v>1</v>
      </c>
      <c r="V1203">
        <v>1</v>
      </c>
      <c r="W1203">
        <v>1</v>
      </c>
      <c r="X1203">
        <v>1</v>
      </c>
      <c r="Y1203">
        <v>1</v>
      </c>
      <c r="Z1203">
        <v>8030.1163820000002</v>
      </c>
    </row>
    <row r="1204" spans="1:26" x14ac:dyDescent="0.25">
      <c r="A1204">
        <v>86490</v>
      </c>
      <c r="B1204" t="s">
        <v>154</v>
      </c>
      <c r="C1204">
        <v>2019</v>
      </c>
      <c r="D1204">
        <v>1</v>
      </c>
      <c r="E1204" t="s">
        <v>415</v>
      </c>
      <c r="F1204" t="s">
        <v>429</v>
      </c>
      <c r="G1204" t="s">
        <v>430</v>
      </c>
      <c r="H1204" t="s">
        <v>84</v>
      </c>
      <c r="I1204" t="s">
        <v>433</v>
      </c>
      <c r="J1204" t="s">
        <v>59</v>
      </c>
      <c r="K1204">
        <v>-10744.242769099999</v>
      </c>
      <c r="L1204" t="s">
        <v>89</v>
      </c>
      <c r="M1204" t="s">
        <v>424</v>
      </c>
      <c r="N1204">
        <v>3.08071516317E-3</v>
      </c>
      <c r="O1204">
        <v>33.099952000000002</v>
      </c>
      <c r="P1204" t="s">
        <v>421</v>
      </c>
      <c r="Q1204">
        <v>1</v>
      </c>
      <c r="V1204">
        <v>1</v>
      </c>
      <c r="W1204">
        <v>1</v>
      </c>
      <c r="X1204">
        <v>1</v>
      </c>
      <c r="Y1204">
        <v>1</v>
      </c>
      <c r="Z1204">
        <v>33.099952000000002</v>
      </c>
    </row>
    <row r="1205" spans="1:26" x14ac:dyDescent="0.25">
      <c r="A1205">
        <v>86491</v>
      </c>
      <c r="B1205" t="s">
        <v>154</v>
      </c>
      <c r="C1205">
        <v>2019</v>
      </c>
      <c r="D1205">
        <v>1</v>
      </c>
      <c r="E1205" t="s">
        <v>415</v>
      </c>
      <c r="F1205" t="s">
        <v>429</v>
      </c>
      <c r="G1205" t="s">
        <v>430</v>
      </c>
      <c r="H1205" t="s">
        <v>84</v>
      </c>
      <c r="I1205" t="s">
        <v>433</v>
      </c>
      <c r="J1205" t="s">
        <v>59</v>
      </c>
      <c r="K1205">
        <v>-10744.242769099999</v>
      </c>
      <c r="L1205" t="s">
        <v>89</v>
      </c>
      <c r="M1205" t="s">
        <v>425</v>
      </c>
      <c r="N1205">
        <v>2.5360775708E-3</v>
      </c>
      <c r="O1205">
        <v>27.248232999999999</v>
      </c>
      <c r="P1205" t="s">
        <v>421</v>
      </c>
      <c r="Q1205">
        <v>1</v>
      </c>
      <c r="V1205">
        <v>1</v>
      </c>
      <c r="W1205">
        <v>1</v>
      </c>
      <c r="X1205">
        <v>1</v>
      </c>
      <c r="Y1205">
        <v>1</v>
      </c>
      <c r="Z1205">
        <v>27.248232999999999</v>
      </c>
    </row>
    <row r="1206" spans="1:26" x14ac:dyDescent="0.25">
      <c r="A1206">
        <v>86492</v>
      </c>
      <c r="B1206" t="s">
        <v>154</v>
      </c>
      <c r="C1206">
        <v>2019</v>
      </c>
      <c r="D1206">
        <v>1</v>
      </c>
      <c r="E1206" t="s">
        <v>415</v>
      </c>
      <c r="F1206" t="s">
        <v>434</v>
      </c>
      <c r="G1206" t="s">
        <v>435</v>
      </c>
      <c r="H1206" t="s">
        <v>84</v>
      </c>
      <c r="I1206" t="s">
        <v>436</v>
      </c>
      <c r="J1206" t="s">
        <v>419</v>
      </c>
      <c r="K1206">
        <v>-11523.3116083</v>
      </c>
      <c r="L1206" t="s">
        <v>85</v>
      </c>
      <c r="M1206" t="s">
        <v>420</v>
      </c>
      <c r="N1206">
        <v>0.24824931095561001</v>
      </c>
      <c r="O1206">
        <v>2860.6541670000001</v>
      </c>
      <c r="P1206" t="s">
        <v>421</v>
      </c>
      <c r="Q1206">
        <v>1</v>
      </c>
      <c r="V1206">
        <v>1</v>
      </c>
      <c r="W1206">
        <v>1</v>
      </c>
      <c r="X1206">
        <v>1</v>
      </c>
      <c r="Y1206">
        <v>1</v>
      </c>
      <c r="Z1206">
        <v>2860.6541670000001</v>
      </c>
    </row>
    <row r="1207" spans="1:26" x14ac:dyDescent="0.25">
      <c r="A1207">
        <v>86493</v>
      </c>
      <c r="B1207" t="s">
        <v>154</v>
      </c>
      <c r="C1207">
        <v>2019</v>
      </c>
      <c r="D1207">
        <v>1</v>
      </c>
      <c r="E1207" t="s">
        <v>415</v>
      </c>
      <c r="F1207" t="s">
        <v>434</v>
      </c>
      <c r="G1207" t="s">
        <v>435</v>
      </c>
      <c r="H1207" t="s">
        <v>84</v>
      </c>
      <c r="I1207" t="s">
        <v>436</v>
      </c>
      <c r="J1207" t="s">
        <v>419</v>
      </c>
      <c r="K1207">
        <v>-11523.3116083</v>
      </c>
      <c r="L1207" t="s">
        <v>85</v>
      </c>
      <c r="M1207" t="s">
        <v>422</v>
      </c>
      <c r="N1207">
        <v>7.7540047892240005E-2</v>
      </c>
      <c r="O1207">
        <v>893.51813400000003</v>
      </c>
      <c r="P1207" t="s">
        <v>421</v>
      </c>
      <c r="Q1207">
        <v>1</v>
      </c>
      <c r="V1207">
        <v>1</v>
      </c>
      <c r="W1207">
        <v>1</v>
      </c>
      <c r="X1207">
        <v>1</v>
      </c>
      <c r="Y1207">
        <v>1</v>
      </c>
      <c r="Z1207">
        <v>893.51813400000003</v>
      </c>
    </row>
    <row r="1208" spans="1:26" x14ac:dyDescent="0.25">
      <c r="A1208">
        <v>86494</v>
      </c>
      <c r="B1208" t="s">
        <v>154</v>
      </c>
      <c r="C1208">
        <v>2019</v>
      </c>
      <c r="D1208">
        <v>1</v>
      </c>
      <c r="E1208" t="s">
        <v>415</v>
      </c>
      <c r="F1208" t="s">
        <v>434</v>
      </c>
      <c r="G1208" t="s">
        <v>435</v>
      </c>
      <c r="H1208" t="s">
        <v>84</v>
      </c>
      <c r="I1208" t="s">
        <v>436</v>
      </c>
      <c r="J1208" t="s">
        <v>419</v>
      </c>
      <c r="K1208">
        <v>-11523.3116083</v>
      </c>
      <c r="L1208" t="s">
        <v>85</v>
      </c>
      <c r="M1208" t="s">
        <v>423</v>
      </c>
      <c r="N1208">
        <v>0.73979703899049998</v>
      </c>
      <c r="O1208">
        <v>8524.9118070000004</v>
      </c>
      <c r="P1208" t="s">
        <v>421</v>
      </c>
      <c r="Q1208">
        <v>1</v>
      </c>
      <c r="V1208">
        <v>1</v>
      </c>
      <c r="W1208">
        <v>1</v>
      </c>
      <c r="X1208">
        <v>1</v>
      </c>
      <c r="Y1208">
        <v>1</v>
      </c>
      <c r="Z1208">
        <v>8524.9118070000004</v>
      </c>
    </row>
    <row r="1209" spans="1:26" x14ac:dyDescent="0.25">
      <c r="A1209">
        <v>86495</v>
      </c>
      <c r="B1209" t="s">
        <v>154</v>
      </c>
      <c r="C1209">
        <v>2019</v>
      </c>
      <c r="D1209">
        <v>1</v>
      </c>
      <c r="E1209" t="s">
        <v>415</v>
      </c>
      <c r="F1209" t="s">
        <v>434</v>
      </c>
      <c r="G1209" t="s">
        <v>435</v>
      </c>
      <c r="H1209" t="s">
        <v>84</v>
      </c>
      <c r="I1209" t="s">
        <v>436</v>
      </c>
      <c r="J1209" t="s">
        <v>419</v>
      </c>
      <c r="K1209">
        <v>-11523.3116083</v>
      </c>
      <c r="L1209" t="s">
        <v>85</v>
      </c>
      <c r="M1209" t="s">
        <v>424</v>
      </c>
      <c r="N1209">
        <v>2.9085775596699999E-3</v>
      </c>
      <c r="O1209">
        <v>33.516446000000002</v>
      </c>
      <c r="P1209" t="s">
        <v>421</v>
      </c>
      <c r="Q1209">
        <v>1</v>
      </c>
      <c r="V1209">
        <v>1</v>
      </c>
      <c r="W1209">
        <v>1</v>
      </c>
      <c r="X1209">
        <v>1</v>
      </c>
      <c r="Y1209">
        <v>1</v>
      </c>
      <c r="Z1209">
        <v>33.516446000000002</v>
      </c>
    </row>
    <row r="1210" spans="1:26" x14ac:dyDescent="0.25">
      <c r="A1210">
        <v>86496</v>
      </c>
      <c r="B1210" t="s">
        <v>154</v>
      </c>
      <c r="C1210">
        <v>2019</v>
      </c>
      <c r="D1210">
        <v>1</v>
      </c>
      <c r="E1210" t="s">
        <v>415</v>
      </c>
      <c r="F1210" t="s">
        <v>434</v>
      </c>
      <c r="G1210" t="s">
        <v>435</v>
      </c>
      <c r="H1210" t="s">
        <v>84</v>
      </c>
      <c r="I1210" t="s">
        <v>436</v>
      </c>
      <c r="J1210" t="s">
        <v>419</v>
      </c>
      <c r="K1210">
        <v>-11523.3116083</v>
      </c>
      <c r="L1210" t="s">
        <v>85</v>
      </c>
      <c r="M1210" t="s">
        <v>425</v>
      </c>
      <c r="N1210">
        <v>2.6170694898000001E-3</v>
      </c>
      <c r="O1210">
        <v>30.157306999999999</v>
      </c>
      <c r="P1210" t="s">
        <v>421</v>
      </c>
      <c r="Q1210">
        <v>1</v>
      </c>
      <c r="V1210">
        <v>1</v>
      </c>
      <c r="W1210">
        <v>1</v>
      </c>
      <c r="X1210">
        <v>1</v>
      </c>
      <c r="Y1210">
        <v>1</v>
      </c>
      <c r="Z1210">
        <v>30.157306999999999</v>
      </c>
    </row>
    <row r="1211" spans="1:26" x14ac:dyDescent="0.25">
      <c r="A1211">
        <v>86497</v>
      </c>
      <c r="B1211" t="s">
        <v>154</v>
      </c>
      <c r="C1211">
        <v>2019</v>
      </c>
      <c r="D1211">
        <v>1</v>
      </c>
      <c r="E1211" t="s">
        <v>415</v>
      </c>
      <c r="F1211" t="s">
        <v>434</v>
      </c>
      <c r="G1211" t="s">
        <v>435</v>
      </c>
      <c r="H1211" t="s">
        <v>84</v>
      </c>
      <c r="I1211" t="s">
        <v>437</v>
      </c>
      <c r="J1211" t="s">
        <v>87</v>
      </c>
      <c r="K1211">
        <v>-2284.1016139600001</v>
      </c>
      <c r="L1211" t="s">
        <v>427</v>
      </c>
      <c r="M1211" t="s">
        <v>420</v>
      </c>
      <c r="N1211">
        <v>0.45523813654234002</v>
      </c>
      <c r="O1211">
        <v>1039.810162</v>
      </c>
      <c r="P1211" t="s">
        <v>421</v>
      </c>
      <c r="Q1211">
        <v>1</v>
      </c>
      <c r="V1211">
        <v>1</v>
      </c>
      <c r="W1211">
        <v>1</v>
      </c>
      <c r="X1211">
        <v>1</v>
      </c>
      <c r="Y1211">
        <v>1</v>
      </c>
      <c r="Z1211">
        <v>1039.810162</v>
      </c>
    </row>
    <row r="1212" spans="1:26" x14ac:dyDescent="0.25">
      <c r="A1212">
        <v>86498</v>
      </c>
      <c r="B1212" t="s">
        <v>154</v>
      </c>
      <c r="C1212">
        <v>2019</v>
      </c>
      <c r="D1212">
        <v>1</v>
      </c>
      <c r="E1212" t="s">
        <v>415</v>
      </c>
      <c r="F1212" t="s">
        <v>434</v>
      </c>
      <c r="G1212" t="s">
        <v>435</v>
      </c>
      <c r="H1212" t="s">
        <v>84</v>
      </c>
      <c r="I1212" t="s">
        <v>437</v>
      </c>
      <c r="J1212" t="s">
        <v>87</v>
      </c>
      <c r="K1212">
        <v>-2284.1016139600001</v>
      </c>
      <c r="L1212" t="s">
        <v>427</v>
      </c>
      <c r="M1212" t="s">
        <v>422</v>
      </c>
      <c r="N1212">
        <v>6.8896616392329996E-2</v>
      </c>
      <c r="O1212">
        <v>157.366873</v>
      </c>
      <c r="P1212" t="s">
        <v>421</v>
      </c>
      <c r="Q1212">
        <v>1</v>
      </c>
      <c r="V1212">
        <v>1</v>
      </c>
      <c r="W1212">
        <v>1</v>
      </c>
      <c r="X1212">
        <v>1</v>
      </c>
      <c r="Y1212">
        <v>1</v>
      </c>
      <c r="Z1212">
        <v>157.366873</v>
      </c>
    </row>
    <row r="1213" spans="1:26" x14ac:dyDescent="0.25">
      <c r="A1213">
        <v>86499</v>
      </c>
      <c r="B1213" t="s">
        <v>154</v>
      </c>
      <c r="C1213">
        <v>2019</v>
      </c>
      <c r="D1213">
        <v>1</v>
      </c>
      <c r="E1213" t="s">
        <v>415</v>
      </c>
      <c r="F1213" t="s">
        <v>434</v>
      </c>
      <c r="G1213" t="s">
        <v>435</v>
      </c>
      <c r="H1213" t="s">
        <v>84</v>
      </c>
      <c r="I1213" t="s">
        <v>437</v>
      </c>
      <c r="J1213" t="s">
        <v>87</v>
      </c>
      <c r="K1213">
        <v>-2284.1016139600001</v>
      </c>
      <c r="L1213" t="s">
        <v>427</v>
      </c>
      <c r="M1213" t="s">
        <v>423</v>
      </c>
      <c r="N1213">
        <v>0.70986919705586005</v>
      </c>
      <c r="O1213">
        <v>1621.4133790000001</v>
      </c>
      <c r="P1213" t="s">
        <v>421</v>
      </c>
      <c r="Q1213">
        <v>1</v>
      </c>
      <c r="V1213">
        <v>1</v>
      </c>
      <c r="W1213">
        <v>1</v>
      </c>
      <c r="X1213">
        <v>1</v>
      </c>
      <c r="Y1213">
        <v>1</v>
      </c>
      <c r="Z1213">
        <v>1621.4133790000001</v>
      </c>
    </row>
    <row r="1214" spans="1:26" x14ac:dyDescent="0.25">
      <c r="A1214">
        <v>86500</v>
      </c>
      <c r="B1214" t="s">
        <v>154</v>
      </c>
      <c r="C1214">
        <v>2019</v>
      </c>
      <c r="D1214">
        <v>1</v>
      </c>
      <c r="E1214" t="s">
        <v>415</v>
      </c>
      <c r="F1214" t="s">
        <v>434</v>
      </c>
      <c r="G1214" t="s">
        <v>435</v>
      </c>
      <c r="H1214" t="s">
        <v>84</v>
      </c>
      <c r="I1214" t="s">
        <v>437</v>
      </c>
      <c r="J1214" t="s">
        <v>87</v>
      </c>
      <c r="K1214">
        <v>-2284.1016139600001</v>
      </c>
      <c r="L1214" t="s">
        <v>427</v>
      </c>
      <c r="M1214" t="s">
        <v>425</v>
      </c>
      <c r="N1214">
        <v>1.4965642882E-3</v>
      </c>
      <c r="O1214">
        <v>3.4183050000000001</v>
      </c>
      <c r="P1214" t="s">
        <v>421</v>
      </c>
      <c r="Q1214">
        <v>1</v>
      </c>
      <c r="V1214">
        <v>1</v>
      </c>
      <c r="W1214">
        <v>1</v>
      </c>
      <c r="X1214">
        <v>1</v>
      </c>
      <c r="Y1214">
        <v>1</v>
      </c>
      <c r="Z1214">
        <v>3.4183050000000001</v>
      </c>
    </row>
    <row r="1215" spans="1:26" x14ac:dyDescent="0.25">
      <c r="A1215">
        <v>86501</v>
      </c>
      <c r="B1215" t="s">
        <v>154</v>
      </c>
      <c r="C1215">
        <v>2019</v>
      </c>
      <c r="D1215">
        <v>1</v>
      </c>
      <c r="E1215" t="s">
        <v>415</v>
      </c>
      <c r="F1215" t="s">
        <v>434</v>
      </c>
      <c r="G1215" t="s">
        <v>435</v>
      </c>
      <c r="H1215" t="s">
        <v>84</v>
      </c>
      <c r="I1215" t="s">
        <v>438</v>
      </c>
      <c r="J1215" t="s">
        <v>59</v>
      </c>
      <c r="K1215">
        <v>-5664.5181365099997</v>
      </c>
      <c r="L1215" t="s">
        <v>89</v>
      </c>
      <c r="M1215" t="s">
        <v>420</v>
      </c>
      <c r="N1215">
        <v>0.26343870574139999</v>
      </c>
      <c r="O1215">
        <v>1492.2533269999999</v>
      </c>
      <c r="P1215" t="s">
        <v>421</v>
      </c>
      <c r="Q1215">
        <v>1</v>
      </c>
      <c r="V1215">
        <v>1</v>
      </c>
      <c r="W1215">
        <v>1</v>
      </c>
      <c r="X1215">
        <v>1</v>
      </c>
      <c r="Y1215">
        <v>1</v>
      </c>
      <c r="Z1215">
        <v>1492.2533269999999</v>
      </c>
    </row>
    <row r="1216" spans="1:26" x14ac:dyDescent="0.25">
      <c r="A1216">
        <v>86502</v>
      </c>
      <c r="B1216" t="s">
        <v>154</v>
      </c>
      <c r="C1216">
        <v>2019</v>
      </c>
      <c r="D1216">
        <v>1</v>
      </c>
      <c r="E1216" t="s">
        <v>415</v>
      </c>
      <c r="F1216" t="s">
        <v>434</v>
      </c>
      <c r="G1216" t="s">
        <v>435</v>
      </c>
      <c r="H1216" t="s">
        <v>84</v>
      </c>
      <c r="I1216" t="s">
        <v>438</v>
      </c>
      <c r="J1216" t="s">
        <v>59</v>
      </c>
      <c r="K1216">
        <v>-5664.5181365099997</v>
      </c>
      <c r="L1216" t="s">
        <v>89</v>
      </c>
      <c r="M1216" t="s">
        <v>422</v>
      </c>
      <c r="N1216">
        <v>7.1262429683470005E-2</v>
      </c>
      <c r="O1216">
        <v>403.66732500000001</v>
      </c>
      <c r="P1216" t="s">
        <v>421</v>
      </c>
      <c r="Q1216">
        <v>1</v>
      </c>
      <c r="V1216">
        <v>1</v>
      </c>
      <c r="W1216">
        <v>1</v>
      </c>
      <c r="X1216">
        <v>1</v>
      </c>
      <c r="Y1216">
        <v>1</v>
      </c>
      <c r="Z1216">
        <v>403.66732500000001</v>
      </c>
    </row>
    <row r="1217" spans="1:26" x14ac:dyDescent="0.25">
      <c r="A1217">
        <v>86503</v>
      </c>
      <c r="B1217" t="s">
        <v>154</v>
      </c>
      <c r="C1217">
        <v>2019</v>
      </c>
      <c r="D1217">
        <v>1</v>
      </c>
      <c r="E1217" t="s">
        <v>415</v>
      </c>
      <c r="F1217" t="s">
        <v>434</v>
      </c>
      <c r="G1217" t="s">
        <v>435</v>
      </c>
      <c r="H1217" t="s">
        <v>84</v>
      </c>
      <c r="I1217" t="s">
        <v>438</v>
      </c>
      <c r="J1217" t="s">
        <v>59</v>
      </c>
      <c r="K1217">
        <v>-5664.5181365099997</v>
      </c>
      <c r="L1217" t="s">
        <v>89</v>
      </c>
      <c r="M1217" t="s">
        <v>423</v>
      </c>
      <c r="N1217">
        <v>0.74738783869542003</v>
      </c>
      <c r="O1217">
        <v>4233.5919670000003</v>
      </c>
      <c r="P1217" t="s">
        <v>421</v>
      </c>
      <c r="Q1217">
        <v>1</v>
      </c>
      <c r="V1217">
        <v>1</v>
      </c>
      <c r="W1217">
        <v>1</v>
      </c>
      <c r="X1217">
        <v>1</v>
      </c>
      <c r="Y1217">
        <v>1</v>
      </c>
      <c r="Z1217">
        <v>4233.5919670000003</v>
      </c>
    </row>
    <row r="1218" spans="1:26" x14ac:dyDescent="0.25">
      <c r="A1218">
        <v>86504</v>
      </c>
      <c r="B1218" t="s">
        <v>154</v>
      </c>
      <c r="C1218">
        <v>2019</v>
      </c>
      <c r="D1218">
        <v>1</v>
      </c>
      <c r="E1218" t="s">
        <v>415</v>
      </c>
      <c r="F1218" t="s">
        <v>434</v>
      </c>
      <c r="G1218" t="s">
        <v>435</v>
      </c>
      <c r="H1218" t="s">
        <v>84</v>
      </c>
      <c r="I1218" t="s">
        <v>438</v>
      </c>
      <c r="J1218" t="s">
        <v>59</v>
      </c>
      <c r="K1218">
        <v>-5664.5181365099997</v>
      </c>
      <c r="L1218" t="s">
        <v>89</v>
      </c>
      <c r="M1218" t="s">
        <v>424</v>
      </c>
      <c r="N1218">
        <v>3.08071516317E-3</v>
      </c>
      <c r="O1218">
        <v>17.450766999999999</v>
      </c>
      <c r="P1218" t="s">
        <v>421</v>
      </c>
      <c r="Q1218">
        <v>1</v>
      </c>
      <c r="V1218">
        <v>1</v>
      </c>
      <c r="W1218">
        <v>1</v>
      </c>
      <c r="X1218">
        <v>1</v>
      </c>
      <c r="Y1218">
        <v>1</v>
      </c>
      <c r="Z1218">
        <v>17.450766999999999</v>
      </c>
    </row>
    <row r="1219" spans="1:26" x14ac:dyDescent="0.25">
      <c r="A1219">
        <v>86505</v>
      </c>
      <c r="B1219" t="s">
        <v>154</v>
      </c>
      <c r="C1219">
        <v>2019</v>
      </c>
      <c r="D1219">
        <v>1</v>
      </c>
      <c r="E1219" t="s">
        <v>415</v>
      </c>
      <c r="F1219" t="s">
        <v>434</v>
      </c>
      <c r="G1219" t="s">
        <v>435</v>
      </c>
      <c r="H1219" t="s">
        <v>84</v>
      </c>
      <c r="I1219" t="s">
        <v>438</v>
      </c>
      <c r="J1219" t="s">
        <v>59</v>
      </c>
      <c r="K1219">
        <v>-5664.5181365099997</v>
      </c>
      <c r="L1219" t="s">
        <v>89</v>
      </c>
      <c r="M1219" t="s">
        <v>425</v>
      </c>
      <c r="N1219">
        <v>2.5360775708E-3</v>
      </c>
      <c r="O1219">
        <v>14.365657000000001</v>
      </c>
      <c r="P1219" t="s">
        <v>421</v>
      </c>
      <c r="Q1219">
        <v>1</v>
      </c>
      <c r="V1219">
        <v>1</v>
      </c>
      <c r="W1219">
        <v>1</v>
      </c>
      <c r="X1219">
        <v>1</v>
      </c>
      <c r="Y1219">
        <v>1</v>
      </c>
      <c r="Z1219">
        <v>14.365657000000001</v>
      </c>
    </row>
    <row r="1220" spans="1:26" x14ac:dyDescent="0.25">
      <c r="A1220">
        <v>141208</v>
      </c>
      <c r="B1220" t="s">
        <v>244</v>
      </c>
      <c r="C1220">
        <v>2020</v>
      </c>
      <c r="D1220">
        <v>1</v>
      </c>
      <c r="E1220" t="s">
        <v>415</v>
      </c>
      <c r="F1220" t="s">
        <v>416</v>
      </c>
      <c r="G1220" t="s">
        <v>417</v>
      </c>
      <c r="H1220" t="s">
        <v>84</v>
      </c>
      <c r="I1220" t="s">
        <v>418</v>
      </c>
      <c r="J1220" t="s">
        <v>419</v>
      </c>
      <c r="K1220">
        <v>-37935.344916479997</v>
      </c>
      <c r="L1220" t="s">
        <v>85</v>
      </c>
      <c r="M1220" t="s">
        <v>420</v>
      </c>
      <c r="N1220">
        <v>0.24824931095561001</v>
      </c>
      <c r="O1220">
        <v>9417.4232360000005</v>
      </c>
      <c r="P1220" t="s">
        <v>421</v>
      </c>
      <c r="Q1220">
        <v>1</v>
      </c>
      <c r="V1220">
        <v>1</v>
      </c>
      <c r="W1220">
        <v>1</v>
      </c>
      <c r="X1220">
        <v>1</v>
      </c>
      <c r="Y1220">
        <v>1</v>
      </c>
      <c r="Z1220">
        <v>9417.4232360000005</v>
      </c>
    </row>
    <row r="1221" spans="1:26" x14ac:dyDescent="0.25">
      <c r="A1221">
        <v>141209</v>
      </c>
      <c r="B1221" t="s">
        <v>244</v>
      </c>
      <c r="C1221">
        <v>2020</v>
      </c>
      <c r="D1221">
        <v>1</v>
      </c>
      <c r="E1221" t="s">
        <v>415</v>
      </c>
      <c r="F1221" t="s">
        <v>416</v>
      </c>
      <c r="G1221" t="s">
        <v>417</v>
      </c>
      <c r="H1221" t="s">
        <v>84</v>
      </c>
      <c r="I1221" t="s">
        <v>418</v>
      </c>
      <c r="J1221" t="s">
        <v>419</v>
      </c>
      <c r="K1221">
        <v>-37935.344916479997</v>
      </c>
      <c r="L1221" t="s">
        <v>85</v>
      </c>
      <c r="M1221" t="s">
        <v>422</v>
      </c>
      <c r="N1221">
        <v>7.7540047892240005E-2</v>
      </c>
      <c r="O1221">
        <v>2941.5084619999998</v>
      </c>
      <c r="P1221" t="s">
        <v>421</v>
      </c>
      <c r="Q1221">
        <v>1</v>
      </c>
      <c r="V1221">
        <v>1</v>
      </c>
      <c r="W1221">
        <v>1</v>
      </c>
      <c r="X1221">
        <v>1</v>
      </c>
      <c r="Y1221">
        <v>1</v>
      </c>
      <c r="Z1221">
        <v>2941.5084619999998</v>
      </c>
    </row>
    <row r="1222" spans="1:26" x14ac:dyDescent="0.25">
      <c r="A1222">
        <v>141210</v>
      </c>
      <c r="B1222" t="s">
        <v>244</v>
      </c>
      <c r="C1222">
        <v>2020</v>
      </c>
      <c r="D1222">
        <v>1</v>
      </c>
      <c r="E1222" t="s">
        <v>415</v>
      </c>
      <c r="F1222" t="s">
        <v>416</v>
      </c>
      <c r="G1222" t="s">
        <v>417</v>
      </c>
      <c r="H1222" t="s">
        <v>84</v>
      </c>
      <c r="I1222" t="s">
        <v>418</v>
      </c>
      <c r="J1222" t="s">
        <v>419</v>
      </c>
      <c r="K1222">
        <v>-37935.344916479997</v>
      </c>
      <c r="L1222" t="s">
        <v>85</v>
      </c>
      <c r="M1222" t="s">
        <v>423</v>
      </c>
      <c r="N1222">
        <v>0.73979703899049998</v>
      </c>
      <c r="O1222">
        <v>28064.455841999999</v>
      </c>
      <c r="P1222" t="s">
        <v>421</v>
      </c>
      <c r="Q1222">
        <v>1</v>
      </c>
      <c r="V1222">
        <v>1</v>
      </c>
      <c r="W1222">
        <v>1</v>
      </c>
      <c r="X1222">
        <v>1</v>
      </c>
      <c r="Y1222">
        <v>1</v>
      </c>
      <c r="Z1222">
        <v>28064.455841999999</v>
      </c>
    </row>
    <row r="1223" spans="1:26" x14ac:dyDescent="0.25">
      <c r="A1223">
        <v>141211</v>
      </c>
      <c r="B1223" t="s">
        <v>244</v>
      </c>
      <c r="C1223">
        <v>2020</v>
      </c>
      <c r="D1223">
        <v>1</v>
      </c>
      <c r="E1223" t="s">
        <v>415</v>
      </c>
      <c r="F1223" t="s">
        <v>416</v>
      </c>
      <c r="G1223" t="s">
        <v>417</v>
      </c>
      <c r="H1223" t="s">
        <v>84</v>
      </c>
      <c r="I1223" t="s">
        <v>418</v>
      </c>
      <c r="J1223" t="s">
        <v>419</v>
      </c>
      <c r="K1223">
        <v>-37935.344916479997</v>
      </c>
      <c r="L1223" t="s">
        <v>85</v>
      </c>
      <c r="M1223" t="s">
        <v>424</v>
      </c>
      <c r="N1223">
        <v>2.9085775596699999E-3</v>
      </c>
      <c r="O1223">
        <v>110.33789299999999</v>
      </c>
      <c r="P1223" t="s">
        <v>421</v>
      </c>
      <c r="Q1223">
        <v>1</v>
      </c>
      <c r="V1223">
        <v>1</v>
      </c>
      <c r="W1223">
        <v>1</v>
      </c>
      <c r="X1223">
        <v>1</v>
      </c>
      <c r="Y1223">
        <v>1</v>
      </c>
      <c r="Z1223">
        <v>110.33789299999999</v>
      </c>
    </row>
    <row r="1224" spans="1:26" x14ac:dyDescent="0.25">
      <c r="A1224">
        <v>141212</v>
      </c>
      <c r="B1224" t="s">
        <v>244</v>
      </c>
      <c r="C1224">
        <v>2020</v>
      </c>
      <c r="D1224">
        <v>1</v>
      </c>
      <c r="E1224" t="s">
        <v>415</v>
      </c>
      <c r="F1224" t="s">
        <v>416</v>
      </c>
      <c r="G1224" t="s">
        <v>417</v>
      </c>
      <c r="H1224" t="s">
        <v>84</v>
      </c>
      <c r="I1224" t="s">
        <v>418</v>
      </c>
      <c r="J1224" t="s">
        <v>419</v>
      </c>
      <c r="K1224">
        <v>-37935.344916479997</v>
      </c>
      <c r="L1224" t="s">
        <v>85</v>
      </c>
      <c r="M1224" t="s">
        <v>425</v>
      </c>
      <c r="N1224">
        <v>2.6170694898000001E-3</v>
      </c>
      <c r="O1224">
        <v>99.279433999999995</v>
      </c>
      <c r="P1224" t="s">
        <v>421</v>
      </c>
      <c r="Q1224">
        <v>1</v>
      </c>
      <c r="V1224">
        <v>1</v>
      </c>
      <c r="W1224">
        <v>1</v>
      </c>
      <c r="X1224">
        <v>1</v>
      </c>
      <c r="Y1224">
        <v>1</v>
      </c>
      <c r="Z1224">
        <v>99.279433999999995</v>
      </c>
    </row>
    <row r="1225" spans="1:26" x14ac:dyDescent="0.25">
      <c r="A1225">
        <v>141213</v>
      </c>
      <c r="B1225" t="s">
        <v>244</v>
      </c>
      <c r="C1225">
        <v>2020</v>
      </c>
      <c r="D1225">
        <v>1</v>
      </c>
      <c r="E1225" t="s">
        <v>415</v>
      </c>
      <c r="F1225" t="s">
        <v>416</v>
      </c>
      <c r="G1225" t="s">
        <v>417</v>
      </c>
      <c r="H1225" t="s">
        <v>84</v>
      </c>
      <c r="I1225" t="s">
        <v>426</v>
      </c>
      <c r="J1225" t="s">
        <v>87</v>
      </c>
      <c r="K1225">
        <v>-7809.6408401999997</v>
      </c>
      <c r="L1225" t="s">
        <v>427</v>
      </c>
      <c r="M1225" t="s">
        <v>420</v>
      </c>
      <c r="N1225">
        <v>0.45523813654234002</v>
      </c>
      <c r="O1225">
        <v>3555.2463429999998</v>
      </c>
      <c r="P1225" t="s">
        <v>421</v>
      </c>
      <c r="Q1225">
        <v>1</v>
      </c>
      <c r="V1225">
        <v>1</v>
      </c>
      <c r="W1225">
        <v>1</v>
      </c>
      <c r="X1225">
        <v>1</v>
      </c>
      <c r="Y1225">
        <v>1</v>
      </c>
      <c r="Z1225">
        <v>3555.2463429999998</v>
      </c>
    </row>
    <row r="1226" spans="1:26" x14ac:dyDescent="0.25">
      <c r="A1226">
        <v>141214</v>
      </c>
      <c r="B1226" t="s">
        <v>244</v>
      </c>
      <c r="C1226">
        <v>2020</v>
      </c>
      <c r="D1226">
        <v>1</v>
      </c>
      <c r="E1226" t="s">
        <v>415</v>
      </c>
      <c r="F1226" t="s">
        <v>416</v>
      </c>
      <c r="G1226" t="s">
        <v>417</v>
      </c>
      <c r="H1226" t="s">
        <v>84</v>
      </c>
      <c r="I1226" t="s">
        <v>426</v>
      </c>
      <c r="J1226" t="s">
        <v>87</v>
      </c>
      <c r="K1226">
        <v>-7809.6408401999997</v>
      </c>
      <c r="L1226" t="s">
        <v>427</v>
      </c>
      <c r="M1226" t="s">
        <v>422</v>
      </c>
      <c r="N1226">
        <v>6.8896616392329996E-2</v>
      </c>
      <c r="O1226">
        <v>538.05782899999997</v>
      </c>
      <c r="P1226" t="s">
        <v>421</v>
      </c>
      <c r="Q1226">
        <v>1</v>
      </c>
      <c r="V1226">
        <v>1</v>
      </c>
      <c r="W1226">
        <v>1</v>
      </c>
      <c r="X1226">
        <v>1</v>
      </c>
      <c r="Y1226">
        <v>1</v>
      </c>
      <c r="Z1226">
        <v>538.05782899999997</v>
      </c>
    </row>
    <row r="1227" spans="1:26" x14ac:dyDescent="0.25">
      <c r="A1227">
        <v>141215</v>
      </c>
      <c r="B1227" t="s">
        <v>244</v>
      </c>
      <c r="C1227">
        <v>2020</v>
      </c>
      <c r="D1227">
        <v>1</v>
      </c>
      <c r="E1227" t="s">
        <v>415</v>
      </c>
      <c r="F1227" t="s">
        <v>416</v>
      </c>
      <c r="G1227" t="s">
        <v>417</v>
      </c>
      <c r="H1227" t="s">
        <v>84</v>
      </c>
      <c r="I1227" t="s">
        <v>426</v>
      </c>
      <c r="J1227" t="s">
        <v>87</v>
      </c>
      <c r="K1227">
        <v>-7809.6408401999997</v>
      </c>
      <c r="L1227" t="s">
        <v>427</v>
      </c>
      <c r="M1227" t="s">
        <v>423</v>
      </c>
      <c r="N1227">
        <v>0.70986919705586005</v>
      </c>
      <c r="O1227">
        <v>5543.8234730000004</v>
      </c>
      <c r="P1227" t="s">
        <v>421</v>
      </c>
      <c r="Q1227">
        <v>1</v>
      </c>
      <c r="V1227">
        <v>1</v>
      </c>
      <c r="W1227">
        <v>1</v>
      </c>
      <c r="X1227">
        <v>1</v>
      </c>
      <c r="Y1227">
        <v>1</v>
      </c>
      <c r="Z1227">
        <v>5543.8234730000004</v>
      </c>
    </row>
    <row r="1228" spans="1:26" x14ac:dyDescent="0.25">
      <c r="A1228">
        <v>141216</v>
      </c>
      <c r="B1228" t="s">
        <v>244</v>
      </c>
      <c r="C1228">
        <v>2020</v>
      </c>
      <c r="D1228">
        <v>1</v>
      </c>
      <c r="E1228" t="s">
        <v>415</v>
      </c>
      <c r="F1228" t="s">
        <v>416</v>
      </c>
      <c r="G1228" t="s">
        <v>417</v>
      </c>
      <c r="H1228" t="s">
        <v>84</v>
      </c>
      <c r="I1228" t="s">
        <v>426</v>
      </c>
      <c r="J1228" t="s">
        <v>87</v>
      </c>
      <c r="K1228">
        <v>-7809.6408401999997</v>
      </c>
      <c r="L1228" t="s">
        <v>427</v>
      </c>
      <c r="M1228" t="s">
        <v>425</v>
      </c>
      <c r="N1228">
        <v>1.4965642882E-3</v>
      </c>
      <c r="O1228">
        <v>11.68763</v>
      </c>
      <c r="P1228" t="s">
        <v>421</v>
      </c>
      <c r="Q1228">
        <v>1</v>
      </c>
      <c r="V1228">
        <v>1</v>
      </c>
      <c r="W1228">
        <v>1</v>
      </c>
      <c r="X1228">
        <v>1</v>
      </c>
      <c r="Y1228">
        <v>1</v>
      </c>
      <c r="Z1228">
        <v>11.68763</v>
      </c>
    </row>
    <row r="1229" spans="1:26" x14ac:dyDescent="0.25">
      <c r="A1229">
        <v>141217</v>
      </c>
      <c r="B1229" t="s">
        <v>244</v>
      </c>
      <c r="C1229">
        <v>2020</v>
      </c>
      <c r="D1229">
        <v>1</v>
      </c>
      <c r="E1229" t="s">
        <v>415</v>
      </c>
      <c r="F1229" t="s">
        <v>416</v>
      </c>
      <c r="G1229" t="s">
        <v>417</v>
      </c>
      <c r="H1229" t="s">
        <v>84</v>
      </c>
      <c r="I1229" t="s">
        <v>428</v>
      </c>
      <c r="J1229" t="s">
        <v>59</v>
      </c>
      <c r="K1229">
        <v>-19998.993255450001</v>
      </c>
      <c r="L1229" t="s">
        <v>89</v>
      </c>
      <c r="M1229" t="s">
        <v>420</v>
      </c>
      <c r="N1229">
        <v>0.26343870574139999</v>
      </c>
      <c r="O1229">
        <v>5268.5088990000004</v>
      </c>
      <c r="P1229" t="s">
        <v>421</v>
      </c>
      <c r="Q1229">
        <v>1</v>
      </c>
      <c r="V1229">
        <v>1</v>
      </c>
      <c r="W1229">
        <v>1</v>
      </c>
      <c r="X1229">
        <v>1</v>
      </c>
      <c r="Y1229">
        <v>1</v>
      </c>
      <c r="Z1229">
        <v>5268.5088990000004</v>
      </c>
    </row>
    <row r="1230" spans="1:26" x14ac:dyDescent="0.25">
      <c r="A1230">
        <v>141218</v>
      </c>
      <c r="B1230" t="s">
        <v>244</v>
      </c>
      <c r="C1230">
        <v>2020</v>
      </c>
      <c r="D1230">
        <v>1</v>
      </c>
      <c r="E1230" t="s">
        <v>415</v>
      </c>
      <c r="F1230" t="s">
        <v>416</v>
      </c>
      <c r="G1230" t="s">
        <v>417</v>
      </c>
      <c r="H1230" t="s">
        <v>84</v>
      </c>
      <c r="I1230" t="s">
        <v>428</v>
      </c>
      <c r="J1230" t="s">
        <v>59</v>
      </c>
      <c r="K1230">
        <v>-19998.993255450001</v>
      </c>
      <c r="L1230" t="s">
        <v>89</v>
      </c>
      <c r="M1230" t="s">
        <v>422</v>
      </c>
      <c r="N1230">
        <v>7.1262429683470005E-2</v>
      </c>
      <c r="O1230">
        <v>1425.1768509999999</v>
      </c>
      <c r="P1230" t="s">
        <v>421</v>
      </c>
      <c r="Q1230">
        <v>1</v>
      </c>
      <c r="V1230">
        <v>1</v>
      </c>
      <c r="W1230">
        <v>1</v>
      </c>
      <c r="X1230">
        <v>1</v>
      </c>
      <c r="Y1230">
        <v>1</v>
      </c>
      <c r="Z1230">
        <v>1425.1768509999999</v>
      </c>
    </row>
    <row r="1231" spans="1:26" x14ac:dyDescent="0.25">
      <c r="A1231">
        <v>141219</v>
      </c>
      <c r="B1231" t="s">
        <v>244</v>
      </c>
      <c r="C1231">
        <v>2020</v>
      </c>
      <c r="D1231">
        <v>1</v>
      </c>
      <c r="E1231" t="s">
        <v>415</v>
      </c>
      <c r="F1231" t="s">
        <v>416</v>
      </c>
      <c r="G1231" t="s">
        <v>417</v>
      </c>
      <c r="H1231" t="s">
        <v>84</v>
      </c>
      <c r="I1231" t="s">
        <v>428</v>
      </c>
      <c r="J1231" t="s">
        <v>59</v>
      </c>
      <c r="K1231">
        <v>-19998.993255450001</v>
      </c>
      <c r="L1231" t="s">
        <v>89</v>
      </c>
      <c r="M1231" t="s">
        <v>423</v>
      </c>
      <c r="N1231">
        <v>0.74738783869542003</v>
      </c>
      <c r="O1231">
        <v>14947.004344999999</v>
      </c>
      <c r="P1231" t="s">
        <v>421</v>
      </c>
      <c r="Q1231">
        <v>1</v>
      </c>
      <c r="V1231">
        <v>1</v>
      </c>
      <c r="W1231">
        <v>1</v>
      </c>
      <c r="X1231">
        <v>1</v>
      </c>
      <c r="Y1231">
        <v>1</v>
      </c>
      <c r="Z1231">
        <v>14947.004344999999</v>
      </c>
    </row>
    <row r="1232" spans="1:26" x14ac:dyDescent="0.25">
      <c r="A1232">
        <v>141220</v>
      </c>
      <c r="B1232" t="s">
        <v>244</v>
      </c>
      <c r="C1232">
        <v>2020</v>
      </c>
      <c r="D1232">
        <v>1</v>
      </c>
      <c r="E1232" t="s">
        <v>415</v>
      </c>
      <c r="F1232" t="s">
        <v>416</v>
      </c>
      <c r="G1232" t="s">
        <v>417</v>
      </c>
      <c r="H1232" t="s">
        <v>84</v>
      </c>
      <c r="I1232" t="s">
        <v>428</v>
      </c>
      <c r="J1232" t="s">
        <v>59</v>
      </c>
      <c r="K1232">
        <v>-19998.993255450001</v>
      </c>
      <c r="L1232" t="s">
        <v>89</v>
      </c>
      <c r="M1232" t="s">
        <v>424</v>
      </c>
      <c r="N1232">
        <v>3.08071516317E-3</v>
      </c>
      <c r="O1232">
        <v>61.611201999999999</v>
      </c>
      <c r="P1232" t="s">
        <v>421</v>
      </c>
      <c r="Q1232">
        <v>1</v>
      </c>
      <c r="V1232">
        <v>1</v>
      </c>
      <c r="W1232">
        <v>1</v>
      </c>
      <c r="X1232">
        <v>1</v>
      </c>
      <c r="Y1232">
        <v>1</v>
      </c>
      <c r="Z1232">
        <v>61.611201999999999</v>
      </c>
    </row>
    <row r="1233" spans="1:26" x14ac:dyDescent="0.25">
      <c r="A1233">
        <v>141221</v>
      </c>
      <c r="B1233" t="s">
        <v>244</v>
      </c>
      <c r="C1233">
        <v>2020</v>
      </c>
      <c r="D1233">
        <v>1</v>
      </c>
      <c r="E1233" t="s">
        <v>415</v>
      </c>
      <c r="F1233" t="s">
        <v>416</v>
      </c>
      <c r="G1233" t="s">
        <v>417</v>
      </c>
      <c r="H1233" t="s">
        <v>84</v>
      </c>
      <c r="I1233" t="s">
        <v>428</v>
      </c>
      <c r="J1233" t="s">
        <v>59</v>
      </c>
      <c r="K1233">
        <v>-19998.993255450001</v>
      </c>
      <c r="L1233" t="s">
        <v>89</v>
      </c>
      <c r="M1233" t="s">
        <v>425</v>
      </c>
      <c r="N1233">
        <v>2.5360775708E-3</v>
      </c>
      <c r="O1233">
        <v>50.718997999999999</v>
      </c>
      <c r="P1233" t="s">
        <v>421</v>
      </c>
      <c r="Q1233">
        <v>1</v>
      </c>
      <c r="V1233">
        <v>1</v>
      </c>
      <c r="W1233">
        <v>1</v>
      </c>
      <c r="X1233">
        <v>1</v>
      </c>
      <c r="Y1233">
        <v>1</v>
      </c>
      <c r="Z1233">
        <v>50.718997999999999</v>
      </c>
    </row>
    <row r="1234" spans="1:26" x14ac:dyDescent="0.25">
      <c r="A1234">
        <v>141222</v>
      </c>
      <c r="B1234" t="s">
        <v>244</v>
      </c>
      <c r="C1234">
        <v>2020</v>
      </c>
      <c r="D1234">
        <v>1</v>
      </c>
      <c r="E1234" t="s">
        <v>415</v>
      </c>
      <c r="F1234" t="s">
        <v>429</v>
      </c>
      <c r="G1234" t="s">
        <v>430</v>
      </c>
      <c r="H1234" t="s">
        <v>84</v>
      </c>
      <c r="I1234" t="s">
        <v>431</v>
      </c>
      <c r="J1234" t="s">
        <v>419</v>
      </c>
      <c r="K1234">
        <v>-53878.760730419999</v>
      </c>
      <c r="L1234" t="s">
        <v>85</v>
      </c>
      <c r="M1234" t="s">
        <v>420</v>
      </c>
      <c r="N1234">
        <v>0.24824931095561001</v>
      </c>
      <c r="O1234">
        <v>13375.365226</v>
      </c>
      <c r="P1234" t="s">
        <v>421</v>
      </c>
      <c r="Q1234">
        <v>1</v>
      </c>
      <c r="V1234">
        <v>1</v>
      </c>
      <c r="W1234">
        <v>1</v>
      </c>
      <c r="X1234">
        <v>1</v>
      </c>
      <c r="Y1234">
        <v>1</v>
      </c>
      <c r="Z1234">
        <v>13375.365226</v>
      </c>
    </row>
    <row r="1235" spans="1:26" x14ac:dyDescent="0.25">
      <c r="A1235">
        <v>141223</v>
      </c>
      <c r="B1235" t="s">
        <v>244</v>
      </c>
      <c r="C1235">
        <v>2020</v>
      </c>
      <c r="D1235">
        <v>1</v>
      </c>
      <c r="E1235" t="s">
        <v>415</v>
      </c>
      <c r="F1235" t="s">
        <v>429</v>
      </c>
      <c r="G1235" t="s">
        <v>430</v>
      </c>
      <c r="H1235" t="s">
        <v>84</v>
      </c>
      <c r="I1235" t="s">
        <v>431</v>
      </c>
      <c r="J1235" t="s">
        <v>419</v>
      </c>
      <c r="K1235">
        <v>-53878.760730419999</v>
      </c>
      <c r="L1235" t="s">
        <v>85</v>
      </c>
      <c r="M1235" t="s">
        <v>422</v>
      </c>
      <c r="N1235">
        <v>7.7540047892240005E-2</v>
      </c>
      <c r="O1235">
        <v>4177.7616870000002</v>
      </c>
      <c r="P1235" t="s">
        <v>421</v>
      </c>
      <c r="Q1235">
        <v>1</v>
      </c>
      <c r="V1235">
        <v>1</v>
      </c>
      <c r="W1235">
        <v>1</v>
      </c>
      <c r="X1235">
        <v>1</v>
      </c>
      <c r="Y1235">
        <v>1</v>
      </c>
      <c r="Z1235">
        <v>4177.7616870000002</v>
      </c>
    </row>
    <row r="1236" spans="1:26" x14ac:dyDescent="0.25">
      <c r="A1236">
        <v>141224</v>
      </c>
      <c r="B1236" t="s">
        <v>244</v>
      </c>
      <c r="C1236">
        <v>2020</v>
      </c>
      <c r="D1236">
        <v>1</v>
      </c>
      <c r="E1236" t="s">
        <v>415</v>
      </c>
      <c r="F1236" t="s">
        <v>429</v>
      </c>
      <c r="G1236" t="s">
        <v>430</v>
      </c>
      <c r="H1236" t="s">
        <v>84</v>
      </c>
      <c r="I1236" t="s">
        <v>431</v>
      </c>
      <c r="J1236" t="s">
        <v>419</v>
      </c>
      <c r="K1236">
        <v>-53878.760730419999</v>
      </c>
      <c r="L1236" t="s">
        <v>85</v>
      </c>
      <c r="M1236" t="s">
        <v>423</v>
      </c>
      <c r="N1236">
        <v>0.73979703899049998</v>
      </c>
      <c r="O1236">
        <v>39859.347652999997</v>
      </c>
      <c r="P1236" t="s">
        <v>421</v>
      </c>
      <c r="Q1236">
        <v>1</v>
      </c>
      <c r="V1236">
        <v>1</v>
      </c>
      <c r="W1236">
        <v>1</v>
      </c>
      <c r="X1236">
        <v>1</v>
      </c>
      <c r="Y1236">
        <v>1</v>
      </c>
      <c r="Z1236">
        <v>39859.347652999997</v>
      </c>
    </row>
    <row r="1237" spans="1:26" x14ac:dyDescent="0.25">
      <c r="A1237">
        <v>141225</v>
      </c>
      <c r="B1237" t="s">
        <v>244</v>
      </c>
      <c r="C1237">
        <v>2020</v>
      </c>
      <c r="D1237">
        <v>1</v>
      </c>
      <c r="E1237" t="s">
        <v>415</v>
      </c>
      <c r="F1237" t="s">
        <v>429</v>
      </c>
      <c r="G1237" t="s">
        <v>430</v>
      </c>
      <c r="H1237" t="s">
        <v>84</v>
      </c>
      <c r="I1237" t="s">
        <v>431</v>
      </c>
      <c r="J1237" t="s">
        <v>419</v>
      </c>
      <c r="K1237">
        <v>-53878.760730419999</v>
      </c>
      <c r="L1237" t="s">
        <v>85</v>
      </c>
      <c r="M1237" t="s">
        <v>424</v>
      </c>
      <c r="N1237">
        <v>2.9085775596699999E-3</v>
      </c>
      <c r="O1237">
        <v>156.710554</v>
      </c>
      <c r="P1237" t="s">
        <v>421</v>
      </c>
      <c r="Q1237">
        <v>1</v>
      </c>
      <c r="V1237">
        <v>1</v>
      </c>
      <c r="W1237">
        <v>1</v>
      </c>
      <c r="X1237">
        <v>1</v>
      </c>
      <c r="Y1237">
        <v>1</v>
      </c>
      <c r="Z1237">
        <v>156.710554</v>
      </c>
    </row>
    <row r="1238" spans="1:26" x14ac:dyDescent="0.25">
      <c r="A1238">
        <v>141226</v>
      </c>
      <c r="B1238" t="s">
        <v>244</v>
      </c>
      <c r="C1238">
        <v>2020</v>
      </c>
      <c r="D1238">
        <v>1</v>
      </c>
      <c r="E1238" t="s">
        <v>415</v>
      </c>
      <c r="F1238" t="s">
        <v>429</v>
      </c>
      <c r="G1238" t="s">
        <v>430</v>
      </c>
      <c r="H1238" t="s">
        <v>84</v>
      </c>
      <c r="I1238" t="s">
        <v>431</v>
      </c>
      <c r="J1238" t="s">
        <v>419</v>
      </c>
      <c r="K1238">
        <v>-53878.760730419999</v>
      </c>
      <c r="L1238" t="s">
        <v>85</v>
      </c>
      <c r="M1238" t="s">
        <v>425</v>
      </c>
      <c r="N1238">
        <v>2.6170694898000001E-3</v>
      </c>
      <c r="O1238">
        <v>141.00446099999999</v>
      </c>
      <c r="P1238" t="s">
        <v>421</v>
      </c>
      <c r="Q1238">
        <v>1</v>
      </c>
      <c r="V1238">
        <v>1</v>
      </c>
      <c r="W1238">
        <v>1</v>
      </c>
      <c r="X1238">
        <v>1</v>
      </c>
      <c r="Y1238">
        <v>1</v>
      </c>
      <c r="Z1238">
        <v>141.00446099999999</v>
      </c>
    </row>
    <row r="1239" spans="1:26" x14ac:dyDescent="0.25">
      <c r="A1239">
        <v>141227</v>
      </c>
      <c r="B1239" t="s">
        <v>244</v>
      </c>
      <c r="C1239">
        <v>2020</v>
      </c>
      <c r="D1239">
        <v>1</v>
      </c>
      <c r="E1239" t="s">
        <v>415</v>
      </c>
      <c r="F1239" t="s">
        <v>429</v>
      </c>
      <c r="G1239" t="s">
        <v>430</v>
      </c>
      <c r="H1239" t="s">
        <v>84</v>
      </c>
      <c r="I1239" t="s">
        <v>432</v>
      </c>
      <c r="J1239" t="s">
        <v>87</v>
      </c>
      <c r="K1239">
        <v>-10863.032183470001</v>
      </c>
      <c r="L1239" t="s">
        <v>427</v>
      </c>
      <c r="M1239" t="s">
        <v>420</v>
      </c>
      <c r="N1239">
        <v>0.45523813654234002</v>
      </c>
      <c r="O1239">
        <v>4945.2665280000001</v>
      </c>
      <c r="P1239" t="s">
        <v>421</v>
      </c>
      <c r="Q1239">
        <v>1</v>
      </c>
      <c r="V1239">
        <v>1</v>
      </c>
      <c r="W1239">
        <v>1</v>
      </c>
      <c r="X1239">
        <v>1</v>
      </c>
      <c r="Y1239">
        <v>1</v>
      </c>
      <c r="Z1239">
        <v>4945.2665280000001</v>
      </c>
    </row>
    <row r="1240" spans="1:26" x14ac:dyDescent="0.25">
      <c r="A1240">
        <v>141228</v>
      </c>
      <c r="B1240" t="s">
        <v>244</v>
      </c>
      <c r="C1240">
        <v>2020</v>
      </c>
      <c r="D1240">
        <v>1</v>
      </c>
      <c r="E1240" t="s">
        <v>415</v>
      </c>
      <c r="F1240" t="s">
        <v>429</v>
      </c>
      <c r="G1240" t="s">
        <v>430</v>
      </c>
      <c r="H1240" t="s">
        <v>84</v>
      </c>
      <c r="I1240" t="s">
        <v>432</v>
      </c>
      <c r="J1240" t="s">
        <v>87</v>
      </c>
      <c r="K1240">
        <v>-10863.032183470001</v>
      </c>
      <c r="L1240" t="s">
        <v>427</v>
      </c>
      <c r="M1240" t="s">
        <v>422</v>
      </c>
      <c r="N1240">
        <v>6.8896616392329996E-2</v>
      </c>
      <c r="O1240">
        <v>748.42616099999998</v>
      </c>
      <c r="P1240" t="s">
        <v>421</v>
      </c>
      <c r="Q1240">
        <v>1</v>
      </c>
      <c r="V1240">
        <v>1</v>
      </c>
      <c r="W1240">
        <v>1</v>
      </c>
      <c r="X1240">
        <v>1</v>
      </c>
      <c r="Y1240">
        <v>1</v>
      </c>
      <c r="Z1240">
        <v>748.42616099999998</v>
      </c>
    </row>
    <row r="1241" spans="1:26" x14ac:dyDescent="0.25">
      <c r="A1241">
        <v>141229</v>
      </c>
      <c r="B1241" t="s">
        <v>244</v>
      </c>
      <c r="C1241">
        <v>2020</v>
      </c>
      <c r="D1241">
        <v>1</v>
      </c>
      <c r="E1241" t="s">
        <v>415</v>
      </c>
      <c r="F1241" t="s">
        <v>429</v>
      </c>
      <c r="G1241" t="s">
        <v>430</v>
      </c>
      <c r="H1241" t="s">
        <v>84</v>
      </c>
      <c r="I1241" t="s">
        <v>432</v>
      </c>
      <c r="J1241" t="s">
        <v>87</v>
      </c>
      <c r="K1241">
        <v>-10863.032183470001</v>
      </c>
      <c r="L1241" t="s">
        <v>427</v>
      </c>
      <c r="M1241" t="s">
        <v>423</v>
      </c>
      <c r="N1241">
        <v>0.70986919705586005</v>
      </c>
      <c r="O1241">
        <v>7711.3319339999998</v>
      </c>
      <c r="P1241" t="s">
        <v>421</v>
      </c>
      <c r="Q1241">
        <v>1</v>
      </c>
      <c r="V1241">
        <v>1</v>
      </c>
      <c r="W1241">
        <v>1</v>
      </c>
      <c r="X1241">
        <v>1</v>
      </c>
      <c r="Y1241">
        <v>1</v>
      </c>
      <c r="Z1241">
        <v>7711.3319339999998</v>
      </c>
    </row>
    <row r="1242" spans="1:26" x14ac:dyDescent="0.25">
      <c r="A1242">
        <v>141230</v>
      </c>
      <c r="B1242" t="s">
        <v>244</v>
      </c>
      <c r="C1242">
        <v>2020</v>
      </c>
      <c r="D1242">
        <v>1</v>
      </c>
      <c r="E1242" t="s">
        <v>415</v>
      </c>
      <c r="F1242" t="s">
        <v>429</v>
      </c>
      <c r="G1242" t="s">
        <v>430</v>
      </c>
      <c r="H1242" t="s">
        <v>84</v>
      </c>
      <c r="I1242" t="s">
        <v>432</v>
      </c>
      <c r="J1242" t="s">
        <v>87</v>
      </c>
      <c r="K1242">
        <v>-10863.032183470001</v>
      </c>
      <c r="L1242" t="s">
        <v>427</v>
      </c>
      <c r="M1242" t="s">
        <v>425</v>
      </c>
      <c r="N1242">
        <v>1.4965642882E-3</v>
      </c>
      <c r="O1242">
        <v>16.257225999999999</v>
      </c>
      <c r="P1242" t="s">
        <v>421</v>
      </c>
      <c r="Q1242">
        <v>1</v>
      </c>
      <c r="V1242">
        <v>1</v>
      </c>
      <c r="W1242">
        <v>1</v>
      </c>
      <c r="X1242">
        <v>1</v>
      </c>
      <c r="Y1242">
        <v>1</v>
      </c>
      <c r="Z1242">
        <v>16.257225999999999</v>
      </c>
    </row>
    <row r="1243" spans="1:26" x14ac:dyDescent="0.25">
      <c r="A1243">
        <v>141231</v>
      </c>
      <c r="B1243" t="s">
        <v>244</v>
      </c>
      <c r="C1243">
        <v>2020</v>
      </c>
      <c r="D1243">
        <v>1</v>
      </c>
      <c r="E1243" t="s">
        <v>415</v>
      </c>
      <c r="F1243" t="s">
        <v>429</v>
      </c>
      <c r="G1243" t="s">
        <v>430</v>
      </c>
      <c r="H1243" t="s">
        <v>84</v>
      </c>
      <c r="I1243" t="s">
        <v>433</v>
      </c>
      <c r="J1243" t="s">
        <v>59</v>
      </c>
      <c r="K1243">
        <v>-26723.381619899999</v>
      </c>
      <c r="L1243" t="s">
        <v>89</v>
      </c>
      <c r="M1243" t="s">
        <v>420</v>
      </c>
      <c r="N1243">
        <v>0.26343870574139999</v>
      </c>
      <c r="O1243">
        <v>7039.9730669999999</v>
      </c>
      <c r="P1243" t="s">
        <v>421</v>
      </c>
      <c r="Q1243">
        <v>1</v>
      </c>
      <c r="V1243">
        <v>1</v>
      </c>
      <c r="W1243">
        <v>1</v>
      </c>
      <c r="X1243">
        <v>1</v>
      </c>
      <c r="Y1243">
        <v>1</v>
      </c>
      <c r="Z1243">
        <v>7039.9730669999999</v>
      </c>
    </row>
    <row r="1244" spans="1:26" x14ac:dyDescent="0.25">
      <c r="A1244">
        <v>141232</v>
      </c>
      <c r="B1244" t="s">
        <v>244</v>
      </c>
      <c r="C1244">
        <v>2020</v>
      </c>
      <c r="D1244">
        <v>1</v>
      </c>
      <c r="E1244" t="s">
        <v>415</v>
      </c>
      <c r="F1244" t="s">
        <v>429</v>
      </c>
      <c r="G1244" t="s">
        <v>430</v>
      </c>
      <c r="H1244" t="s">
        <v>84</v>
      </c>
      <c r="I1244" t="s">
        <v>433</v>
      </c>
      <c r="J1244" t="s">
        <v>59</v>
      </c>
      <c r="K1244">
        <v>-26723.381619899999</v>
      </c>
      <c r="L1244" t="s">
        <v>89</v>
      </c>
      <c r="M1244" t="s">
        <v>422</v>
      </c>
      <c r="N1244">
        <v>7.1262429683470005E-2</v>
      </c>
      <c r="O1244">
        <v>1904.373104</v>
      </c>
      <c r="P1244" t="s">
        <v>421</v>
      </c>
      <c r="Q1244">
        <v>1</v>
      </c>
      <c r="V1244">
        <v>1</v>
      </c>
      <c r="W1244">
        <v>1</v>
      </c>
      <c r="X1244">
        <v>1</v>
      </c>
      <c r="Y1244">
        <v>1</v>
      </c>
      <c r="Z1244">
        <v>1904.373104</v>
      </c>
    </row>
    <row r="1245" spans="1:26" x14ac:dyDescent="0.25">
      <c r="A1245">
        <v>141233</v>
      </c>
      <c r="B1245" t="s">
        <v>244</v>
      </c>
      <c r="C1245">
        <v>2020</v>
      </c>
      <c r="D1245">
        <v>1</v>
      </c>
      <c r="E1245" t="s">
        <v>415</v>
      </c>
      <c r="F1245" t="s">
        <v>429</v>
      </c>
      <c r="G1245" t="s">
        <v>430</v>
      </c>
      <c r="H1245" t="s">
        <v>84</v>
      </c>
      <c r="I1245" t="s">
        <v>433</v>
      </c>
      <c r="J1245" t="s">
        <v>59</v>
      </c>
      <c r="K1245">
        <v>-26723.381619899999</v>
      </c>
      <c r="L1245" t="s">
        <v>89</v>
      </c>
      <c r="M1245" t="s">
        <v>423</v>
      </c>
      <c r="N1245">
        <v>0.74738783869542003</v>
      </c>
      <c r="O1245">
        <v>19972.730432</v>
      </c>
      <c r="P1245" t="s">
        <v>421</v>
      </c>
      <c r="Q1245">
        <v>1</v>
      </c>
      <c r="V1245">
        <v>1</v>
      </c>
      <c r="W1245">
        <v>1</v>
      </c>
      <c r="X1245">
        <v>1</v>
      </c>
      <c r="Y1245">
        <v>1</v>
      </c>
      <c r="Z1245">
        <v>19972.730432</v>
      </c>
    </row>
    <row r="1246" spans="1:26" x14ac:dyDescent="0.25">
      <c r="A1246">
        <v>141234</v>
      </c>
      <c r="B1246" t="s">
        <v>244</v>
      </c>
      <c r="C1246">
        <v>2020</v>
      </c>
      <c r="D1246">
        <v>1</v>
      </c>
      <c r="E1246" t="s">
        <v>415</v>
      </c>
      <c r="F1246" t="s">
        <v>429</v>
      </c>
      <c r="G1246" t="s">
        <v>430</v>
      </c>
      <c r="H1246" t="s">
        <v>84</v>
      </c>
      <c r="I1246" t="s">
        <v>433</v>
      </c>
      <c r="J1246" t="s">
        <v>59</v>
      </c>
      <c r="K1246">
        <v>-26723.381619899999</v>
      </c>
      <c r="L1246" t="s">
        <v>89</v>
      </c>
      <c r="M1246" t="s">
        <v>424</v>
      </c>
      <c r="N1246">
        <v>3.08071516317E-3</v>
      </c>
      <c r="O1246">
        <v>82.327127000000004</v>
      </c>
      <c r="P1246" t="s">
        <v>421</v>
      </c>
      <c r="Q1246">
        <v>1</v>
      </c>
      <c r="V1246">
        <v>1</v>
      </c>
      <c r="W1246">
        <v>1</v>
      </c>
      <c r="X1246">
        <v>1</v>
      </c>
      <c r="Y1246">
        <v>1</v>
      </c>
      <c r="Z1246">
        <v>82.327127000000004</v>
      </c>
    </row>
    <row r="1247" spans="1:26" x14ac:dyDescent="0.25">
      <c r="A1247">
        <v>141235</v>
      </c>
      <c r="B1247" t="s">
        <v>244</v>
      </c>
      <c r="C1247">
        <v>2020</v>
      </c>
      <c r="D1247">
        <v>1</v>
      </c>
      <c r="E1247" t="s">
        <v>415</v>
      </c>
      <c r="F1247" t="s">
        <v>429</v>
      </c>
      <c r="G1247" t="s">
        <v>430</v>
      </c>
      <c r="H1247" t="s">
        <v>84</v>
      </c>
      <c r="I1247" t="s">
        <v>433</v>
      </c>
      <c r="J1247" t="s">
        <v>59</v>
      </c>
      <c r="K1247">
        <v>-26723.381619899999</v>
      </c>
      <c r="L1247" t="s">
        <v>89</v>
      </c>
      <c r="M1247" t="s">
        <v>425</v>
      </c>
      <c r="N1247">
        <v>2.5360775708E-3</v>
      </c>
      <c r="O1247">
        <v>67.772569000000004</v>
      </c>
      <c r="P1247" t="s">
        <v>421</v>
      </c>
      <c r="Q1247">
        <v>1</v>
      </c>
      <c r="V1247">
        <v>1</v>
      </c>
      <c r="W1247">
        <v>1</v>
      </c>
      <c r="X1247">
        <v>1</v>
      </c>
      <c r="Y1247">
        <v>1</v>
      </c>
      <c r="Z1247">
        <v>67.772569000000004</v>
      </c>
    </row>
    <row r="1248" spans="1:26" x14ac:dyDescent="0.25">
      <c r="A1248">
        <v>141236</v>
      </c>
      <c r="B1248" t="s">
        <v>244</v>
      </c>
      <c r="C1248">
        <v>2020</v>
      </c>
      <c r="D1248">
        <v>1</v>
      </c>
      <c r="E1248" t="s">
        <v>415</v>
      </c>
      <c r="F1248" t="s">
        <v>434</v>
      </c>
      <c r="G1248" t="s">
        <v>435</v>
      </c>
      <c r="H1248" t="s">
        <v>84</v>
      </c>
      <c r="I1248" t="s">
        <v>436</v>
      </c>
      <c r="J1248" t="s">
        <v>419</v>
      </c>
      <c r="K1248">
        <v>-28504.763543149998</v>
      </c>
      <c r="L1248" t="s">
        <v>85</v>
      </c>
      <c r="M1248" t="s">
        <v>420</v>
      </c>
      <c r="N1248">
        <v>0.24824931095561001</v>
      </c>
      <c r="O1248">
        <v>7076.2879089999997</v>
      </c>
      <c r="P1248" t="s">
        <v>421</v>
      </c>
      <c r="Q1248">
        <v>1</v>
      </c>
      <c r="V1248">
        <v>1</v>
      </c>
      <c r="W1248">
        <v>1</v>
      </c>
      <c r="X1248">
        <v>1</v>
      </c>
      <c r="Y1248">
        <v>1</v>
      </c>
      <c r="Z1248">
        <v>7076.2879089999997</v>
      </c>
    </row>
    <row r="1249" spans="1:26" x14ac:dyDescent="0.25">
      <c r="A1249">
        <v>141237</v>
      </c>
      <c r="B1249" t="s">
        <v>244</v>
      </c>
      <c r="C1249">
        <v>2020</v>
      </c>
      <c r="D1249">
        <v>1</v>
      </c>
      <c r="E1249" t="s">
        <v>415</v>
      </c>
      <c r="F1249" t="s">
        <v>434</v>
      </c>
      <c r="G1249" t="s">
        <v>435</v>
      </c>
      <c r="H1249" t="s">
        <v>84</v>
      </c>
      <c r="I1249" t="s">
        <v>436</v>
      </c>
      <c r="J1249" t="s">
        <v>419</v>
      </c>
      <c r="K1249">
        <v>-28504.763543149998</v>
      </c>
      <c r="L1249" t="s">
        <v>85</v>
      </c>
      <c r="M1249" t="s">
        <v>422</v>
      </c>
      <c r="N1249">
        <v>7.7540047892240005E-2</v>
      </c>
      <c r="O1249">
        <v>2210.26073</v>
      </c>
      <c r="P1249" t="s">
        <v>421</v>
      </c>
      <c r="Q1249">
        <v>1</v>
      </c>
      <c r="V1249">
        <v>1</v>
      </c>
      <c r="W1249">
        <v>1</v>
      </c>
      <c r="X1249">
        <v>1</v>
      </c>
      <c r="Y1249">
        <v>1</v>
      </c>
      <c r="Z1249">
        <v>2210.26073</v>
      </c>
    </row>
    <row r="1250" spans="1:26" x14ac:dyDescent="0.25">
      <c r="A1250">
        <v>141238</v>
      </c>
      <c r="B1250" t="s">
        <v>244</v>
      </c>
      <c r="C1250">
        <v>2020</v>
      </c>
      <c r="D1250">
        <v>1</v>
      </c>
      <c r="E1250" t="s">
        <v>415</v>
      </c>
      <c r="F1250" t="s">
        <v>434</v>
      </c>
      <c r="G1250" t="s">
        <v>435</v>
      </c>
      <c r="H1250" t="s">
        <v>84</v>
      </c>
      <c r="I1250" t="s">
        <v>436</v>
      </c>
      <c r="J1250" t="s">
        <v>419</v>
      </c>
      <c r="K1250">
        <v>-28504.763543149998</v>
      </c>
      <c r="L1250" t="s">
        <v>85</v>
      </c>
      <c r="M1250" t="s">
        <v>423</v>
      </c>
      <c r="N1250">
        <v>0.73979703899049998</v>
      </c>
      <c r="O1250">
        <v>21087.739666000001</v>
      </c>
      <c r="P1250" t="s">
        <v>421</v>
      </c>
      <c r="Q1250">
        <v>1</v>
      </c>
      <c r="V1250">
        <v>1</v>
      </c>
      <c r="W1250">
        <v>1</v>
      </c>
      <c r="X1250">
        <v>1</v>
      </c>
      <c r="Y1250">
        <v>1</v>
      </c>
      <c r="Z1250">
        <v>21087.739666000001</v>
      </c>
    </row>
    <row r="1251" spans="1:26" x14ac:dyDescent="0.25">
      <c r="A1251">
        <v>141239</v>
      </c>
      <c r="B1251" t="s">
        <v>244</v>
      </c>
      <c r="C1251">
        <v>2020</v>
      </c>
      <c r="D1251">
        <v>1</v>
      </c>
      <c r="E1251" t="s">
        <v>415</v>
      </c>
      <c r="F1251" t="s">
        <v>434</v>
      </c>
      <c r="G1251" t="s">
        <v>435</v>
      </c>
      <c r="H1251" t="s">
        <v>84</v>
      </c>
      <c r="I1251" t="s">
        <v>436</v>
      </c>
      <c r="J1251" t="s">
        <v>419</v>
      </c>
      <c r="K1251">
        <v>-28504.763543149998</v>
      </c>
      <c r="L1251" t="s">
        <v>85</v>
      </c>
      <c r="M1251" t="s">
        <v>424</v>
      </c>
      <c r="N1251">
        <v>2.9085775596699999E-3</v>
      </c>
      <c r="O1251">
        <v>82.908315999999999</v>
      </c>
      <c r="P1251" t="s">
        <v>421</v>
      </c>
      <c r="Q1251">
        <v>1</v>
      </c>
      <c r="V1251">
        <v>1</v>
      </c>
      <c r="W1251">
        <v>1</v>
      </c>
      <c r="X1251">
        <v>1</v>
      </c>
      <c r="Y1251">
        <v>1</v>
      </c>
      <c r="Z1251">
        <v>82.908315999999999</v>
      </c>
    </row>
    <row r="1252" spans="1:26" x14ac:dyDescent="0.25">
      <c r="A1252">
        <v>141240</v>
      </c>
      <c r="B1252" t="s">
        <v>244</v>
      </c>
      <c r="C1252">
        <v>2020</v>
      </c>
      <c r="D1252">
        <v>1</v>
      </c>
      <c r="E1252" t="s">
        <v>415</v>
      </c>
      <c r="F1252" t="s">
        <v>434</v>
      </c>
      <c r="G1252" t="s">
        <v>435</v>
      </c>
      <c r="H1252" t="s">
        <v>84</v>
      </c>
      <c r="I1252" t="s">
        <v>436</v>
      </c>
      <c r="J1252" t="s">
        <v>419</v>
      </c>
      <c r="K1252">
        <v>-28504.763543149998</v>
      </c>
      <c r="L1252" t="s">
        <v>85</v>
      </c>
      <c r="M1252" t="s">
        <v>425</v>
      </c>
      <c r="N1252">
        <v>2.6170694898000001E-3</v>
      </c>
      <c r="O1252">
        <v>74.598946999999995</v>
      </c>
      <c r="P1252" t="s">
        <v>421</v>
      </c>
      <c r="Q1252">
        <v>1</v>
      </c>
      <c r="V1252">
        <v>1</v>
      </c>
      <c r="W1252">
        <v>1</v>
      </c>
      <c r="X1252">
        <v>1</v>
      </c>
      <c r="Y1252">
        <v>1</v>
      </c>
      <c r="Z1252">
        <v>74.598946999999995</v>
      </c>
    </row>
    <row r="1253" spans="1:26" x14ac:dyDescent="0.25">
      <c r="A1253">
        <v>141241</v>
      </c>
      <c r="B1253" t="s">
        <v>244</v>
      </c>
      <c r="C1253">
        <v>2020</v>
      </c>
      <c r="D1253">
        <v>1</v>
      </c>
      <c r="E1253" t="s">
        <v>415</v>
      </c>
      <c r="F1253" t="s">
        <v>434</v>
      </c>
      <c r="G1253" t="s">
        <v>435</v>
      </c>
      <c r="H1253" t="s">
        <v>84</v>
      </c>
      <c r="I1253" t="s">
        <v>437</v>
      </c>
      <c r="J1253" t="s">
        <v>87</v>
      </c>
      <c r="K1253">
        <v>-5360.2018055899998</v>
      </c>
      <c r="L1253" t="s">
        <v>427</v>
      </c>
      <c r="M1253" t="s">
        <v>420</v>
      </c>
      <c r="N1253">
        <v>0.45523813654234002</v>
      </c>
      <c r="O1253">
        <v>2440.1682810000002</v>
      </c>
      <c r="P1253" t="s">
        <v>421</v>
      </c>
      <c r="Q1253">
        <v>1</v>
      </c>
      <c r="V1253">
        <v>1</v>
      </c>
      <c r="W1253">
        <v>1</v>
      </c>
      <c r="X1253">
        <v>1</v>
      </c>
      <c r="Y1253">
        <v>1</v>
      </c>
      <c r="Z1253">
        <v>2440.1682810000002</v>
      </c>
    </row>
    <row r="1254" spans="1:26" x14ac:dyDescent="0.25">
      <c r="A1254">
        <v>141242</v>
      </c>
      <c r="B1254" t="s">
        <v>244</v>
      </c>
      <c r="C1254">
        <v>2020</v>
      </c>
      <c r="D1254">
        <v>1</v>
      </c>
      <c r="E1254" t="s">
        <v>415</v>
      </c>
      <c r="F1254" t="s">
        <v>434</v>
      </c>
      <c r="G1254" t="s">
        <v>435</v>
      </c>
      <c r="H1254" t="s">
        <v>84</v>
      </c>
      <c r="I1254" t="s">
        <v>437</v>
      </c>
      <c r="J1254" t="s">
        <v>87</v>
      </c>
      <c r="K1254">
        <v>-5360.2018055899998</v>
      </c>
      <c r="L1254" t="s">
        <v>427</v>
      </c>
      <c r="M1254" t="s">
        <v>422</v>
      </c>
      <c r="N1254">
        <v>6.8896616392329996E-2</v>
      </c>
      <c r="O1254">
        <v>369.29976799999997</v>
      </c>
      <c r="P1254" t="s">
        <v>421</v>
      </c>
      <c r="Q1254">
        <v>1</v>
      </c>
      <c r="V1254">
        <v>1</v>
      </c>
      <c r="W1254">
        <v>1</v>
      </c>
      <c r="X1254">
        <v>1</v>
      </c>
      <c r="Y1254">
        <v>1</v>
      </c>
      <c r="Z1254">
        <v>369.29976799999997</v>
      </c>
    </row>
    <row r="1255" spans="1:26" x14ac:dyDescent="0.25">
      <c r="A1255">
        <v>141243</v>
      </c>
      <c r="B1255" t="s">
        <v>244</v>
      </c>
      <c r="C1255">
        <v>2020</v>
      </c>
      <c r="D1255">
        <v>1</v>
      </c>
      <c r="E1255" t="s">
        <v>415</v>
      </c>
      <c r="F1255" t="s">
        <v>434</v>
      </c>
      <c r="G1255" t="s">
        <v>435</v>
      </c>
      <c r="H1255" t="s">
        <v>84</v>
      </c>
      <c r="I1255" t="s">
        <v>437</v>
      </c>
      <c r="J1255" t="s">
        <v>87</v>
      </c>
      <c r="K1255">
        <v>-5360.2018055899998</v>
      </c>
      <c r="L1255" t="s">
        <v>427</v>
      </c>
      <c r="M1255" t="s">
        <v>423</v>
      </c>
      <c r="N1255">
        <v>0.70986919705586005</v>
      </c>
      <c r="O1255">
        <v>3805.042152</v>
      </c>
      <c r="P1255" t="s">
        <v>421</v>
      </c>
      <c r="Q1255">
        <v>1</v>
      </c>
      <c r="V1255">
        <v>1</v>
      </c>
      <c r="W1255">
        <v>1</v>
      </c>
      <c r="X1255">
        <v>1</v>
      </c>
      <c r="Y1255">
        <v>1</v>
      </c>
      <c r="Z1255">
        <v>3805.042152</v>
      </c>
    </row>
    <row r="1256" spans="1:26" x14ac:dyDescent="0.25">
      <c r="A1256">
        <v>141244</v>
      </c>
      <c r="B1256" t="s">
        <v>244</v>
      </c>
      <c r="C1256">
        <v>2020</v>
      </c>
      <c r="D1256">
        <v>1</v>
      </c>
      <c r="E1256" t="s">
        <v>415</v>
      </c>
      <c r="F1256" t="s">
        <v>434</v>
      </c>
      <c r="G1256" t="s">
        <v>435</v>
      </c>
      <c r="H1256" t="s">
        <v>84</v>
      </c>
      <c r="I1256" t="s">
        <v>437</v>
      </c>
      <c r="J1256" t="s">
        <v>87</v>
      </c>
      <c r="K1256">
        <v>-5360.2018055899998</v>
      </c>
      <c r="L1256" t="s">
        <v>427</v>
      </c>
      <c r="M1256" t="s">
        <v>425</v>
      </c>
      <c r="N1256">
        <v>1.4965642882E-3</v>
      </c>
      <c r="O1256">
        <v>8.0218869999999995</v>
      </c>
      <c r="P1256" t="s">
        <v>421</v>
      </c>
      <c r="Q1256">
        <v>1</v>
      </c>
      <c r="V1256">
        <v>1</v>
      </c>
      <c r="W1256">
        <v>1</v>
      </c>
      <c r="X1256">
        <v>1</v>
      </c>
      <c r="Y1256">
        <v>1</v>
      </c>
      <c r="Z1256">
        <v>8.0218869999999995</v>
      </c>
    </row>
    <row r="1257" spans="1:26" x14ac:dyDescent="0.25">
      <c r="A1257">
        <v>141245</v>
      </c>
      <c r="B1257" t="s">
        <v>244</v>
      </c>
      <c r="C1257">
        <v>2020</v>
      </c>
      <c r="D1257">
        <v>1</v>
      </c>
      <c r="E1257" t="s">
        <v>415</v>
      </c>
      <c r="F1257" t="s">
        <v>434</v>
      </c>
      <c r="G1257" t="s">
        <v>435</v>
      </c>
      <c r="H1257" t="s">
        <v>84</v>
      </c>
      <c r="I1257" t="s">
        <v>438</v>
      </c>
      <c r="J1257" t="s">
        <v>59</v>
      </c>
      <c r="K1257">
        <v>-14326.757922889999</v>
      </c>
      <c r="L1257" t="s">
        <v>89</v>
      </c>
      <c r="M1257" t="s">
        <v>420</v>
      </c>
      <c r="N1257">
        <v>0.26343870574139999</v>
      </c>
      <c r="O1257">
        <v>3774.222565</v>
      </c>
      <c r="P1257" t="s">
        <v>421</v>
      </c>
      <c r="Q1257">
        <v>1</v>
      </c>
      <c r="V1257">
        <v>1</v>
      </c>
      <c r="W1257">
        <v>1</v>
      </c>
      <c r="X1257">
        <v>1</v>
      </c>
      <c r="Y1257">
        <v>1</v>
      </c>
      <c r="Z1257">
        <v>3774.222565</v>
      </c>
    </row>
    <row r="1258" spans="1:26" x14ac:dyDescent="0.25">
      <c r="A1258">
        <v>141246</v>
      </c>
      <c r="B1258" t="s">
        <v>244</v>
      </c>
      <c r="C1258">
        <v>2020</v>
      </c>
      <c r="D1258">
        <v>1</v>
      </c>
      <c r="E1258" t="s">
        <v>415</v>
      </c>
      <c r="F1258" t="s">
        <v>434</v>
      </c>
      <c r="G1258" t="s">
        <v>435</v>
      </c>
      <c r="H1258" t="s">
        <v>84</v>
      </c>
      <c r="I1258" t="s">
        <v>438</v>
      </c>
      <c r="J1258" t="s">
        <v>59</v>
      </c>
      <c r="K1258">
        <v>-14326.757922889999</v>
      </c>
      <c r="L1258" t="s">
        <v>89</v>
      </c>
      <c r="M1258" t="s">
        <v>422</v>
      </c>
      <c r="N1258">
        <v>7.1262429683470005E-2</v>
      </c>
      <c r="O1258">
        <v>1020.959579</v>
      </c>
      <c r="P1258" t="s">
        <v>421</v>
      </c>
      <c r="Q1258">
        <v>1</v>
      </c>
      <c r="V1258">
        <v>1</v>
      </c>
      <c r="W1258">
        <v>1</v>
      </c>
      <c r="X1258">
        <v>1</v>
      </c>
      <c r="Y1258">
        <v>1</v>
      </c>
      <c r="Z1258">
        <v>1020.959579</v>
      </c>
    </row>
    <row r="1259" spans="1:26" x14ac:dyDescent="0.25">
      <c r="A1259">
        <v>141247</v>
      </c>
      <c r="B1259" t="s">
        <v>244</v>
      </c>
      <c r="C1259">
        <v>2020</v>
      </c>
      <c r="D1259">
        <v>1</v>
      </c>
      <c r="E1259" t="s">
        <v>415</v>
      </c>
      <c r="F1259" t="s">
        <v>434</v>
      </c>
      <c r="G1259" t="s">
        <v>435</v>
      </c>
      <c r="H1259" t="s">
        <v>84</v>
      </c>
      <c r="I1259" t="s">
        <v>438</v>
      </c>
      <c r="J1259" t="s">
        <v>59</v>
      </c>
      <c r="K1259">
        <v>-14326.757922889999</v>
      </c>
      <c r="L1259" t="s">
        <v>89</v>
      </c>
      <c r="M1259" t="s">
        <v>423</v>
      </c>
      <c r="N1259">
        <v>0.74738783869542003</v>
      </c>
      <c r="O1259">
        <v>10707.64464</v>
      </c>
      <c r="P1259" t="s">
        <v>421</v>
      </c>
      <c r="Q1259">
        <v>1</v>
      </c>
      <c r="V1259">
        <v>1</v>
      </c>
      <c r="W1259">
        <v>1</v>
      </c>
      <c r="X1259">
        <v>1</v>
      </c>
      <c r="Y1259">
        <v>1</v>
      </c>
      <c r="Z1259">
        <v>10707.64464</v>
      </c>
    </row>
    <row r="1260" spans="1:26" x14ac:dyDescent="0.25">
      <c r="A1260">
        <v>141248</v>
      </c>
      <c r="B1260" t="s">
        <v>244</v>
      </c>
      <c r="C1260">
        <v>2020</v>
      </c>
      <c r="D1260">
        <v>1</v>
      </c>
      <c r="E1260" t="s">
        <v>415</v>
      </c>
      <c r="F1260" t="s">
        <v>434</v>
      </c>
      <c r="G1260" t="s">
        <v>435</v>
      </c>
      <c r="H1260" t="s">
        <v>84</v>
      </c>
      <c r="I1260" t="s">
        <v>438</v>
      </c>
      <c r="J1260" t="s">
        <v>59</v>
      </c>
      <c r="K1260">
        <v>-14326.757922889999</v>
      </c>
      <c r="L1260" t="s">
        <v>89</v>
      </c>
      <c r="M1260" t="s">
        <v>424</v>
      </c>
      <c r="N1260">
        <v>3.08071516317E-3</v>
      </c>
      <c r="O1260">
        <v>44.136659999999999</v>
      </c>
      <c r="P1260" t="s">
        <v>421</v>
      </c>
      <c r="Q1260">
        <v>1</v>
      </c>
      <c r="V1260">
        <v>1</v>
      </c>
      <c r="W1260">
        <v>1</v>
      </c>
      <c r="X1260">
        <v>1</v>
      </c>
      <c r="Y1260">
        <v>1</v>
      </c>
      <c r="Z1260">
        <v>44.136659999999999</v>
      </c>
    </row>
    <row r="1261" spans="1:26" x14ac:dyDescent="0.25">
      <c r="A1261">
        <v>141249</v>
      </c>
      <c r="B1261" t="s">
        <v>244</v>
      </c>
      <c r="C1261">
        <v>2020</v>
      </c>
      <c r="D1261">
        <v>1</v>
      </c>
      <c r="E1261" t="s">
        <v>415</v>
      </c>
      <c r="F1261" t="s">
        <v>434</v>
      </c>
      <c r="G1261" t="s">
        <v>435</v>
      </c>
      <c r="H1261" t="s">
        <v>84</v>
      </c>
      <c r="I1261" t="s">
        <v>438</v>
      </c>
      <c r="J1261" t="s">
        <v>59</v>
      </c>
      <c r="K1261">
        <v>-14326.757922889999</v>
      </c>
      <c r="L1261" t="s">
        <v>89</v>
      </c>
      <c r="M1261" t="s">
        <v>425</v>
      </c>
      <c r="N1261">
        <v>2.5360775708E-3</v>
      </c>
      <c r="O1261">
        <v>36.333768999999997</v>
      </c>
      <c r="P1261" t="s">
        <v>421</v>
      </c>
      <c r="Q1261">
        <v>1</v>
      </c>
      <c r="V1261">
        <v>1</v>
      </c>
      <c r="W1261">
        <v>1</v>
      </c>
      <c r="X1261">
        <v>1</v>
      </c>
      <c r="Y1261">
        <v>1</v>
      </c>
      <c r="Z1261">
        <v>36.333768999999997</v>
      </c>
    </row>
    <row r="1262" spans="1:26" x14ac:dyDescent="0.25">
      <c r="A1262">
        <v>36853</v>
      </c>
      <c r="B1262" t="s">
        <v>114</v>
      </c>
      <c r="C1262">
        <v>2018</v>
      </c>
      <c r="D1262">
        <v>1</v>
      </c>
      <c r="E1262" t="s">
        <v>415</v>
      </c>
      <c r="F1262" t="s">
        <v>416</v>
      </c>
      <c r="G1262" t="s">
        <v>417</v>
      </c>
      <c r="H1262" t="s">
        <v>84</v>
      </c>
      <c r="I1262" t="s">
        <v>418</v>
      </c>
      <c r="J1262" t="s">
        <v>419</v>
      </c>
      <c r="K1262">
        <v>-8573.1690858999991</v>
      </c>
      <c r="L1262" t="s">
        <v>85</v>
      </c>
      <c r="M1262" t="s">
        <v>420</v>
      </c>
      <c r="N1262">
        <v>0.24824931095561001</v>
      </c>
      <c r="O1262">
        <v>2128.2833179999998</v>
      </c>
      <c r="P1262" t="s">
        <v>421</v>
      </c>
      <c r="Q1262">
        <v>1</v>
      </c>
      <c r="V1262">
        <v>1</v>
      </c>
      <c r="W1262">
        <v>1</v>
      </c>
      <c r="X1262">
        <v>1</v>
      </c>
      <c r="Y1262">
        <v>1</v>
      </c>
      <c r="Z1262">
        <v>2128.2833179999998</v>
      </c>
    </row>
    <row r="1263" spans="1:26" x14ac:dyDescent="0.25">
      <c r="A1263">
        <v>36854</v>
      </c>
      <c r="B1263" t="s">
        <v>114</v>
      </c>
      <c r="C1263">
        <v>2018</v>
      </c>
      <c r="D1263">
        <v>1</v>
      </c>
      <c r="E1263" t="s">
        <v>415</v>
      </c>
      <c r="F1263" t="s">
        <v>416</v>
      </c>
      <c r="G1263" t="s">
        <v>417</v>
      </c>
      <c r="H1263" t="s">
        <v>84</v>
      </c>
      <c r="I1263" t="s">
        <v>418</v>
      </c>
      <c r="J1263" t="s">
        <v>419</v>
      </c>
      <c r="K1263">
        <v>-8573.1690858999991</v>
      </c>
      <c r="L1263" t="s">
        <v>85</v>
      </c>
      <c r="M1263" t="s">
        <v>422</v>
      </c>
      <c r="N1263">
        <v>7.7540047892240005E-2</v>
      </c>
      <c r="O1263">
        <v>664.76394200000004</v>
      </c>
      <c r="P1263" t="s">
        <v>421</v>
      </c>
      <c r="Q1263">
        <v>1</v>
      </c>
      <c r="V1263">
        <v>1</v>
      </c>
      <c r="W1263">
        <v>1</v>
      </c>
      <c r="X1263">
        <v>1</v>
      </c>
      <c r="Y1263">
        <v>1</v>
      </c>
      <c r="Z1263">
        <v>664.76394200000004</v>
      </c>
    </row>
    <row r="1264" spans="1:26" x14ac:dyDescent="0.25">
      <c r="A1264">
        <v>36855</v>
      </c>
      <c r="B1264" t="s">
        <v>114</v>
      </c>
      <c r="C1264">
        <v>2018</v>
      </c>
      <c r="D1264">
        <v>1</v>
      </c>
      <c r="E1264" t="s">
        <v>415</v>
      </c>
      <c r="F1264" t="s">
        <v>416</v>
      </c>
      <c r="G1264" t="s">
        <v>417</v>
      </c>
      <c r="H1264" t="s">
        <v>84</v>
      </c>
      <c r="I1264" t="s">
        <v>418</v>
      </c>
      <c r="J1264" t="s">
        <v>419</v>
      </c>
      <c r="K1264">
        <v>-8573.1690858999991</v>
      </c>
      <c r="L1264" t="s">
        <v>85</v>
      </c>
      <c r="M1264" t="s">
        <v>423</v>
      </c>
      <c r="N1264">
        <v>0.73979703899049998</v>
      </c>
      <c r="O1264">
        <v>6342.4051049999998</v>
      </c>
      <c r="P1264" t="s">
        <v>421</v>
      </c>
      <c r="Q1264">
        <v>1</v>
      </c>
      <c r="V1264">
        <v>1</v>
      </c>
      <c r="W1264">
        <v>1</v>
      </c>
      <c r="X1264">
        <v>1</v>
      </c>
      <c r="Y1264">
        <v>1</v>
      </c>
      <c r="Z1264">
        <v>6342.4051049999998</v>
      </c>
    </row>
    <row r="1265" spans="1:26" x14ac:dyDescent="0.25">
      <c r="A1265">
        <v>36856</v>
      </c>
      <c r="B1265" t="s">
        <v>114</v>
      </c>
      <c r="C1265">
        <v>2018</v>
      </c>
      <c r="D1265">
        <v>1</v>
      </c>
      <c r="E1265" t="s">
        <v>415</v>
      </c>
      <c r="F1265" t="s">
        <v>416</v>
      </c>
      <c r="G1265" t="s">
        <v>417</v>
      </c>
      <c r="H1265" t="s">
        <v>84</v>
      </c>
      <c r="I1265" t="s">
        <v>418</v>
      </c>
      <c r="J1265" t="s">
        <v>419</v>
      </c>
      <c r="K1265">
        <v>-8573.1690858999991</v>
      </c>
      <c r="L1265" t="s">
        <v>85</v>
      </c>
      <c r="M1265" t="s">
        <v>424</v>
      </c>
      <c r="N1265">
        <v>2.9085775596699999E-3</v>
      </c>
      <c r="O1265">
        <v>24.935727</v>
      </c>
      <c r="P1265" t="s">
        <v>421</v>
      </c>
      <c r="Q1265">
        <v>1</v>
      </c>
      <c r="V1265">
        <v>1</v>
      </c>
      <c r="W1265">
        <v>1</v>
      </c>
      <c r="X1265">
        <v>1</v>
      </c>
      <c r="Y1265">
        <v>1</v>
      </c>
      <c r="Z1265">
        <v>24.935727</v>
      </c>
    </row>
    <row r="1266" spans="1:26" x14ac:dyDescent="0.25">
      <c r="A1266">
        <v>36857</v>
      </c>
      <c r="B1266" t="s">
        <v>114</v>
      </c>
      <c r="C1266">
        <v>2018</v>
      </c>
      <c r="D1266">
        <v>1</v>
      </c>
      <c r="E1266" t="s">
        <v>415</v>
      </c>
      <c r="F1266" t="s">
        <v>416</v>
      </c>
      <c r="G1266" t="s">
        <v>417</v>
      </c>
      <c r="H1266" t="s">
        <v>84</v>
      </c>
      <c r="I1266" t="s">
        <v>418</v>
      </c>
      <c r="J1266" t="s">
        <v>419</v>
      </c>
      <c r="K1266">
        <v>-8573.1690858999991</v>
      </c>
      <c r="L1266" t="s">
        <v>85</v>
      </c>
      <c r="M1266" t="s">
        <v>425</v>
      </c>
      <c r="N1266">
        <v>2.6170694898000001E-3</v>
      </c>
      <c r="O1266">
        <v>22.436578999999998</v>
      </c>
      <c r="P1266" t="s">
        <v>421</v>
      </c>
      <c r="Q1266">
        <v>1</v>
      </c>
      <c r="V1266">
        <v>1</v>
      </c>
      <c r="W1266">
        <v>1</v>
      </c>
      <c r="X1266">
        <v>1</v>
      </c>
      <c r="Y1266">
        <v>1</v>
      </c>
      <c r="Z1266">
        <v>22.436578999999998</v>
      </c>
    </row>
    <row r="1267" spans="1:26" x14ac:dyDescent="0.25">
      <c r="A1267">
        <v>36858</v>
      </c>
      <c r="B1267" t="s">
        <v>114</v>
      </c>
      <c r="C1267">
        <v>2018</v>
      </c>
      <c r="D1267">
        <v>1</v>
      </c>
      <c r="E1267" t="s">
        <v>415</v>
      </c>
      <c r="F1267" t="s">
        <v>416</v>
      </c>
      <c r="G1267" t="s">
        <v>417</v>
      </c>
      <c r="H1267" t="s">
        <v>84</v>
      </c>
      <c r="I1267" t="s">
        <v>426</v>
      </c>
      <c r="J1267" t="s">
        <v>87</v>
      </c>
      <c r="K1267">
        <v>-2000.4146134099999</v>
      </c>
      <c r="L1267" t="s">
        <v>427</v>
      </c>
      <c r="M1267" t="s">
        <v>420</v>
      </c>
      <c r="N1267">
        <v>0.45523813654234002</v>
      </c>
      <c r="O1267">
        <v>910.66502100000002</v>
      </c>
      <c r="P1267" t="s">
        <v>421</v>
      </c>
      <c r="Q1267">
        <v>1</v>
      </c>
      <c r="V1267">
        <v>1</v>
      </c>
      <c r="W1267">
        <v>1</v>
      </c>
      <c r="X1267">
        <v>1</v>
      </c>
      <c r="Y1267">
        <v>1</v>
      </c>
      <c r="Z1267">
        <v>910.66502100000002</v>
      </c>
    </row>
    <row r="1268" spans="1:26" x14ac:dyDescent="0.25">
      <c r="A1268">
        <v>36859</v>
      </c>
      <c r="B1268" t="s">
        <v>114</v>
      </c>
      <c r="C1268">
        <v>2018</v>
      </c>
      <c r="D1268">
        <v>1</v>
      </c>
      <c r="E1268" t="s">
        <v>415</v>
      </c>
      <c r="F1268" t="s">
        <v>416</v>
      </c>
      <c r="G1268" t="s">
        <v>417</v>
      </c>
      <c r="H1268" t="s">
        <v>84</v>
      </c>
      <c r="I1268" t="s">
        <v>426</v>
      </c>
      <c r="J1268" t="s">
        <v>87</v>
      </c>
      <c r="K1268">
        <v>-2000.4146134099999</v>
      </c>
      <c r="L1268" t="s">
        <v>427</v>
      </c>
      <c r="M1268" t="s">
        <v>422</v>
      </c>
      <c r="N1268">
        <v>6.8896616392329996E-2</v>
      </c>
      <c r="O1268">
        <v>137.821798</v>
      </c>
      <c r="P1268" t="s">
        <v>421</v>
      </c>
      <c r="Q1268">
        <v>1</v>
      </c>
      <c r="V1268">
        <v>1</v>
      </c>
      <c r="W1268">
        <v>1</v>
      </c>
      <c r="X1268">
        <v>1</v>
      </c>
      <c r="Y1268">
        <v>1</v>
      </c>
      <c r="Z1268">
        <v>137.821798</v>
      </c>
    </row>
    <row r="1269" spans="1:26" x14ac:dyDescent="0.25">
      <c r="A1269">
        <v>36860</v>
      </c>
      <c r="B1269" t="s">
        <v>114</v>
      </c>
      <c r="C1269">
        <v>2018</v>
      </c>
      <c r="D1269">
        <v>1</v>
      </c>
      <c r="E1269" t="s">
        <v>415</v>
      </c>
      <c r="F1269" t="s">
        <v>416</v>
      </c>
      <c r="G1269" t="s">
        <v>417</v>
      </c>
      <c r="H1269" t="s">
        <v>84</v>
      </c>
      <c r="I1269" t="s">
        <v>426</v>
      </c>
      <c r="J1269" t="s">
        <v>87</v>
      </c>
      <c r="K1269">
        <v>-2000.4146134099999</v>
      </c>
      <c r="L1269" t="s">
        <v>427</v>
      </c>
      <c r="M1269" t="s">
        <v>423</v>
      </c>
      <c r="N1269">
        <v>0.70986919705586005</v>
      </c>
      <c r="O1269">
        <v>1420.0327150000001</v>
      </c>
      <c r="P1269" t="s">
        <v>421</v>
      </c>
      <c r="Q1269">
        <v>1</v>
      </c>
      <c r="V1269">
        <v>1</v>
      </c>
      <c r="W1269">
        <v>1</v>
      </c>
      <c r="X1269">
        <v>1</v>
      </c>
      <c r="Y1269">
        <v>1</v>
      </c>
      <c r="Z1269">
        <v>1420.0327150000001</v>
      </c>
    </row>
    <row r="1270" spans="1:26" x14ac:dyDescent="0.25">
      <c r="A1270">
        <v>36861</v>
      </c>
      <c r="B1270" t="s">
        <v>114</v>
      </c>
      <c r="C1270">
        <v>2018</v>
      </c>
      <c r="D1270">
        <v>1</v>
      </c>
      <c r="E1270" t="s">
        <v>415</v>
      </c>
      <c r="F1270" t="s">
        <v>416</v>
      </c>
      <c r="G1270" t="s">
        <v>417</v>
      </c>
      <c r="H1270" t="s">
        <v>84</v>
      </c>
      <c r="I1270" t="s">
        <v>426</v>
      </c>
      <c r="J1270" t="s">
        <v>87</v>
      </c>
      <c r="K1270">
        <v>-2000.4146134099999</v>
      </c>
      <c r="L1270" t="s">
        <v>427</v>
      </c>
      <c r="M1270" t="s">
        <v>425</v>
      </c>
      <c r="N1270">
        <v>1.4965642882E-3</v>
      </c>
      <c r="O1270">
        <v>2.9937490000000002</v>
      </c>
      <c r="P1270" t="s">
        <v>421</v>
      </c>
      <c r="Q1270">
        <v>1</v>
      </c>
      <c r="V1270">
        <v>1</v>
      </c>
      <c r="W1270">
        <v>1</v>
      </c>
      <c r="X1270">
        <v>1</v>
      </c>
      <c r="Y1270">
        <v>1</v>
      </c>
      <c r="Z1270">
        <v>2.9937490000000002</v>
      </c>
    </row>
    <row r="1271" spans="1:26" x14ac:dyDescent="0.25">
      <c r="A1271">
        <v>36862</v>
      </c>
      <c r="B1271" t="s">
        <v>114</v>
      </c>
      <c r="C1271">
        <v>2018</v>
      </c>
      <c r="D1271">
        <v>1</v>
      </c>
      <c r="E1271" t="s">
        <v>415</v>
      </c>
      <c r="F1271" t="s">
        <v>416</v>
      </c>
      <c r="G1271" t="s">
        <v>417</v>
      </c>
      <c r="H1271" t="s">
        <v>84</v>
      </c>
      <c r="I1271" t="s">
        <v>428</v>
      </c>
      <c r="J1271" t="s">
        <v>59</v>
      </c>
      <c r="K1271">
        <v>-5276.5924770299998</v>
      </c>
      <c r="L1271" t="s">
        <v>89</v>
      </c>
      <c r="M1271" t="s">
        <v>420</v>
      </c>
      <c r="N1271">
        <v>0.26343870574139999</v>
      </c>
      <c r="O1271">
        <v>1390.0586929999999</v>
      </c>
      <c r="P1271" t="s">
        <v>421</v>
      </c>
      <c r="Q1271">
        <v>1</v>
      </c>
      <c r="V1271">
        <v>1</v>
      </c>
      <c r="W1271">
        <v>1</v>
      </c>
      <c r="X1271">
        <v>1</v>
      </c>
      <c r="Y1271">
        <v>1</v>
      </c>
      <c r="Z1271">
        <v>1390.0586929999999</v>
      </c>
    </row>
    <row r="1272" spans="1:26" x14ac:dyDescent="0.25">
      <c r="A1272">
        <v>36863</v>
      </c>
      <c r="B1272" t="s">
        <v>114</v>
      </c>
      <c r="C1272">
        <v>2018</v>
      </c>
      <c r="D1272">
        <v>1</v>
      </c>
      <c r="E1272" t="s">
        <v>415</v>
      </c>
      <c r="F1272" t="s">
        <v>416</v>
      </c>
      <c r="G1272" t="s">
        <v>417</v>
      </c>
      <c r="H1272" t="s">
        <v>84</v>
      </c>
      <c r="I1272" t="s">
        <v>428</v>
      </c>
      <c r="J1272" t="s">
        <v>59</v>
      </c>
      <c r="K1272">
        <v>-5276.5924770299998</v>
      </c>
      <c r="L1272" t="s">
        <v>89</v>
      </c>
      <c r="M1272" t="s">
        <v>422</v>
      </c>
      <c r="N1272">
        <v>7.1262429683470005E-2</v>
      </c>
      <c r="O1272">
        <v>376.02280000000002</v>
      </c>
      <c r="P1272" t="s">
        <v>421</v>
      </c>
      <c r="Q1272">
        <v>1</v>
      </c>
      <c r="V1272">
        <v>1</v>
      </c>
      <c r="W1272">
        <v>1</v>
      </c>
      <c r="X1272">
        <v>1</v>
      </c>
      <c r="Y1272">
        <v>1</v>
      </c>
      <c r="Z1272">
        <v>376.02280000000002</v>
      </c>
    </row>
    <row r="1273" spans="1:26" x14ac:dyDescent="0.25">
      <c r="A1273">
        <v>36864</v>
      </c>
      <c r="B1273" t="s">
        <v>114</v>
      </c>
      <c r="C1273">
        <v>2018</v>
      </c>
      <c r="D1273">
        <v>1</v>
      </c>
      <c r="E1273" t="s">
        <v>415</v>
      </c>
      <c r="F1273" t="s">
        <v>416</v>
      </c>
      <c r="G1273" t="s">
        <v>417</v>
      </c>
      <c r="H1273" t="s">
        <v>84</v>
      </c>
      <c r="I1273" t="s">
        <v>428</v>
      </c>
      <c r="J1273" t="s">
        <v>59</v>
      </c>
      <c r="K1273">
        <v>-5276.5924770299998</v>
      </c>
      <c r="L1273" t="s">
        <v>89</v>
      </c>
      <c r="M1273" t="s">
        <v>423</v>
      </c>
      <c r="N1273">
        <v>0.74738783869542003</v>
      </c>
      <c r="O1273">
        <v>3943.6610470000001</v>
      </c>
      <c r="P1273" t="s">
        <v>421</v>
      </c>
      <c r="Q1273">
        <v>1</v>
      </c>
      <c r="V1273">
        <v>1</v>
      </c>
      <c r="W1273">
        <v>1</v>
      </c>
      <c r="X1273">
        <v>1</v>
      </c>
      <c r="Y1273">
        <v>1</v>
      </c>
      <c r="Z1273">
        <v>3943.6610470000001</v>
      </c>
    </row>
    <row r="1274" spans="1:26" x14ac:dyDescent="0.25">
      <c r="A1274">
        <v>36865</v>
      </c>
      <c r="B1274" t="s">
        <v>114</v>
      </c>
      <c r="C1274">
        <v>2018</v>
      </c>
      <c r="D1274">
        <v>1</v>
      </c>
      <c r="E1274" t="s">
        <v>415</v>
      </c>
      <c r="F1274" t="s">
        <v>416</v>
      </c>
      <c r="G1274" t="s">
        <v>417</v>
      </c>
      <c r="H1274" t="s">
        <v>84</v>
      </c>
      <c r="I1274" t="s">
        <v>428</v>
      </c>
      <c r="J1274" t="s">
        <v>59</v>
      </c>
      <c r="K1274">
        <v>-5276.5924770299998</v>
      </c>
      <c r="L1274" t="s">
        <v>89</v>
      </c>
      <c r="M1274" t="s">
        <v>424</v>
      </c>
      <c r="N1274">
        <v>3.08071516317E-3</v>
      </c>
      <c r="O1274">
        <v>16.255678</v>
      </c>
      <c r="P1274" t="s">
        <v>421</v>
      </c>
      <c r="Q1274">
        <v>1</v>
      </c>
      <c r="V1274">
        <v>1</v>
      </c>
      <c r="W1274">
        <v>1</v>
      </c>
      <c r="X1274">
        <v>1</v>
      </c>
      <c r="Y1274">
        <v>1</v>
      </c>
      <c r="Z1274">
        <v>16.255678</v>
      </c>
    </row>
    <row r="1275" spans="1:26" x14ac:dyDescent="0.25">
      <c r="A1275">
        <v>36866</v>
      </c>
      <c r="B1275" t="s">
        <v>114</v>
      </c>
      <c r="C1275">
        <v>2018</v>
      </c>
      <c r="D1275">
        <v>1</v>
      </c>
      <c r="E1275" t="s">
        <v>415</v>
      </c>
      <c r="F1275" t="s">
        <v>416</v>
      </c>
      <c r="G1275" t="s">
        <v>417</v>
      </c>
      <c r="H1275" t="s">
        <v>84</v>
      </c>
      <c r="I1275" t="s">
        <v>428</v>
      </c>
      <c r="J1275" t="s">
        <v>59</v>
      </c>
      <c r="K1275">
        <v>-5276.5924770299998</v>
      </c>
      <c r="L1275" t="s">
        <v>89</v>
      </c>
      <c r="M1275" t="s">
        <v>425</v>
      </c>
      <c r="N1275">
        <v>2.5360775708E-3</v>
      </c>
      <c r="O1275">
        <v>13.381848</v>
      </c>
      <c r="P1275" t="s">
        <v>421</v>
      </c>
      <c r="Q1275">
        <v>1</v>
      </c>
      <c r="V1275">
        <v>1</v>
      </c>
      <c r="W1275">
        <v>1</v>
      </c>
      <c r="X1275">
        <v>1</v>
      </c>
      <c r="Y1275">
        <v>1</v>
      </c>
      <c r="Z1275">
        <v>13.381848</v>
      </c>
    </row>
    <row r="1276" spans="1:26" x14ac:dyDescent="0.25">
      <c r="A1276">
        <v>36867</v>
      </c>
      <c r="B1276" t="s">
        <v>114</v>
      </c>
      <c r="C1276">
        <v>2018</v>
      </c>
      <c r="D1276">
        <v>1</v>
      </c>
      <c r="E1276" t="s">
        <v>415</v>
      </c>
      <c r="F1276" t="s">
        <v>429</v>
      </c>
      <c r="G1276" t="s">
        <v>430</v>
      </c>
      <c r="H1276" t="s">
        <v>84</v>
      </c>
      <c r="I1276" t="s">
        <v>431</v>
      </c>
      <c r="J1276" t="s">
        <v>419</v>
      </c>
      <c r="K1276">
        <v>-14619.26968748</v>
      </c>
      <c r="L1276" t="s">
        <v>85</v>
      </c>
      <c r="M1276" t="s">
        <v>420</v>
      </c>
      <c r="N1276">
        <v>0.24824931095561001</v>
      </c>
      <c r="O1276">
        <v>3629.2236269999999</v>
      </c>
      <c r="P1276" t="s">
        <v>421</v>
      </c>
      <c r="Q1276">
        <v>1</v>
      </c>
      <c r="V1276">
        <v>1</v>
      </c>
      <c r="W1276">
        <v>1</v>
      </c>
      <c r="X1276">
        <v>1</v>
      </c>
      <c r="Y1276">
        <v>1</v>
      </c>
      <c r="Z1276">
        <v>3629.2236269999999</v>
      </c>
    </row>
    <row r="1277" spans="1:26" x14ac:dyDescent="0.25">
      <c r="A1277">
        <v>36868</v>
      </c>
      <c r="B1277" t="s">
        <v>114</v>
      </c>
      <c r="C1277">
        <v>2018</v>
      </c>
      <c r="D1277">
        <v>1</v>
      </c>
      <c r="E1277" t="s">
        <v>415</v>
      </c>
      <c r="F1277" t="s">
        <v>429</v>
      </c>
      <c r="G1277" t="s">
        <v>430</v>
      </c>
      <c r="H1277" t="s">
        <v>84</v>
      </c>
      <c r="I1277" t="s">
        <v>431</v>
      </c>
      <c r="J1277" t="s">
        <v>419</v>
      </c>
      <c r="K1277">
        <v>-14619.26968748</v>
      </c>
      <c r="L1277" t="s">
        <v>85</v>
      </c>
      <c r="M1277" t="s">
        <v>422</v>
      </c>
      <c r="N1277">
        <v>7.7540047892240005E-2</v>
      </c>
      <c r="O1277">
        <v>1133.578872</v>
      </c>
      <c r="P1277" t="s">
        <v>421</v>
      </c>
      <c r="Q1277">
        <v>1</v>
      </c>
      <c r="V1277">
        <v>1</v>
      </c>
      <c r="W1277">
        <v>1</v>
      </c>
      <c r="X1277">
        <v>1</v>
      </c>
      <c r="Y1277">
        <v>1</v>
      </c>
      <c r="Z1277">
        <v>1133.578872</v>
      </c>
    </row>
    <row r="1278" spans="1:26" x14ac:dyDescent="0.25">
      <c r="A1278">
        <v>36869</v>
      </c>
      <c r="B1278" t="s">
        <v>114</v>
      </c>
      <c r="C1278">
        <v>2018</v>
      </c>
      <c r="D1278">
        <v>1</v>
      </c>
      <c r="E1278" t="s">
        <v>415</v>
      </c>
      <c r="F1278" t="s">
        <v>429</v>
      </c>
      <c r="G1278" t="s">
        <v>430</v>
      </c>
      <c r="H1278" t="s">
        <v>84</v>
      </c>
      <c r="I1278" t="s">
        <v>431</v>
      </c>
      <c r="J1278" t="s">
        <v>419</v>
      </c>
      <c r="K1278">
        <v>-14619.26968748</v>
      </c>
      <c r="L1278" t="s">
        <v>85</v>
      </c>
      <c r="M1278" t="s">
        <v>423</v>
      </c>
      <c r="N1278">
        <v>0.73979703899049998</v>
      </c>
      <c r="O1278">
        <v>10815.292427</v>
      </c>
      <c r="P1278" t="s">
        <v>421</v>
      </c>
      <c r="Q1278">
        <v>1</v>
      </c>
      <c r="V1278">
        <v>1</v>
      </c>
      <c r="W1278">
        <v>1</v>
      </c>
      <c r="X1278">
        <v>1</v>
      </c>
      <c r="Y1278">
        <v>1</v>
      </c>
      <c r="Z1278">
        <v>10815.292427</v>
      </c>
    </row>
    <row r="1279" spans="1:26" x14ac:dyDescent="0.25">
      <c r="A1279">
        <v>36870</v>
      </c>
      <c r="B1279" t="s">
        <v>114</v>
      </c>
      <c r="C1279">
        <v>2018</v>
      </c>
      <c r="D1279">
        <v>1</v>
      </c>
      <c r="E1279" t="s">
        <v>415</v>
      </c>
      <c r="F1279" t="s">
        <v>429</v>
      </c>
      <c r="G1279" t="s">
        <v>430</v>
      </c>
      <c r="H1279" t="s">
        <v>84</v>
      </c>
      <c r="I1279" t="s">
        <v>431</v>
      </c>
      <c r="J1279" t="s">
        <v>419</v>
      </c>
      <c r="K1279">
        <v>-14619.26968748</v>
      </c>
      <c r="L1279" t="s">
        <v>85</v>
      </c>
      <c r="M1279" t="s">
        <v>424</v>
      </c>
      <c r="N1279">
        <v>2.9085775596699999E-3</v>
      </c>
      <c r="O1279">
        <v>42.521279999999997</v>
      </c>
      <c r="P1279" t="s">
        <v>421</v>
      </c>
      <c r="Q1279">
        <v>1</v>
      </c>
      <c r="V1279">
        <v>1</v>
      </c>
      <c r="W1279">
        <v>1</v>
      </c>
      <c r="X1279">
        <v>1</v>
      </c>
      <c r="Y1279">
        <v>1</v>
      </c>
      <c r="Z1279">
        <v>42.521279999999997</v>
      </c>
    </row>
    <row r="1280" spans="1:26" x14ac:dyDescent="0.25">
      <c r="A1280">
        <v>36871</v>
      </c>
      <c r="B1280" t="s">
        <v>114</v>
      </c>
      <c r="C1280">
        <v>2018</v>
      </c>
      <c r="D1280">
        <v>1</v>
      </c>
      <c r="E1280" t="s">
        <v>415</v>
      </c>
      <c r="F1280" t="s">
        <v>429</v>
      </c>
      <c r="G1280" t="s">
        <v>430</v>
      </c>
      <c r="H1280" t="s">
        <v>84</v>
      </c>
      <c r="I1280" t="s">
        <v>431</v>
      </c>
      <c r="J1280" t="s">
        <v>419</v>
      </c>
      <c r="K1280">
        <v>-14619.26968748</v>
      </c>
      <c r="L1280" t="s">
        <v>85</v>
      </c>
      <c r="M1280" t="s">
        <v>425</v>
      </c>
      <c r="N1280">
        <v>2.6170694898000001E-3</v>
      </c>
      <c r="O1280">
        <v>38.259644999999999</v>
      </c>
      <c r="P1280" t="s">
        <v>421</v>
      </c>
      <c r="Q1280">
        <v>1</v>
      </c>
      <c r="V1280">
        <v>1</v>
      </c>
      <c r="W1280">
        <v>1</v>
      </c>
      <c r="X1280">
        <v>1</v>
      </c>
      <c r="Y1280">
        <v>1</v>
      </c>
      <c r="Z1280">
        <v>38.259644999999999</v>
      </c>
    </row>
    <row r="1281" spans="1:26" x14ac:dyDescent="0.25">
      <c r="A1281">
        <v>36872</v>
      </c>
      <c r="B1281" t="s">
        <v>114</v>
      </c>
      <c r="C1281">
        <v>2018</v>
      </c>
      <c r="D1281">
        <v>1</v>
      </c>
      <c r="E1281" t="s">
        <v>415</v>
      </c>
      <c r="F1281" t="s">
        <v>429</v>
      </c>
      <c r="G1281" t="s">
        <v>430</v>
      </c>
      <c r="H1281" t="s">
        <v>84</v>
      </c>
      <c r="I1281" t="s">
        <v>432</v>
      </c>
      <c r="J1281" t="s">
        <v>87</v>
      </c>
      <c r="K1281">
        <v>-3475.4606518599999</v>
      </c>
      <c r="L1281" t="s">
        <v>427</v>
      </c>
      <c r="M1281" t="s">
        <v>420</v>
      </c>
      <c r="N1281">
        <v>0.45523813654234002</v>
      </c>
      <c r="O1281">
        <v>1582.162231</v>
      </c>
      <c r="P1281" t="s">
        <v>421</v>
      </c>
      <c r="Q1281">
        <v>1</v>
      </c>
      <c r="V1281">
        <v>1</v>
      </c>
      <c r="W1281">
        <v>1</v>
      </c>
      <c r="X1281">
        <v>1</v>
      </c>
      <c r="Y1281">
        <v>1</v>
      </c>
      <c r="Z1281">
        <v>1582.162231</v>
      </c>
    </row>
    <row r="1282" spans="1:26" x14ac:dyDescent="0.25">
      <c r="A1282">
        <v>36873</v>
      </c>
      <c r="B1282" t="s">
        <v>114</v>
      </c>
      <c r="C1282">
        <v>2018</v>
      </c>
      <c r="D1282">
        <v>1</v>
      </c>
      <c r="E1282" t="s">
        <v>415</v>
      </c>
      <c r="F1282" t="s">
        <v>429</v>
      </c>
      <c r="G1282" t="s">
        <v>430</v>
      </c>
      <c r="H1282" t="s">
        <v>84</v>
      </c>
      <c r="I1282" t="s">
        <v>432</v>
      </c>
      <c r="J1282" t="s">
        <v>87</v>
      </c>
      <c r="K1282">
        <v>-3475.4606518599999</v>
      </c>
      <c r="L1282" t="s">
        <v>427</v>
      </c>
      <c r="M1282" t="s">
        <v>422</v>
      </c>
      <c r="N1282">
        <v>6.8896616392329996E-2</v>
      </c>
      <c r="O1282">
        <v>239.44747899999999</v>
      </c>
      <c r="P1282" t="s">
        <v>421</v>
      </c>
      <c r="Q1282">
        <v>1</v>
      </c>
      <c r="V1282">
        <v>1</v>
      </c>
      <c r="W1282">
        <v>1</v>
      </c>
      <c r="X1282">
        <v>1</v>
      </c>
      <c r="Y1282">
        <v>1</v>
      </c>
      <c r="Z1282">
        <v>239.44747899999999</v>
      </c>
    </row>
    <row r="1283" spans="1:26" x14ac:dyDescent="0.25">
      <c r="A1283">
        <v>36874</v>
      </c>
      <c r="B1283" t="s">
        <v>114</v>
      </c>
      <c r="C1283">
        <v>2018</v>
      </c>
      <c r="D1283">
        <v>1</v>
      </c>
      <c r="E1283" t="s">
        <v>415</v>
      </c>
      <c r="F1283" t="s">
        <v>429</v>
      </c>
      <c r="G1283" t="s">
        <v>430</v>
      </c>
      <c r="H1283" t="s">
        <v>84</v>
      </c>
      <c r="I1283" t="s">
        <v>432</v>
      </c>
      <c r="J1283" t="s">
        <v>87</v>
      </c>
      <c r="K1283">
        <v>-3475.4606518599999</v>
      </c>
      <c r="L1283" t="s">
        <v>427</v>
      </c>
      <c r="M1283" t="s">
        <v>423</v>
      </c>
      <c r="N1283">
        <v>0.70986919705586005</v>
      </c>
      <c r="O1283">
        <v>2467.1224619999998</v>
      </c>
      <c r="P1283" t="s">
        <v>421</v>
      </c>
      <c r="Q1283">
        <v>1</v>
      </c>
      <c r="V1283">
        <v>1</v>
      </c>
      <c r="W1283">
        <v>1</v>
      </c>
      <c r="X1283">
        <v>1</v>
      </c>
      <c r="Y1283">
        <v>1</v>
      </c>
      <c r="Z1283">
        <v>2467.1224619999998</v>
      </c>
    </row>
    <row r="1284" spans="1:26" x14ac:dyDescent="0.25">
      <c r="A1284">
        <v>36875</v>
      </c>
      <c r="B1284" t="s">
        <v>114</v>
      </c>
      <c r="C1284">
        <v>2018</v>
      </c>
      <c r="D1284">
        <v>1</v>
      </c>
      <c r="E1284" t="s">
        <v>415</v>
      </c>
      <c r="F1284" t="s">
        <v>429</v>
      </c>
      <c r="G1284" t="s">
        <v>430</v>
      </c>
      <c r="H1284" t="s">
        <v>84</v>
      </c>
      <c r="I1284" t="s">
        <v>432</v>
      </c>
      <c r="J1284" t="s">
        <v>87</v>
      </c>
      <c r="K1284">
        <v>-3475.4606518599999</v>
      </c>
      <c r="L1284" t="s">
        <v>427</v>
      </c>
      <c r="M1284" t="s">
        <v>425</v>
      </c>
      <c r="N1284">
        <v>1.4965642882E-3</v>
      </c>
      <c r="O1284">
        <v>5.2012499999999999</v>
      </c>
      <c r="P1284" t="s">
        <v>421</v>
      </c>
      <c r="Q1284">
        <v>1</v>
      </c>
      <c r="V1284">
        <v>1</v>
      </c>
      <c r="W1284">
        <v>1</v>
      </c>
      <c r="X1284">
        <v>1</v>
      </c>
      <c r="Y1284">
        <v>1</v>
      </c>
      <c r="Z1284">
        <v>5.2012499999999999</v>
      </c>
    </row>
    <row r="1285" spans="1:26" x14ac:dyDescent="0.25">
      <c r="A1285">
        <v>36876</v>
      </c>
      <c r="B1285" t="s">
        <v>114</v>
      </c>
      <c r="C1285">
        <v>2018</v>
      </c>
      <c r="D1285">
        <v>1</v>
      </c>
      <c r="E1285" t="s">
        <v>415</v>
      </c>
      <c r="F1285" t="s">
        <v>429</v>
      </c>
      <c r="G1285" t="s">
        <v>430</v>
      </c>
      <c r="H1285" t="s">
        <v>84</v>
      </c>
      <c r="I1285" t="s">
        <v>433</v>
      </c>
      <c r="J1285" t="s">
        <v>59</v>
      </c>
      <c r="K1285">
        <v>-6762.7765666699997</v>
      </c>
      <c r="L1285" t="s">
        <v>89</v>
      </c>
      <c r="M1285" t="s">
        <v>420</v>
      </c>
      <c r="N1285">
        <v>0.26343870574139999</v>
      </c>
      <c r="O1285">
        <v>1781.577106</v>
      </c>
      <c r="P1285" t="s">
        <v>421</v>
      </c>
      <c r="Q1285">
        <v>1</v>
      </c>
      <c r="V1285">
        <v>1</v>
      </c>
      <c r="W1285">
        <v>1</v>
      </c>
      <c r="X1285">
        <v>1</v>
      </c>
      <c r="Y1285">
        <v>1</v>
      </c>
      <c r="Z1285">
        <v>1781.577106</v>
      </c>
    </row>
    <row r="1286" spans="1:26" x14ac:dyDescent="0.25">
      <c r="A1286">
        <v>36877</v>
      </c>
      <c r="B1286" t="s">
        <v>114</v>
      </c>
      <c r="C1286">
        <v>2018</v>
      </c>
      <c r="D1286">
        <v>1</v>
      </c>
      <c r="E1286" t="s">
        <v>415</v>
      </c>
      <c r="F1286" t="s">
        <v>429</v>
      </c>
      <c r="G1286" t="s">
        <v>430</v>
      </c>
      <c r="H1286" t="s">
        <v>84</v>
      </c>
      <c r="I1286" t="s">
        <v>433</v>
      </c>
      <c r="J1286" t="s">
        <v>59</v>
      </c>
      <c r="K1286">
        <v>-6762.7765666699997</v>
      </c>
      <c r="L1286" t="s">
        <v>89</v>
      </c>
      <c r="M1286" t="s">
        <v>422</v>
      </c>
      <c r="N1286">
        <v>7.1262429683470005E-2</v>
      </c>
      <c r="O1286">
        <v>481.93189000000001</v>
      </c>
      <c r="P1286" t="s">
        <v>421</v>
      </c>
      <c r="Q1286">
        <v>1</v>
      </c>
      <c r="V1286">
        <v>1</v>
      </c>
      <c r="W1286">
        <v>1</v>
      </c>
      <c r="X1286">
        <v>1</v>
      </c>
      <c r="Y1286">
        <v>1</v>
      </c>
      <c r="Z1286">
        <v>481.93189000000001</v>
      </c>
    </row>
    <row r="1287" spans="1:26" x14ac:dyDescent="0.25">
      <c r="A1287">
        <v>36878</v>
      </c>
      <c r="B1287" t="s">
        <v>114</v>
      </c>
      <c r="C1287">
        <v>2018</v>
      </c>
      <c r="D1287">
        <v>1</v>
      </c>
      <c r="E1287" t="s">
        <v>415</v>
      </c>
      <c r="F1287" t="s">
        <v>429</v>
      </c>
      <c r="G1287" t="s">
        <v>430</v>
      </c>
      <c r="H1287" t="s">
        <v>84</v>
      </c>
      <c r="I1287" t="s">
        <v>433</v>
      </c>
      <c r="J1287" t="s">
        <v>59</v>
      </c>
      <c r="K1287">
        <v>-6762.7765666699997</v>
      </c>
      <c r="L1287" t="s">
        <v>89</v>
      </c>
      <c r="M1287" t="s">
        <v>423</v>
      </c>
      <c r="N1287">
        <v>0.74738783869542003</v>
      </c>
      <c r="O1287">
        <v>5054.4169620000002</v>
      </c>
      <c r="P1287" t="s">
        <v>421</v>
      </c>
      <c r="Q1287">
        <v>1</v>
      </c>
      <c r="V1287">
        <v>1</v>
      </c>
      <c r="W1287">
        <v>1</v>
      </c>
      <c r="X1287">
        <v>1</v>
      </c>
      <c r="Y1287">
        <v>1</v>
      </c>
      <c r="Z1287">
        <v>5054.4169620000002</v>
      </c>
    </row>
    <row r="1288" spans="1:26" x14ac:dyDescent="0.25">
      <c r="A1288">
        <v>36879</v>
      </c>
      <c r="B1288" t="s">
        <v>114</v>
      </c>
      <c r="C1288">
        <v>2018</v>
      </c>
      <c r="D1288">
        <v>1</v>
      </c>
      <c r="E1288" t="s">
        <v>415</v>
      </c>
      <c r="F1288" t="s">
        <v>429</v>
      </c>
      <c r="G1288" t="s">
        <v>430</v>
      </c>
      <c r="H1288" t="s">
        <v>84</v>
      </c>
      <c r="I1288" t="s">
        <v>433</v>
      </c>
      <c r="J1288" t="s">
        <v>59</v>
      </c>
      <c r="K1288">
        <v>-6762.7765666699997</v>
      </c>
      <c r="L1288" t="s">
        <v>89</v>
      </c>
      <c r="M1288" t="s">
        <v>424</v>
      </c>
      <c r="N1288">
        <v>3.08071516317E-3</v>
      </c>
      <c r="O1288">
        <v>20.834188000000001</v>
      </c>
      <c r="P1288" t="s">
        <v>421</v>
      </c>
      <c r="Q1288">
        <v>1</v>
      </c>
      <c r="V1288">
        <v>1</v>
      </c>
      <c r="W1288">
        <v>1</v>
      </c>
      <c r="X1288">
        <v>1</v>
      </c>
      <c r="Y1288">
        <v>1</v>
      </c>
      <c r="Z1288">
        <v>20.834188000000001</v>
      </c>
    </row>
    <row r="1289" spans="1:26" x14ac:dyDescent="0.25">
      <c r="A1289">
        <v>36880</v>
      </c>
      <c r="B1289" t="s">
        <v>114</v>
      </c>
      <c r="C1289">
        <v>2018</v>
      </c>
      <c r="D1289">
        <v>1</v>
      </c>
      <c r="E1289" t="s">
        <v>415</v>
      </c>
      <c r="F1289" t="s">
        <v>429</v>
      </c>
      <c r="G1289" t="s">
        <v>430</v>
      </c>
      <c r="H1289" t="s">
        <v>84</v>
      </c>
      <c r="I1289" t="s">
        <v>433</v>
      </c>
      <c r="J1289" t="s">
        <v>59</v>
      </c>
      <c r="K1289">
        <v>-6762.7765666699997</v>
      </c>
      <c r="L1289" t="s">
        <v>89</v>
      </c>
      <c r="M1289" t="s">
        <v>425</v>
      </c>
      <c r="N1289">
        <v>2.5360775708E-3</v>
      </c>
      <c r="O1289">
        <v>17.150925999999998</v>
      </c>
      <c r="P1289" t="s">
        <v>421</v>
      </c>
      <c r="Q1289">
        <v>1</v>
      </c>
      <c r="V1289">
        <v>1</v>
      </c>
      <c r="W1289">
        <v>1</v>
      </c>
      <c r="X1289">
        <v>1</v>
      </c>
      <c r="Y1289">
        <v>1</v>
      </c>
      <c r="Z1289">
        <v>17.150925999999998</v>
      </c>
    </row>
    <row r="1290" spans="1:26" x14ac:dyDescent="0.25">
      <c r="A1290">
        <v>36881</v>
      </c>
      <c r="B1290" t="s">
        <v>114</v>
      </c>
      <c r="C1290">
        <v>2018</v>
      </c>
      <c r="D1290">
        <v>1</v>
      </c>
      <c r="E1290" t="s">
        <v>415</v>
      </c>
      <c r="F1290" t="s">
        <v>434</v>
      </c>
      <c r="G1290" t="s">
        <v>435</v>
      </c>
      <c r="H1290" t="s">
        <v>84</v>
      </c>
      <c r="I1290" t="s">
        <v>436</v>
      </c>
      <c r="J1290" t="s">
        <v>419</v>
      </c>
      <c r="K1290">
        <v>-6434.1278425399996</v>
      </c>
      <c r="L1290" t="s">
        <v>85</v>
      </c>
      <c r="M1290" t="s">
        <v>420</v>
      </c>
      <c r="N1290">
        <v>0.24824931095561001</v>
      </c>
      <c r="O1290">
        <v>1597.2678040000001</v>
      </c>
      <c r="P1290" t="s">
        <v>421</v>
      </c>
      <c r="Q1290">
        <v>1</v>
      </c>
      <c r="V1290">
        <v>1</v>
      </c>
      <c r="W1290">
        <v>1</v>
      </c>
      <c r="X1290">
        <v>1</v>
      </c>
      <c r="Y1290">
        <v>1</v>
      </c>
      <c r="Z1290">
        <v>1597.2678040000001</v>
      </c>
    </row>
    <row r="1291" spans="1:26" x14ac:dyDescent="0.25">
      <c r="A1291">
        <v>36882</v>
      </c>
      <c r="B1291" t="s">
        <v>114</v>
      </c>
      <c r="C1291">
        <v>2018</v>
      </c>
      <c r="D1291">
        <v>1</v>
      </c>
      <c r="E1291" t="s">
        <v>415</v>
      </c>
      <c r="F1291" t="s">
        <v>434</v>
      </c>
      <c r="G1291" t="s">
        <v>435</v>
      </c>
      <c r="H1291" t="s">
        <v>84</v>
      </c>
      <c r="I1291" t="s">
        <v>436</v>
      </c>
      <c r="J1291" t="s">
        <v>419</v>
      </c>
      <c r="K1291">
        <v>-6434.1278425399996</v>
      </c>
      <c r="L1291" t="s">
        <v>85</v>
      </c>
      <c r="M1291" t="s">
        <v>422</v>
      </c>
      <c r="N1291">
        <v>7.7540047892240005E-2</v>
      </c>
      <c r="O1291">
        <v>498.902581</v>
      </c>
      <c r="P1291" t="s">
        <v>421</v>
      </c>
      <c r="Q1291">
        <v>1</v>
      </c>
      <c r="V1291">
        <v>1</v>
      </c>
      <c r="W1291">
        <v>1</v>
      </c>
      <c r="X1291">
        <v>1</v>
      </c>
      <c r="Y1291">
        <v>1</v>
      </c>
      <c r="Z1291">
        <v>498.902581</v>
      </c>
    </row>
    <row r="1292" spans="1:26" x14ac:dyDescent="0.25">
      <c r="A1292">
        <v>36883</v>
      </c>
      <c r="B1292" t="s">
        <v>114</v>
      </c>
      <c r="C1292">
        <v>2018</v>
      </c>
      <c r="D1292">
        <v>1</v>
      </c>
      <c r="E1292" t="s">
        <v>415</v>
      </c>
      <c r="F1292" t="s">
        <v>434</v>
      </c>
      <c r="G1292" t="s">
        <v>435</v>
      </c>
      <c r="H1292" t="s">
        <v>84</v>
      </c>
      <c r="I1292" t="s">
        <v>436</v>
      </c>
      <c r="J1292" t="s">
        <v>419</v>
      </c>
      <c r="K1292">
        <v>-6434.1278425399996</v>
      </c>
      <c r="L1292" t="s">
        <v>85</v>
      </c>
      <c r="M1292" t="s">
        <v>423</v>
      </c>
      <c r="N1292">
        <v>0.73979703899049998</v>
      </c>
      <c r="O1292">
        <v>4759.9487259999996</v>
      </c>
      <c r="P1292" t="s">
        <v>421</v>
      </c>
      <c r="Q1292">
        <v>1</v>
      </c>
      <c r="V1292">
        <v>1</v>
      </c>
      <c r="W1292">
        <v>1</v>
      </c>
      <c r="X1292">
        <v>1</v>
      </c>
      <c r="Y1292">
        <v>1</v>
      </c>
      <c r="Z1292">
        <v>4759.9487259999996</v>
      </c>
    </row>
    <row r="1293" spans="1:26" x14ac:dyDescent="0.25">
      <c r="A1293">
        <v>36884</v>
      </c>
      <c r="B1293" t="s">
        <v>114</v>
      </c>
      <c r="C1293">
        <v>2018</v>
      </c>
      <c r="D1293">
        <v>1</v>
      </c>
      <c r="E1293" t="s">
        <v>415</v>
      </c>
      <c r="F1293" t="s">
        <v>434</v>
      </c>
      <c r="G1293" t="s">
        <v>435</v>
      </c>
      <c r="H1293" t="s">
        <v>84</v>
      </c>
      <c r="I1293" t="s">
        <v>436</v>
      </c>
      <c r="J1293" t="s">
        <v>419</v>
      </c>
      <c r="K1293">
        <v>-6434.1278425399996</v>
      </c>
      <c r="L1293" t="s">
        <v>85</v>
      </c>
      <c r="M1293" t="s">
        <v>424</v>
      </c>
      <c r="N1293">
        <v>2.9085775596699999E-3</v>
      </c>
      <c r="O1293">
        <v>18.71416</v>
      </c>
      <c r="P1293" t="s">
        <v>421</v>
      </c>
      <c r="Q1293">
        <v>1</v>
      </c>
      <c r="V1293">
        <v>1</v>
      </c>
      <c r="W1293">
        <v>1</v>
      </c>
      <c r="X1293">
        <v>1</v>
      </c>
      <c r="Y1293">
        <v>1</v>
      </c>
      <c r="Z1293">
        <v>18.71416</v>
      </c>
    </row>
    <row r="1294" spans="1:26" x14ac:dyDescent="0.25">
      <c r="A1294">
        <v>36885</v>
      </c>
      <c r="B1294" t="s">
        <v>114</v>
      </c>
      <c r="C1294">
        <v>2018</v>
      </c>
      <c r="D1294">
        <v>1</v>
      </c>
      <c r="E1294" t="s">
        <v>415</v>
      </c>
      <c r="F1294" t="s">
        <v>434</v>
      </c>
      <c r="G1294" t="s">
        <v>435</v>
      </c>
      <c r="H1294" t="s">
        <v>84</v>
      </c>
      <c r="I1294" t="s">
        <v>436</v>
      </c>
      <c r="J1294" t="s">
        <v>419</v>
      </c>
      <c r="K1294">
        <v>-6434.1278425399996</v>
      </c>
      <c r="L1294" t="s">
        <v>85</v>
      </c>
      <c r="M1294" t="s">
        <v>425</v>
      </c>
      <c r="N1294">
        <v>2.6170694898000001E-3</v>
      </c>
      <c r="O1294">
        <v>16.838560000000001</v>
      </c>
      <c r="P1294" t="s">
        <v>421</v>
      </c>
      <c r="Q1294">
        <v>1</v>
      </c>
      <c r="V1294">
        <v>1</v>
      </c>
      <c r="W1294">
        <v>1</v>
      </c>
      <c r="X1294">
        <v>1</v>
      </c>
      <c r="Y1294">
        <v>1</v>
      </c>
      <c r="Z1294">
        <v>16.838560000000001</v>
      </c>
    </row>
    <row r="1295" spans="1:26" x14ac:dyDescent="0.25">
      <c r="A1295">
        <v>36886</v>
      </c>
      <c r="B1295" t="s">
        <v>114</v>
      </c>
      <c r="C1295">
        <v>2018</v>
      </c>
      <c r="D1295">
        <v>1</v>
      </c>
      <c r="E1295" t="s">
        <v>415</v>
      </c>
      <c r="F1295" t="s">
        <v>434</v>
      </c>
      <c r="G1295" t="s">
        <v>435</v>
      </c>
      <c r="H1295" t="s">
        <v>84</v>
      </c>
      <c r="I1295" t="s">
        <v>437</v>
      </c>
      <c r="J1295" t="s">
        <v>87</v>
      </c>
      <c r="K1295">
        <v>-1522.60281697</v>
      </c>
      <c r="L1295" t="s">
        <v>427</v>
      </c>
      <c r="M1295" t="s">
        <v>420</v>
      </c>
      <c r="N1295">
        <v>0.45523813654234002</v>
      </c>
      <c r="O1295">
        <v>693.14686900000004</v>
      </c>
      <c r="P1295" t="s">
        <v>421</v>
      </c>
      <c r="Q1295">
        <v>1</v>
      </c>
      <c r="V1295">
        <v>1</v>
      </c>
      <c r="W1295">
        <v>1</v>
      </c>
      <c r="X1295">
        <v>1</v>
      </c>
      <c r="Y1295">
        <v>1</v>
      </c>
      <c r="Z1295">
        <v>693.14686900000004</v>
      </c>
    </row>
    <row r="1296" spans="1:26" x14ac:dyDescent="0.25">
      <c r="A1296">
        <v>36887</v>
      </c>
      <c r="B1296" t="s">
        <v>114</v>
      </c>
      <c r="C1296">
        <v>2018</v>
      </c>
      <c r="D1296">
        <v>1</v>
      </c>
      <c r="E1296" t="s">
        <v>415</v>
      </c>
      <c r="F1296" t="s">
        <v>434</v>
      </c>
      <c r="G1296" t="s">
        <v>435</v>
      </c>
      <c r="H1296" t="s">
        <v>84</v>
      </c>
      <c r="I1296" t="s">
        <v>437</v>
      </c>
      <c r="J1296" t="s">
        <v>87</v>
      </c>
      <c r="K1296">
        <v>-1522.60281697</v>
      </c>
      <c r="L1296" t="s">
        <v>427</v>
      </c>
      <c r="M1296" t="s">
        <v>422</v>
      </c>
      <c r="N1296">
        <v>6.8896616392329996E-2</v>
      </c>
      <c r="O1296">
        <v>104.902182</v>
      </c>
      <c r="P1296" t="s">
        <v>421</v>
      </c>
      <c r="Q1296">
        <v>1</v>
      </c>
      <c r="V1296">
        <v>1</v>
      </c>
      <c r="W1296">
        <v>1</v>
      </c>
      <c r="X1296">
        <v>1</v>
      </c>
      <c r="Y1296">
        <v>1</v>
      </c>
      <c r="Z1296">
        <v>104.902182</v>
      </c>
    </row>
    <row r="1297" spans="1:26" x14ac:dyDescent="0.25">
      <c r="A1297">
        <v>36888</v>
      </c>
      <c r="B1297" t="s">
        <v>114</v>
      </c>
      <c r="C1297">
        <v>2018</v>
      </c>
      <c r="D1297">
        <v>1</v>
      </c>
      <c r="E1297" t="s">
        <v>415</v>
      </c>
      <c r="F1297" t="s">
        <v>434</v>
      </c>
      <c r="G1297" t="s">
        <v>435</v>
      </c>
      <c r="H1297" t="s">
        <v>84</v>
      </c>
      <c r="I1297" t="s">
        <v>437</v>
      </c>
      <c r="J1297" t="s">
        <v>87</v>
      </c>
      <c r="K1297">
        <v>-1522.60281697</v>
      </c>
      <c r="L1297" t="s">
        <v>427</v>
      </c>
      <c r="M1297" t="s">
        <v>423</v>
      </c>
      <c r="N1297">
        <v>0.70986919705586005</v>
      </c>
      <c r="O1297">
        <v>1080.848839</v>
      </c>
      <c r="P1297" t="s">
        <v>421</v>
      </c>
      <c r="Q1297">
        <v>1</v>
      </c>
      <c r="V1297">
        <v>1</v>
      </c>
      <c r="W1297">
        <v>1</v>
      </c>
      <c r="X1297">
        <v>1</v>
      </c>
      <c r="Y1297">
        <v>1</v>
      </c>
      <c r="Z1297">
        <v>1080.848839</v>
      </c>
    </row>
    <row r="1298" spans="1:26" x14ac:dyDescent="0.25">
      <c r="A1298">
        <v>36889</v>
      </c>
      <c r="B1298" t="s">
        <v>114</v>
      </c>
      <c r="C1298">
        <v>2018</v>
      </c>
      <c r="D1298">
        <v>1</v>
      </c>
      <c r="E1298" t="s">
        <v>415</v>
      </c>
      <c r="F1298" t="s">
        <v>434</v>
      </c>
      <c r="G1298" t="s">
        <v>435</v>
      </c>
      <c r="H1298" t="s">
        <v>84</v>
      </c>
      <c r="I1298" t="s">
        <v>437</v>
      </c>
      <c r="J1298" t="s">
        <v>87</v>
      </c>
      <c r="K1298">
        <v>-1522.60281697</v>
      </c>
      <c r="L1298" t="s">
        <v>427</v>
      </c>
      <c r="M1298" t="s">
        <v>425</v>
      </c>
      <c r="N1298">
        <v>1.4965642882E-3</v>
      </c>
      <c r="O1298">
        <v>2.2786729999999999</v>
      </c>
      <c r="P1298" t="s">
        <v>421</v>
      </c>
      <c r="Q1298">
        <v>1</v>
      </c>
      <c r="V1298">
        <v>1</v>
      </c>
      <c r="W1298">
        <v>1</v>
      </c>
      <c r="X1298">
        <v>1</v>
      </c>
      <c r="Y1298">
        <v>1</v>
      </c>
      <c r="Z1298">
        <v>2.2786729999999999</v>
      </c>
    </row>
    <row r="1299" spans="1:26" x14ac:dyDescent="0.25">
      <c r="A1299">
        <v>36890</v>
      </c>
      <c r="B1299" t="s">
        <v>114</v>
      </c>
      <c r="C1299">
        <v>2018</v>
      </c>
      <c r="D1299">
        <v>1</v>
      </c>
      <c r="E1299" t="s">
        <v>415</v>
      </c>
      <c r="F1299" t="s">
        <v>434</v>
      </c>
      <c r="G1299" t="s">
        <v>435</v>
      </c>
      <c r="H1299" t="s">
        <v>84</v>
      </c>
      <c r="I1299" t="s">
        <v>438</v>
      </c>
      <c r="J1299" t="s">
        <v>59</v>
      </c>
      <c r="K1299">
        <v>-3728.4225010999999</v>
      </c>
      <c r="L1299" t="s">
        <v>89</v>
      </c>
      <c r="M1299" t="s">
        <v>420</v>
      </c>
      <c r="N1299">
        <v>0.26343870574139999</v>
      </c>
      <c r="O1299">
        <v>982.21079799999995</v>
      </c>
      <c r="P1299" t="s">
        <v>421</v>
      </c>
      <c r="Q1299">
        <v>1</v>
      </c>
      <c r="V1299">
        <v>1</v>
      </c>
      <c r="W1299">
        <v>1</v>
      </c>
      <c r="X1299">
        <v>1</v>
      </c>
      <c r="Y1299">
        <v>1</v>
      </c>
      <c r="Z1299">
        <v>982.21079799999995</v>
      </c>
    </row>
    <row r="1300" spans="1:26" x14ac:dyDescent="0.25">
      <c r="A1300">
        <v>36891</v>
      </c>
      <c r="B1300" t="s">
        <v>114</v>
      </c>
      <c r="C1300">
        <v>2018</v>
      </c>
      <c r="D1300">
        <v>1</v>
      </c>
      <c r="E1300" t="s">
        <v>415</v>
      </c>
      <c r="F1300" t="s">
        <v>434</v>
      </c>
      <c r="G1300" t="s">
        <v>435</v>
      </c>
      <c r="H1300" t="s">
        <v>84</v>
      </c>
      <c r="I1300" t="s">
        <v>438</v>
      </c>
      <c r="J1300" t="s">
        <v>59</v>
      </c>
      <c r="K1300">
        <v>-3728.4225010999999</v>
      </c>
      <c r="L1300" t="s">
        <v>89</v>
      </c>
      <c r="M1300" t="s">
        <v>422</v>
      </c>
      <c r="N1300">
        <v>7.1262429683470005E-2</v>
      </c>
      <c r="O1300">
        <v>265.69644599999998</v>
      </c>
      <c r="P1300" t="s">
        <v>421</v>
      </c>
      <c r="Q1300">
        <v>1</v>
      </c>
      <c r="V1300">
        <v>1</v>
      </c>
      <c r="W1300">
        <v>1</v>
      </c>
      <c r="X1300">
        <v>1</v>
      </c>
      <c r="Y1300">
        <v>1</v>
      </c>
      <c r="Z1300">
        <v>265.69644599999998</v>
      </c>
    </row>
    <row r="1301" spans="1:26" x14ac:dyDescent="0.25">
      <c r="A1301">
        <v>36892</v>
      </c>
      <c r="B1301" t="s">
        <v>114</v>
      </c>
      <c r="C1301">
        <v>2018</v>
      </c>
      <c r="D1301">
        <v>1</v>
      </c>
      <c r="E1301" t="s">
        <v>415</v>
      </c>
      <c r="F1301" t="s">
        <v>434</v>
      </c>
      <c r="G1301" t="s">
        <v>435</v>
      </c>
      <c r="H1301" t="s">
        <v>84</v>
      </c>
      <c r="I1301" t="s">
        <v>438</v>
      </c>
      <c r="J1301" t="s">
        <v>59</v>
      </c>
      <c r="K1301">
        <v>-3728.4225010999999</v>
      </c>
      <c r="L1301" t="s">
        <v>89</v>
      </c>
      <c r="M1301" t="s">
        <v>423</v>
      </c>
      <c r="N1301">
        <v>0.74738783869542003</v>
      </c>
      <c r="O1301">
        <v>2786.5776350000001</v>
      </c>
      <c r="P1301" t="s">
        <v>421</v>
      </c>
      <c r="Q1301">
        <v>1</v>
      </c>
      <c r="V1301">
        <v>1</v>
      </c>
      <c r="W1301">
        <v>1</v>
      </c>
      <c r="X1301">
        <v>1</v>
      </c>
      <c r="Y1301">
        <v>1</v>
      </c>
      <c r="Z1301">
        <v>2786.5776350000001</v>
      </c>
    </row>
    <row r="1302" spans="1:26" x14ac:dyDescent="0.25">
      <c r="A1302">
        <v>36893</v>
      </c>
      <c r="B1302" t="s">
        <v>114</v>
      </c>
      <c r="C1302">
        <v>2018</v>
      </c>
      <c r="D1302">
        <v>1</v>
      </c>
      <c r="E1302" t="s">
        <v>415</v>
      </c>
      <c r="F1302" t="s">
        <v>434</v>
      </c>
      <c r="G1302" t="s">
        <v>435</v>
      </c>
      <c r="H1302" t="s">
        <v>84</v>
      </c>
      <c r="I1302" t="s">
        <v>438</v>
      </c>
      <c r="J1302" t="s">
        <v>59</v>
      </c>
      <c r="K1302">
        <v>-3728.4225010999999</v>
      </c>
      <c r="L1302" t="s">
        <v>89</v>
      </c>
      <c r="M1302" t="s">
        <v>424</v>
      </c>
      <c r="N1302">
        <v>3.08071516317E-3</v>
      </c>
      <c r="O1302">
        <v>11.486208</v>
      </c>
      <c r="P1302" t="s">
        <v>421</v>
      </c>
      <c r="Q1302">
        <v>1</v>
      </c>
      <c r="V1302">
        <v>1</v>
      </c>
      <c r="W1302">
        <v>1</v>
      </c>
      <c r="X1302">
        <v>1</v>
      </c>
      <c r="Y1302">
        <v>1</v>
      </c>
      <c r="Z1302">
        <v>11.486208</v>
      </c>
    </row>
    <row r="1303" spans="1:26" x14ac:dyDescent="0.25">
      <c r="A1303">
        <v>36894</v>
      </c>
      <c r="B1303" t="s">
        <v>114</v>
      </c>
      <c r="C1303">
        <v>2018</v>
      </c>
      <c r="D1303">
        <v>1</v>
      </c>
      <c r="E1303" t="s">
        <v>415</v>
      </c>
      <c r="F1303" t="s">
        <v>434</v>
      </c>
      <c r="G1303" t="s">
        <v>435</v>
      </c>
      <c r="H1303" t="s">
        <v>84</v>
      </c>
      <c r="I1303" t="s">
        <v>438</v>
      </c>
      <c r="J1303" t="s">
        <v>59</v>
      </c>
      <c r="K1303">
        <v>-3728.4225010999999</v>
      </c>
      <c r="L1303" t="s">
        <v>89</v>
      </c>
      <c r="M1303" t="s">
        <v>425</v>
      </c>
      <c r="N1303">
        <v>2.5360775708E-3</v>
      </c>
      <c r="O1303">
        <v>9.4555690000000006</v>
      </c>
      <c r="P1303" t="s">
        <v>421</v>
      </c>
      <c r="Q1303">
        <v>1</v>
      </c>
      <c r="V1303">
        <v>1</v>
      </c>
      <c r="W1303">
        <v>1</v>
      </c>
      <c r="X1303">
        <v>1</v>
      </c>
      <c r="Y1303">
        <v>1</v>
      </c>
      <c r="Z1303">
        <v>9.4555690000000006</v>
      </c>
    </row>
    <row r="1304" spans="1:26" x14ac:dyDescent="0.25">
      <c r="A1304">
        <v>91015</v>
      </c>
      <c r="B1304" t="s">
        <v>156</v>
      </c>
      <c r="C1304">
        <v>2019</v>
      </c>
      <c r="D1304">
        <v>1</v>
      </c>
      <c r="E1304" t="s">
        <v>415</v>
      </c>
      <c r="F1304" t="s">
        <v>416</v>
      </c>
      <c r="G1304" t="s">
        <v>417</v>
      </c>
      <c r="H1304" t="s">
        <v>84</v>
      </c>
      <c r="I1304" t="s">
        <v>418</v>
      </c>
      <c r="J1304" t="s">
        <v>419</v>
      </c>
      <c r="K1304">
        <v>-21967.492632910002</v>
      </c>
      <c r="L1304" t="s">
        <v>85</v>
      </c>
      <c r="M1304" t="s">
        <v>420</v>
      </c>
      <c r="N1304">
        <v>0.24824931095561001</v>
      </c>
      <c r="O1304">
        <v>5453.4149100000004</v>
      </c>
      <c r="P1304" t="s">
        <v>421</v>
      </c>
      <c r="Q1304">
        <v>1</v>
      </c>
      <c r="V1304">
        <v>1</v>
      </c>
      <c r="W1304">
        <v>1</v>
      </c>
      <c r="X1304">
        <v>1</v>
      </c>
      <c r="Y1304">
        <v>1</v>
      </c>
      <c r="Z1304">
        <v>5453.4149100000004</v>
      </c>
    </row>
    <row r="1305" spans="1:26" x14ac:dyDescent="0.25">
      <c r="A1305">
        <v>91016</v>
      </c>
      <c r="B1305" t="s">
        <v>156</v>
      </c>
      <c r="C1305">
        <v>2019</v>
      </c>
      <c r="D1305">
        <v>1</v>
      </c>
      <c r="E1305" t="s">
        <v>415</v>
      </c>
      <c r="F1305" t="s">
        <v>416</v>
      </c>
      <c r="G1305" t="s">
        <v>417</v>
      </c>
      <c r="H1305" t="s">
        <v>84</v>
      </c>
      <c r="I1305" t="s">
        <v>418</v>
      </c>
      <c r="J1305" t="s">
        <v>419</v>
      </c>
      <c r="K1305">
        <v>-21967.492632910002</v>
      </c>
      <c r="L1305" t="s">
        <v>85</v>
      </c>
      <c r="M1305" t="s">
        <v>422</v>
      </c>
      <c r="N1305">
        <v>7.7540047892240005E-2</v>
      </c>
      <c r="O1305">
        <v>1703.3604310000001</v>
      </c>
      <c r="P1305" t="s">
        <v>421</v>
      </c>
      <c r="Q1305">
        <v>1</v>
      </c>
      <c r="V1305">
        <v>1</v>
      </c>
      <c r="W1305">
        <v>1</v>
      </c>
      <c r="X1305">
        <v>1</v>
      </c>
      <c r="Y1305">
        <v>1</v>
      </c>
      <c r="Z1305">
        <v>1703.3604310000001</v>
      </c>
    </row>
    <row r="1306" spans="1:26" x14ac:dyDescent="0.25">
      <c r="A1306">
        <v>91017</v>
      </c>
      <c r="B1306" t="s">
        <v>156</v>
      </c>
      <c r="C1306">
        <v>2019</v>
      </c>
      <c r="D1306">
        <v>1</v>
      </c>
      <c r="E1306" t="s">
        <v>415</v>
      </c>
      <c r="F1306" t="s">
        <v>416</v>
      </c>
      <c r="G1306" t="s">
        <v>417</v>
      </c>
      <c r="H1306" t="s">
        <v>84</v>
      </c>
      <c r="I1306" t="s">
        <v>418</v>
      </c>
      <c r="J1306" t="s">
        <v>419</v>
      </c>
      <c r="K1306">
        <v>-21967.492632910002</v>
      </c>
      <c r="L1306" t="s">
        <v>85</v>
      </c>
      <c r="M1306" t="s">
        <v>423</v>
      </c>
      <c r="N1306">
        <v>0.73979703899049998</v>
      </c>
      <c r="O1306">
        <v>16251.486004</v>
      </c>
      <c r="P1306" t="s">
        <v>421</v>
      </c>
      <c r="Q1306">
        <v>1</v>
      </c>
      <c r="V1306">
        <v>1</v>
      </c>
      <c r="W1306">
        <v>1</v>
      </c>
      <c r="X1306">
        <v>1</v>
      </c>
      <c r="Y1306">
        <v>1</v>
      </c>
      <c r="Z1306">
        <v>16251.486004</v>
      </c>
    </row>
    <row r="1307" spans="1:26" x14ac:dyDescent="0.25">
      <c r="A1307">
        <v>91018</v>
      </c>
      <c r="B1307" t="s">
        <v>156</v>
      </c>
      <c r="C1307">
        <v>2019</v>
      </c>
      <c r="D1307">
        <v>1</v>
      </c>
      <c r="E1307" t="s">
        <v>415</v>
      </c>
      <c r="F1307" t="s">
        <v>416</v>
      </c>
      <c r="G1307" t="s">
        <v>417</v>
      </c>
      <c r="H1307" t="s">
        <v>84</v>
      </c>
      <c r="I1307" t="s">
        <v>418</v>
      </c>
      <c r="J1307" t="s">
        <v>419</v>
      </c>
      <c r="K1307">
        <v>-21967.492632910002</v>
      </c>
      <c r="L1307" t="s">
        <v>85</v>
      </c>
      <c r="M1307" t="s">
        <v>424</v>
      </c>
      <c r="N1307">
        <v>2.9085775596699999E-3</v>
      </c>
      <c r="O1307">
        <v>63.894156000000002</v>
      </c>
      <c r="P1307" t="s">
        <v>421</v>
      </c>
      <c r="Q1307">
        <v>1</v>
      </c>
      <c r="V1307">
        <v>1</v>
      </c>
      <c r="W1307">
        <v>1</v>
      </c>
      <c r="X1307">
        <v>1</v>
      </c>
      <c r="Y1307">
        <v>1</v>
      </c>
      <c r="Z1307">
        <v>63.894156000000002</v>
      </c>
    </row>
    <row r="1308" spans="1:26" x14ac:dyDescent="0.25">
      <c r="A1308">
        <v>91019</v>
      </c>
      <c r="B1308" t="s">
        <v>156</v>
      </c>
      <c r="C1308">
        <v>2019</v>
      </c>
      <c r="D1308">
        <v>1</v>
      </c>
      <c r="E1308" t="s">
        <v>415</v>
      </c>
      <c r="F1308" t="s">
        <v>416</v>
      </c>
      <c r="G1308" t="s">
        <v>417</v>
      </c>
      <c r="H1308" t="s">
        <v>84</v>
      </c>
      <c r="I1308" t="s">
        <v>418</v>
      </c>
      <c r="J1308" t="s">
        <v>419</v>
      </c>
      <c r="K1308">
        <v>-21967.492632910002</v>
      </c>
      <c r="L1308" t="s">
        <v>85</v>
      </c>
      <c r="M1308" t="s">
        <v>425</v>
      </c>
      <c r="N1308">
        <v>2.6170694898000001E-3</v>
      </c>
      <c r="O1308">
        <v>57.490454999999997</v>
      </c>
      <c r="P1308" t="s">
        <v>421</v>
      </c>
      <c r="Q1308">
        <v>1</v>
      </c>
      <c r="V1308">
        <v>1</v>
      </c>
      <c r="W1308">
        <v>1</v>
      </c>
      <c r="X1308">
        <v>1</v>
      </c>
      <c r="Y1308">
        <v>1</v>
      </c>
      <c r="Z1308">
        <v>57.490454999999997</v>
      </c>
    </row>
    <row r="1309" spans="1:26" x14ac:dyDescent="0.25">
      <c r="A1309">
        <v>91020</v>
      </c>
      <c r="B1309" t="s">
        <v>156</v>
      </c>
      <c r="C1309">
        <v>2019</v>
      </c>
      <c r="D1309">
        <v>1</v>
      </c>
      <c r="E1309" t="s">
        <v>415</v>
      </c>
      <c r="F1309" t="s">
        <v>416</v>
      </c>
      <c r="G1309" t="s">
        <v>417</v>
      </c>
      <c r="H1309" t="s">
        <v>84</v>
      </c>
      <c r="I1309" t="s">
        <v>426</v>
      </c>
      <c r="J1309" t="s">
        <v>87</v>
      </c>
      <c r="K1309">
        <v>-4347.4310306199995</v>
      </c>
      <c r="L1309" t="s">
        <v>427</v>
      </c>
      <c r="M1309" t="s">
        <v>420</v>
      </c>
      <c r="N1309">
        <v>0.45523813654234002</v>
      </c>
      <c r="O1309">
        <v>1979.116401</v>
      </c>
      <c r="P1309" t="s">
        <v>421</v>
      </c>
      <c r="Q1309">
        <v>1</v>
      </c>
      <c r="V1309">
        <v>1</v>
      </c>
      <c r="W1309">
        <v>1</v>
      </c>
      <c r="X1309">
        <v>1</v>
      </c>
      <c r="Y1309">
        <v>1</v>
      </c>
      <c r="Z1309">
        <v>1979.116401</v>
      </c>
    </row>
    <row r="1310" spans="1:26" x14ac:dyDescent="0.25">
      <c r="A1310">
        <v>91021</v>
      </c>
      <c r="B1310" t="s">
        <v>156</v>
      </c>
      <c r="C1310">
        <v>2019</v>
      </c>
      <c r="D1310">
        <v>1</v>
      </c>
      <c r="E1310" t="s">
        <v>415</v>
      </c>
      <c r="F1310" t="s">
        <v>416</v>
      </c>
      <c r="G1310" t="s">
        <v>417</v>
      </c>
      <c r="H1310" t="s">
        <v>84</v>
      </c>
      <c r="I1310" t="s">
        <v>426</v>
      </c>
      <c r="J1310" t="s">
        <v>87</v>
      </c>
      <c r="K1310">
        <v>-4347.4310306199995</v>
      </c>
      <c r="L1310" t="s">
        <v>427</v>
      </c>
      <c r="M1310" t="s">
        <v>422</v>
      </c>
      <c r="N1310">
        <v>6.8896616392329996E-2</v>
      </c>
      <c r="O1310">
        <v>299.52328799999998</v>
      </c>
      <c r="P1310" t="s">
        <v>421</v>
      </c>
      <c r="Q1310">
        <v>1</v>
      </c>
      <c r="V1310">
        <v>1</v>
      </c>
      <c r="W1310">
        <v>1</v>
      </c>
      <c r="X1310">
        <v>1</v>
      </c>
      <c r="Y1310">
        <v>1</v>
      </c>
      <c r="Z1310">
        <v>299.52328799999998</v>
      </c>
    </row>
    <row r="1311" spans="1:26" x14ac:dyDescent="0.25">
      <c r="A1311">
        <v>91022</v>
      </c>
      <c r="B1311" t="s">
        <v>156</v>
      </c>
      <c r="C1311">
        <v>2019</v>
      </c>
      <c r="D1311">
        <v>1</v>
      </c>
      <c r="E1311" t="s">
        <v>415</v>
      </c>
      <c r="F1311" t="s">
        <v>416</v>
      </c>
      <c r="G1311" t="s">
        <v>417</v>
      </c>
      <c r="H1311" t="s">
        <v>84</v>
      </c>
      <c r="I1311" t="s">
        <v>426</v>
      </c>
      <c r="J1311" t="s">
        <v>87</v>
      </c>
      <c r="K1311">
        <v>-4347.4310306199995</v>
      </c>
      <c r="L1311" t="s">
        <v>427</v>
      </c>
      <c r="M1311" t="s">
        <v>423</v>
      </c>
      <c r="N1311">
        <v>0.70986919705586005</v>
      </c>
      <c r="O1311">
        <v>3086.107375</v>
      </c>
      <c r="P1311" t="s">
        <v>421</v>
      </c>
      <c r="Q1311">
        <v>1</v>
      </c>
      <c r="V1311">
        <v>1</v>
      </c>
      <c r="W1311">
        <v>1</v>
      </c>
      <c r="X1311">
        <v>1</v>
      </c>
      <c r="Y1311">
        <v>1</v>
      </c>
      <c r="Z1311">
        <v>3086.107375</v>
      </c>
    </row>
    <row r="1312" spans="1:26" x14ac:dyDescent="0.25">
      <c r="A1312">
        <v>91023</v>
      </c>
      <c r="B1312" t="s">
        <v>156</v>
      </c>
      <c r="C1312">
        <v>2019</v>
      </c>
      <c r="D1312">
        <v>1</v>
      </c>
      <c r="E1312" t="s">
        <v>415</v>
      </c>
      <c r="F1312" t="s">
        <v>416</v>
      </c>
      <c r="G1312" t="s">
        <v>417</v>
      </c>
      <c r="H1312" t="s">
        <v>84</v>
      </c>
      <c r="I1312" t="s">
        <v>426</v>
      </c>
      <c r="J1312" t="s">
        <v>87</v>
      </c>
      <c r="K1312">
        <v>-4347.4310306199995</v>
      </c>
      <c r="L1312" t="s">
        <v>427</v>
      </c>
      <c r="M1312" t="s">
        <v>425</v>
      </c>
      <c r="N1312">
        <v>1.4965642882E-3</v>
      </c>
      <c r="O1312">
        <v>6.5062100000000003</v>
      </c>
      <c r="P1312" t="s">
        <v>421</v>
      </c>
      <c r="Q1312">
        <v>1</v>
      </c>
      <c r="V1312">
        <v>1</v>
      </c>
      <c r="W1312">
        <v>1</v>
      </c>
      <c r="X1312">
        <v>1</v>
      </c>
      <c r="Y1312">
        <v>1</v>
      </c>
      <c r="Z1312">
        <v>6.5062100000000003</v>
      </c>
    </row>
    <row r="1313" spans="1:26" x14ac:dyDescent="0.25">
      <c r="A1313">
        <v>91024</v>
      </c>
      <c r="B1313" t="s">
        <v>156</v>
      </c>
      <c r="C1313">
        <v>2019</v>
      </c>
      <c r="D1313">
        <v>1</v>
      </c>
      <c r="E1313" t="s">
        <v>415</v>
      </c>
      <c r="F1313" t="s">
        <v>416</v>
      </c>
      <c r="G1313" t="s">
        <v>417</v>
      </c>
      <c r="H1313" t="s">
        <v>84</v>
      </c>
      <c r="I1313" t="s">
        <v>428</v>
      </c>
      <c r="J1313" t="s">
        <v>59</v>
      </c>
      <c r="K1313">
        <v>-8617.1568762799998</v>
      </c>
      <c r="L1313" t="s">
        <v>89</v>
      </c>
      <c r="M1313" t="s">
        <v>420</v>
      </c>
      <c r="N1313">
        <v>0.26343870574139999</v>
      </c>
      <c r="O1313">
        <v>2270.0926549999999</v>
      </c>
      <c r="P1313" t="s">
        <v>421</v>
      </c>
      <c r="Q1313">
        <v>1</v>
      </c>
      <c r="V1313">
        <v>1</v>
      </c>
      <c r="W1313">
        <v>1</v>
      </c>
      <c r="X1313">
        <v>1</v>
      </c>
      <c r="Y1313">
        <v>1</v>
      </c>
      <c r="Z1313">
        <v>2270.0926549999999</v>
      </c>
    </row>
    <row r="1314" spans="1:26" x14ac:dyDescent="0.25">
      <c r="A1314">
        <v>91025</v>
      </c>
      <c r="B1314" t="s">
        <v>156</v>
      </c>
      <c r="C1314">
        <v>2019</v>
      </c>
      <c r="D1314">
        <v>1</v>
      </c>
      <c r="E1314" t="s">
        <v>415</v>
      </c>
      <c r="F1314" t="s">
        <v>416</v>
      </c>
      <c r="G1314" t="s">
        <v>417</v>
      </c>
      <c r="H1314" t="s">
        <v>84</v>
      </c>
      <c r="I1314" t="s">
        <v>428</v>
      </c>
      <c r="J1314" t="s">
        <v>59</v>
      </c>
      <c r="K1314">
        <v>-8617.1568762799998</v>
      </c>
      <c r="L1314" t="s">
        <v>89</v>
      </c>
      <c r="M1314" t="s">
        <v>422</v>
      </c>
      <c r="N1314">
        <v>7.1262429683470005E-2</v>
      </c>
      <c r="O1314">
        <v>614.07953599999996</v>
      </c>
      <c r="P1314" t="s">
        <v>421</v>
      </c>
      <c r="Q1314">
        <v>1</v>
      </c>
      <c r="V1314">
        <v>1</v>
      </c>
      <c r="W1314">
        <v>1</v>
      </c>
      <c r="X1314">
        <v>1</v>
      </c>
      <c r="Y1314">
        <v>1</v>
      </c>
      <c r="Z1314">
        <v>614.07953599999996</v>
      </c>
    </row>
    <row r="1315" spans="1:26" x14ac:dyDescent="0.25">
      <c r="A1315">
        <v>91026</v>
      </c>
      <c r="B1315" t="s">
        <v>156</v>
      </c>
      <c r="C1315">
        <v>2019</v>
      </c>
      <c r="D1315">
        <v>1</v>
      </c>
      <c r="E1315" t="s">
        <v>415</v>
      </c>
      <c r="F1315" t="s">
        <v>416</v>
      </c>
      <c r="G1315" t="s">
        <v>417</v>
      </c>
      <c r="H1315" t="s">
        <v>84</v>
      </c>
      <c r="I1315" t="s">
        <v>428</v>
      </c>
      <c r="J1315" t="s">
        <v>59</v>
      </c>
      <c r="K1315">
        <v>-8617.1568762799998</v>
      </c>
      <c r="L1315" t="s">
        <v>89</v>
      </c>
      <c r="M1315" t="s">
        <v>423</v>
      </c>
      <c r="N1315">
        <v>0.74738783869542003</v>
      </c>
      <c r="O1315">
        <v>6440.3582530000003</v>
      </c>
      <c r="P1315" t="s">
        <v>421</v>
      </c>
      <c r="Q1315">
        <v>1</v>
      </c>
      <c r="V1315">
        <v>1</v>
      </c>
      <c r="W1315">
        <v>1</v>
      </c>
      <c r="X1315">
        <v>1</v>
      </c>
      <c r="Y1315">
        <v>1</v>
      </c>
      <c r="Z1315">
        <v>6440.3582530000003</v>
      </c>
    </row>
    <row r="1316" spans="1:26" x14ac:dyDescent="0.25">
      <c r="A1316">
        <v>91027</v>
      </c>
      <c r="B1316" t="s">
        <v>156</v>
      </c>
      <c r="C1316">
        <v>2019</v>
      </c>
      <c r="D1316">
        <v>1</v>
      </c>
      <c r="E1316" t="s">
        <v>415</v>
      </c>
      <c r="F1316" t="s">
        <v>416</v>
      </c>
      <c r="G1316" t="s">
        <v>417</v>
      </c>
      <c r="H1316" t="s">
        <v>84</v>
      </c>
      <c r="I1316" t="s">
        <v>428</v>
      </c>
      <c r="J1316" t="s">
        <v>59</v>
      </c>
      <c r="K1316">
        <v>-8617.1568762799998</v>
      </c>
      <c r="L1316" t="s">
        <v>89</v>
      </c>
      <c r="M1316" t="s">
        <v>424</v>
      </c>
      <c r="N1316">
        <v>3.08071516317E-3</v>
      </c>
      <c r="O1316">
        <v>26.547006</v>
      </c>
      <c r="P1316" t="s">
        <v>421</v>
      </c>
      <c r="Q1316">
        <v>1</v>
      </c>
      <c r="V1316">
        <v>1</v>
      </c>
      <c r="W1316">
        <v>1</v>
      </c>
      <c r="X1316">
        <v>1</v>
      </c>
      <c r="Y1316">
        <v>1</v>
      </c>
      <c r="Z1316">
        <v>26.547006</v>
      </c>
    </row>
    <row r="1317" spans="1:26" x14ac:dyDescent="0.25">
      <c r="A1317">
        <v>91028</v>
      </c>
      <c r="B1317" t="s">
        <v>156</v>
      </c>
      <c r="C1317">
        <v>2019</v>
      </c>
      <c r="D1317">
        <v>1</v>
      </c>
      <c r="E1317" t="s">
        <v>415</v>
      </c>
      <c r="F1317" t="s">
        <v>416</v>
      </c>
      <c r="G1317" t="s">
        <v>417</v>
      </c>
      <c r="H1317" t="s">
        <v>84</v>
      </c>
      <c r="I1317" t="s">
        <v>428</v>
      </c>
      <c r="J1317" t="s">
        <v>59</v>
      </c>
      <c r="K1317">
        <v>-8617.1568762799998</v>
      </c>
      <c r="L1317" t="s">
        <v>89</v>
      </c>
      <c r="M1317" t="s">
        <v>425</v>
      </c>
      <c r="N1317">
        <v>2.5360775708E-3</v>
      </c>
      <c r="O1317">
        <v>21.853777999999998</v>
      </c>
      <c r="P1317" t="s">
        <v>421</v>
      </c>
      <c r="Q1317">
        <v>1</v>
      </c>
      <c r="V1317">
        <v>1</v>
      </c>
      <c r="W1317">
        <v>1</v>
      </c>
      <c r="X1317">
        <v>1</v>
      </c>
      <c r="Y1317">
        <v>1</v>
      </c>
      <c r="Z1317">
        <v>21.853777999999998</v>
      </c>
    </row>
    <row r="1318" spans="1:26" x14ac:dyDescent="0.25">
      <c r="A1318">
        <v>91029</v>
      </c>
      <c r="B1318" t="s">
        <v>156</v>
      </c>
      <c r="C1318">
        <v>2019</v>
      </c>
      <c r="D1318">
        <v>1</v>
      </c>
      <c r="E1318" t="s">
        <v>415</v>
      </c>
      <c r="F1318" t="s">
        <v>429</v>
      </c>
      <c r="G1318" t="s">
        <v>430</v>
      </c>
      <c r="H1318" t="s">
        <v>84</v>
      </c>
      <c r="I1318" t="s">
        <v>431</v>
      </c>
      <c r="J1318" t="s">
        <v>419</v>
      </c>
      <c r="K1318">
        <v>-36562.455434889998</v>
      </c>
      <c r="L1318" t="s">
        <v>85</v>
      </c>
      <c r="M1318" t="s">
        <v>420</v>
      </c>
      <c r="N1318">
        <v>0.24824931095561001</v>
      </c>
      <c r="O1318">
        <v>9076.6043690000006</v>
      </c>
      <c r="P1318" t="s">
        <v>421</v>
      </c>
      <c r="Q1318">
        <v>1</v>
      </c>
      <c r="V1318">
        <v>1</v>
      </c>
      <c r="W1318">
        <v>1</v>
      </c>
      <c r="X1318">
        <v>1</v>
      </c>
      <c r="Y1318">
        <v>1</v>
      </c>
      <c r="Z1318">
        <v>9076.6043690000006</v>
      </c>
    </row>
    <row r="1319" spans="1:26" x14ac:dyDescent="0.25">
      <c r="A1319">
        <v>91030</v>
      </c>
      <c r="B1319" t="s">
        <v>156</v>
      </c>
      <c r="C1319">
        <v>2019</v>
      </c>
      <c r="D1319">
        <v>1</v>
      </c>
      <c r="E1319" t="s">
        <v>415</v>
      </c>
      <c r="F1319" t="s">
        <v>429</v>
      </c>
      <c r="G1319" t="s">
        <v>430</v>
      </c>
      <c r="H1319" t="s">
        <v>84</v>
      </c>
      <c r="I1319" t="s">
        <v>431</v>
      </c>
      <c r="J1319" t="s">
        <v>419</v>
      </c>
      <c r="K1319">
        <v>-36562.455434889998</v>
      </c>
      <c r="L1319" t="s">
        <v>85</v>
      </c>
      <c r="M1319" t="s">
        <v>422</v>
      </c>
      <c r="N1319">
        <v>7.7540047892240005E-2</v>
      </c>
      <c r="O1319">
        <v>2835.054545</v>
      </c>
      <c r="P1319" t="s">
        <v>421</v>
      </c>
      <c r="Q1319">
        <v>1</v>
      </c>
      <c r="V1319">
        <v>1</v>
      </c>
      <c r="W1319">
        <v>1</v>
      </c>
      <c r="X1319">
        <v>1</v>
      </c>
      <c r="Y1319">
        <v>1</v>
      </c>
      <c r="Z1319">
        <v>2835.054545</v>
      </c>
    </row>
    <row r="1320" spans="1:26" x14ac:dyDescent="0.25">
      <c r="A1320">
        <v>91031</v>
      </c>
      <c r="B1320" t="s">
        <v>156</v>
      </c>
      <c r="C1320">
        <v>2019</v>
      </c>
      <c r="D1320">
        <v>1</v>
      </c>
      <c r="E1320" t="s">
        <v>415</v>
      </c>
      <c r="F1320" t="s">
        <v>429</v>
      </c>
      <c r="G1320" t="s">
        <v>430</v>
      </c>
      <c r="H1320" t="s">
        <v>84</v>
      </c>
      <c r="I1320" t="s">
        <v>431</v>
      </c>
      <c r="J1320" t="s">
        <v>419</v>
      </c>
      <c r="K1320">
        <v>-36562.455434889998</v>
      </c>
      <c r="L1320" t="s">
        <v>85</v>
      </c>
      <c r="M1320" t="s">
        <v>423</v>
      </c>
      <c r="N1320">
        <v>0.73979703899049998</v>
      </c>
      <c r="O1320">
        <v>27048.796268999999</v>
      </c>
      <c r="P1320" t="s">
        <v>421</v>
      </c>
      <c r="Q1320">
        <v>1</v>
      </c>
      <c r="V1320">
        <v>1</v>
      </c>
      <c r="W1320">
        <v>1</v>
      </c>
      <c r="X1320">
        <v>1</v>
      </c>
      <c r="Y1320">
        <v>1</v>
      </c>
      <c r="Z1320">
        <v>27048.796268999999</v>
      </c>
    </row>
    <row r="1321" spans="1:26" x14ac:dyDescent="0.25">
      <c r="A1321">
        <v>91032</v>
      </c>
      <c r="B1321" t="s">
        <v>156</v>
      </c>
      <c r="C1321">
        <v>2019</v>
      </c>
      <c r="D1321">
        <v>1</v>
      </c>
      <c r="E1321" t="s">
        <v>415</v>
      </c>
      <c r="F1321" t="s">
        <v>429</v>
      </c>
      <c r="G1321" t="s">
        <v>430</v>
      </c>
      <c r="H1321" t="s">
        <v>84</v>
      </c>
      <c r="I1321" t="s">
        <v>431</v>
      </c>
      <c r="J1321" t="s">
        <v>419</v>
      </c>
      <c r="K1321">
        <v>-36562.455434889998</v>
      </c>
      <c r="L1321" t="s">
        <v>85</v>
      </c>
      <c r="M1321" t="s">
        <v>424</v>
      </c>
      <c r="N1321">
        <v>2.9085775596699999E-3</v>
      </c>
      <c r="O1321">
        <v>106.34473699999999</v>
      </c>
      <c r="P1321" t="s">
        <v>421</v>
      </c>
      <c r="Q1321">
        <v>1</v>
      </c>
      <c r="V1321">
        <v>1</v>
      </c>
      <c r="W1321">
        <v>1</v>
      </c>
      <c r="X1321">
        <v>1</v>
      </c>
      <c r="Y1321">
        <v>1</v>
      </c>
      <c r="Z1321">
        <v>106.34473699999999</v>
      </c>
    </row>
    <row r="1322" spans="1:26" x14ac:dyDescent="0.25">
      <c r="A1322">
        <v>91033</v>
      </c>
      <c r="B1322" t="s">
        <v>156</v>
      </c>
      <c r="C1322">
        <v>2019</v>
      </c>
      <c r="D1322">
        <v>1</v>
      </c>
      <c r="E1322" t="s">
        <v>415</v>
      </c>
      <c r="F1322" t="s">
        <v>429</v>
      </c>
      <c r="G1322" t="s">
        <v>430</v>
      </c>
      <c r="H1322" t="s">
        <v>84</v>
      </c>
      <c r="I1322" t="s">
        <v>431</v>
      </c>
      <c r="J1322" t="s">
        <v>419</v>
      </c>
      <c r="K1322">
        <v>-36562.455434889998</v>
      </c>
      <c r="L1322" t="s">
        <v>85</v>
      </c>
      <c r="M1322" t="s">
        <v>425</v>
      </c>
      <c r="N1322">
        <v>2.6170694898000001E-3</v>
      </c>
      <c r="O1322">
        <v>95.686487</v>
      </c>
      <c r="P1322" t="s">
        <v>421</v>
      </c>
      <c r="Q1322">
        <v>1</v>
      </c>
      <c r="V1322">
        <v>1</v>
      </c>
      <c r="W1322">
        <v>1</v>
      </c>
      <c r="X1322">
        <v>1</v>
      </c>
      <c r="Y1322">
        <v>1</v>
      </c>
      <c r="Z1322">
        <v>95.686487</v>
      </c>
    </row>
    <row r="1323" spans="1:26" x14ac:dyDescent="0.25">
      <c r="A1323">
        <v>91034</v>
      </c>
      <c r="B1323" t="s">
        <v>156</v>
      </c>
      <c r="C1323">
        <v>2019</v>
      </c>
      <c r="D1323">
        <v>1</v>
      </c>
      <c r="E1323" t="s">
        <v>415</v>
      </c>
      <c r="F1323" t="s">
        <v>429</v>
      </c>
      <c r="G1323" t="s">
        <v>430</v>
      </c>
      <c r="H1323" t="s">
        <v>84</v>
      </c>
      <c r="I1323" t="s">
        <v>432</v>
      </c>
      <c r="J1323" t="s">
        <v>87</v>
      </c>
      <c r="K1323">
        <v>-9141.9624499599995</v>
      </c>
      <c r="L1323" t="s">
        <v>427</v>
      </c>
      <c r="M1323" t="s">
        <v>420</v>
      </c>
      <c r="N1323">
        <v>0.45523813654234002</v>
      </c>
      <c r="O1323">
        <v>4161.7699499999999</v>
      </c>
      <c r="P1323" t="s">
        <v>421</v>
      </c>
      <c r="Q1323">
        <v>1</v>
      </c>
      <c r="V1323">
        <v>1</v>
      </c>
      <c r="W1323">
        <v>1</v>
      </c>
      <c r="X1323">
        <v>1</v>
      </c>
      <c r="Y1323">
        <v>1</v>
      </c>
      <c r="Z1323">
        <v>4161.7699499999999</v>
      </c>
    </row>
    <row r="1324" spans="1:26" x14ac:dyDescent="0.25">
      <c r="A1324">
        <v>91035</v>
      </c>
      <c r="B1324" t="s">
        <v>156</v>
      </c>
      <c r="C1324">
        <v>2019</v>
      </c>
      <c r="D1324">
        <v>1</v>
      </c>
      <c r="E1324" t="s">
        <v>415</v>
      </c>
      <c r="F1324" t="s">
        <v>429</v>
      </c>
      <c r="G1324" t="s">
        <v>430</v>
      </c>
      <c r="H1324" t="s">
        <v>84</v>
      </c>
      <c r="I1324" t="s">
        <v>432</v>
      </c>
      <c r="J1324" t="s">
        <v>87</v>
      </c>
      <c r="K1324">
        <v>-9141.9624499599995</v>
      </c>
      <c r="L1324" t="s">
        <v>427</v>
      </c>
      <c r="M1324" t="s">
        <v>422</v>
      </c>
      <c r="N1324">
        <v>6.8896616392329996E-2</v>
      </c>
      <c r="O1324">
        <v>629.85028</v>
      </c>
      <c r="P1324" t="s">
        <v>421</v>
      </c>
      <c r="Q1324">
        <v>1</v>
      </c>
      <c r="V1324">
        <v>1</v>
      </c>
      <c r="W1324">
        <v>1</v>
      </c>
      <c r="X1324">
        <v>1</v>
      </c>
      <c r="Y1324">
        <v>1</v>
      </c>
      <c r="Z1324">
        <v>629.85028</v>
      </c>
    </row>
    <row r="1325" spans="1:26" x14ac:dyDescent="0.25">
      <c r="A1325">
        <v>91036</v>
      </c>
      <c r="B1325" t="s">
        <v>156</v>
      </c>
      <c r="C1325">
        <v>2019</v>
      </c>
      <c r="D1325">
        <v>1</v>
      </c>
      <c r="E1325" t="s">
        <v>415</v>
      </c>
      <c r="F1325" t="s">
        <v>429</v>
      </c>
      <c r="G1325" t="s">
        <v>430</v>
      </c>
      <c r="H1325" t="s">
        <v>84</v>
      </c>
      <c r="I1325" t="s">
        <v>432</v>
      </c>
      <c r="J1325" t="s">
        <v>87</v>
      </c>
      <c r="K1325">
        <v>-9141.9624499599995</v>
      </c>
      <c r="L1325" t="s">
        <v>427</v>
      </c>
      <c r="M1325" t="s">
        <v>423</v>
      </c>
      <c r="N1325">
        <v>0.70986919705586005</v>
      </c>
      <c r="O1325">
        <v>6489.5975440000002</v>
      </c>
      <c r="P1325" t="s">
        <v>421</v>
      </c>
      <c r="Q1325">
        <v>1</v>
      </c>
      <c r="V1325">
        <v>1</v>
      </c>
      <c r="W1325">
        <v>1</v>
      </c>
      <c r="X1325">
        <v>1</v>
      </c>
      <c r="Y1325">
        <v>1</v>
      </c>
      <c r="Z1325">
        <v>6489.5975440000002</v>
      </c>
    </row>
    <row r="1326" spans="1:26" x14ac:dyDescent="0.25">
      <c r="A1326">
        <v>91037</v>
      </c>
      <c r="B1326" t="s">
        <v>156</v>
      </c>
      <c r="C1326">
        <v>2019</v>
      </c>
      <c r="D1326">
        <v>1</v>
      </c>
      <c r="E1326" t="s">
        <v>415</v>
      </c>
      <c r="F1326" t="s">
        <v>429</v>
      </c>
      <c r="G1326" t="s">
        <v>430</v>
      </c>
      <c r="H1326" t="s">
        <v>84</v>
      </c>
      <c r="I1326" t="s">
        <v>432</v>
      </c>
      <c r="J1326" t="s">
        <v>87</v>
      </c>
      <c r="K1326">
        <v>-9141.9624499599995</v>
      </c>
      <c r="L1326" t="s">
        <v>427</v>
      </c>
      <c r="M1326" t="s">
        <v>425</v>
      </c>
      <c r="N1326">
        <v>1.4965642882E-3</v>
      </c>
      <c r="O1326">
        <v>13.681535</v>
      </c>
      <c r="P1326" t="s">
        <v>421</v>
      </c>
      <c r="Q1326">
        <v>1</v>
      </c>
      <c r="V1326">
        <v>1</v>
      </c>
      <c r="W1326">
        <v>1</v>
      </c>
      <c r="X1326">
        <v>1</v>
      </c>
      <c r="Y1326">
        <v>1</v>
      </c>
      <c r="Z1326">
        <v>13.681535</v>
      </c>
    </row>
    <row r="1327" spans="1:26" x14ac:dyDescent="0.25">
      <c r="A1327">
        <v>91038</v>
      </c>
      <c r="B1327" t="s">
        <v>156</v>
      </c>
      <c r="C1327">
        <v>2019</v>
      </c>
      <c r="D1327">
        <v>1</v>
      </c>
      <c r="E1327" t="s">
        <v>415</v>
      </c>
      <c r="F1327" t="s">
        <v>429</v>
      </c>
      <c r="G1327" t="s">
        <v>430</v>
      </c>
      <c r="H1327" t="s">
        <v>84</v>
      </c>
      <c r="I1327" t="s">
        <v>433</v>
      </c>
      <c r="J1327" t="s">
        <v>59</v>
      </c>
      <c r="K1327">
        <v>-12993.658552110001</v>
      </c>
      <c r="L1327" t="s">
        <v>89</v>
      </c>
      <c r="M1327" t="s">
        <v>420</v>
      </c>
      <c r="N1327">
        <v>0.26343870574139999</v>
      </c>
      <c r="O1327">
        <v>3423.032592</v>
      </c>
      <c r="P1327" t="s">
        <v>421</v>
      </c>
      <c r="Q1327">
        <v>1</v>
      </c>
      <c r="V1327">
        <v>1</v>
      </c>
      <c r="W1327">
        <v>1</v>
      </c>
      <c r="X1327">
        <v>1</v>
      </c>
      <c r="Y1327">
        <v>1</v>
      </c>
      <c r="Z1327">
        <v>3423.032592</v>
      </c>
    </row>
    <row r="1328" spans="1:26" x14ac:dyDescent="0.25">
      <c r="A1328">
        <v>91039</v>
      </c>
      <c r="B1328" t="s">
        <v>156</v>
      </c>
      <c r="C1328">
        <v>2019</v>
      </c>
      <c r="D1328">
        <v>1</v>
      </c>
      <c r="E1328" t="s">
        <v>415</v>
      </c>
      <c r="F1328" t="s">
        <v>429</v>
      </c>
      <c r="G1328" t="s">
        <v>430</v>
      </c>
      <c r="H1328" t="s">
        <v>84</v>
      </c>
      <c r="I1328" t="s">
        <v>433</v>
      </c>
      <c r="J1328" t="s">
        <v>59</v>
      </c>
      <c r="K1328">
        <v>-12993.658552110001</v>
      </c>
      <c r="L1328" t="s">
        <v>89</v>
      </c>
      <c r="M1328" t="s">
        <v>422</v>
      </c>
      <c r="N1328">
        <v>7.1262429683470005E-2</v>
      </c>
      <c r="O1328">
        <v>925.95967900000005</v>
      </c>
      <c r="P1328" t="s">
        <v>421</v>
      </c>
      <c r="Q1328">
        <v>1</v>
      </c>
      <c r="V1328">
        <v>1</v>
      </c>
      <c r="W1328">
        <v>1</v>
      </c>
      <c r="X1328">
        <v>1</v>
      </c>
      <c r="Y1328">
        <v>1</v>
      </c>
      <c r="Z1328">
        <v>925.95967900000005</v>
      </c>
    </row>
    <row r="1329" spans="1:26" x14ac:dyDescent="0.25">
      <c r="A1329">
        <v>91040</v>
      </c>
      <c r="B1329" t="s">
        <v>156</v>
      </c>
      <c r="C1329">
        <v>2019</v>
      </c>
      <c r="D1329">
        <v>1</v>
      </c>
      <c r="E1329" t="s">
        <v>415</v>
      </c>
      <c r="F1329" t="s">
        <v>429</v>
      </c>
      <c r="G1329" t="s">
        <v>430</v>
      </c>
      <c r="H1329" t="s">
        <v>84</v>
      </c>
      <c r="I1329" t="s">
        <v>433</v>
      </c>
      <c r="J1329" t="s">
        <v>59</v>
      </c>
      <c r="K1329">
        <v>-12993.658552110001</v>
      </c>
      <c r="L1329" t="s">
        <v>89</v>
      </c>
      <c r="M1329" t="s">
        <v>423</v>
      </c>
      <c r="N1329">
        <v>0.74738783869542003</v>
      </c>
      <c r="O1329">
        <v>9711.3023819999999</v>
      </c>
      <c r="P1329" t="s">
        <v>421</v>
      </c>
      <c r="Q1329">
        <v>1</v>
      </c>
      <c r="V1329">
        <v>1</v>
      </c>
      <c r="W1329">
        <v>1</v>
      </c>
      <c r="X1329">
        <v>1</v>
      </c>
      <c r="Y1329">
        <v>1</v>
      </c>
      <c r="Z1329">
        <v>9711.3023819999999</v>
      </c>
    </row>
    <row r="1330" spans="1:26" x14ac:dyDescent="0.25">
      <c r="A1330">
        <v>91041</v>
      </c>
      <c r="B1330" t="s">
        <v>156</v>
      </c>
      <c r="C1330">
        <v>2019</v>
      </c>
      <c r="D1330">
        <v>1</v>
      </c>
      <c r="E1330" t="s">
        <v>415</v>
      </c>
      <c r="F1330" t="s">
        <v>429</v>
      </c>
      <c r="G1330" t="s">
        <v>430</v>
      </c>
      <c r="H1330" t="s">
        <v>84</v>
      </c>
      <c r="I1330" t="s">
        <v>433</v>
      </c>
      <c r="J1330" t="s">
        <v>59</v>
      </c>
      <c r="K1330">
        <v>-12993.658552110001</v>
      </c>
      <c r="L1330" t="s">
        <v>89</v>
      </c>
      <c r="M1330" t="s">
        <v>424</v>
      </c>
      <c r="N1330">
        <v>3.08071516317E-3</v>
      </c>
      <c r="O1330">
        <v>40.029761000000001</v>
      </c>
      <c r="P1330" t="s">
        <v>421</v>
      </c>
      <c r="Q1330">
        <v>1</v>
      </c>
      <c r="V1330">
        <v>1</v>
      </c>
      <c r="W1330">
        <v>1</v>
      </c>
      <c r="X1330">
        <v>1</v>
      </c>
      <c r="Y1330">
        <v>1</v>
      </c>
      <c r="Z1330">
        <v>40.029761000000001</v>
      </c>
    </row>
    <row r="1331" spans="1:26" x14ac:dyDescent="0.25">
      <c r="A1331">
        <v>91042</v>
      </c>
      <c r="B1331" t="s">
        <v>156</v>
      </c>
      <c r="C1331">
        <v>2019</v>
      </c>
      <c r="D1331">
        <v>1</v>
      </c>
      <c r="E1331" t="s">
        <v>415</v>
      </c>
      <c r="F1331" t="s">
        <v>429</v>
      </c>
      <c r="G1331" t="s">
        <v>430</v>
      </c>
      <c r="H1331" t="s">
        <v>84</v>
      </c>
      <c r="I1331" t="s">
        <v>433</v>
      </c>
      <c r="J1331" t="s">
        <v>59</v>
      </c>
      <c r="K1331">
        <v>-12993.658552110001</v>
      </c>
      <c r="L1331" t="s">
        <v>89</v>
      </c>
      <c r="M1331" t="s">
        <v>425</v>
      </c>
      <c r="N1331">
        <v>2.5360775708E-3</v>
      </c>
      <c r="O1331">
        <v>32.952925999999998</v>
      </c>
      <c r="P1331" t="s">
        <v>421</v>
      </c>
      <c r="Q1331">
        <v>1</v>
      </c>
      <c r="V1331">
        <v>1</v>
      </c>
      <c r="W1331">
        <v>1</v>
      </c>
      <c r="X1331">
        <v>1</v>
      </c>
      <c r="Y1331">
        <v>1</v>
      </c>
      <c r="Z1331">
        <v>32.952925999999998</v>
      </c>
    </row>
    <row r="1332" spans="1:26" x14ac:dyDescent="0.25">
      <c r="A1332">
        <v>91043</v>
      </c>
      <c r="B1332" t="s">
        <v>156</v>
      </c>
      <c r="C1332">
        <v>2019</v>
      </c>
      <c r="D1332">
        <v>1</v>
      </c>
      <c r="E1332" t="s">
        <v>415</v>
      </c>
      <c r="F1332" t="s">
        <v>434</v>
      </c>
      <c r="G1332" t="s">
        <v>435</v>
      </c>
      <c r="H1332" t="s">
        <v>84</v>
      </c>
      <c r="I1332" t="s">
        <v>436</v>
      </c>
      <c r="J1332" t="s">
        <v>419</v>
      </c>
      <c r="K1332">
        <v>-16034.02679007</v>
      </c>
      <c r="L1332" t="s">
        <v>85</v>
      </c>
      <c r="M1332" t="s">
        <v>420</v>
      </c>
      <c r="N1332">
        <v>0.24824931095561001</v>
      </c>
      <c r="O1332">
        <v>3980.4361020000001</v>
      </c>
      <c r="P1332" t="s">
        <v>421</v>
      </c>
      <c r="Q1332">
        <v>1</v>
      </c>
      <c r="V1332">
        <v>1</v>
      </c>
      <c r="W1332">
        <v>1</v>
      </c>
      <c r="X1332">
        <v>1</v>
      </c>
      <c r="Y1332">
        <v>1</v>
      </c>
      <c r="Z1332">
        <v>3980.4361020000001</v>
      </c>
    </row>
    <row r="1333" spans="1:26" x14ac:dyDescent="0.25">
      <c r="A1333">
        <v>91044</v>
      </c>
      <c r="B1333" t="s">
        <v>156</v>
      </c>
      <c r="C1333">
        <v>2019</v>
      </c>
      <c r="D1333">
        <v>1</v>
      </c>
      <c r="E1333" t="s">
        <v>415</v>
      </c>
      <c r="F1333" t="s">
        <v>434</v>
      </c>
      <c r="G1333" t="s">
        <v>435</v>
      </c>
      <c r="H1333" t="s">
        <v>84</v>
      </c>
      <c r="I1333" t="s">
        <v>436</v>
      </c>
      <c r="J1333" t="s">
        <v>419</v>
      </c>
      <c r="K1333">
        <v>-16034.02679007</v>
      </c>
      <c r="L1333" t="s">
        <v>85</v>
      </c>
      <c r="M1333" t="s">
        <v>422</v>
      </c>
      <c r="N1333">
        <v>7.7540047892240005E-2</v>
      </c>
      <c r="O1333">
        <v>1243.279205</v>
      </c>
      <c r="P1333" t="s">
        <v>421</v>
      </c>
      <c r="Q1333">
        <v>1</v>
      </c>
      <c r="V1333">
        <v>1</v>
      </c>
      <c r="W1333">
        <v>1</v>
      </c>
      <c r="X1333">
        <v>1</v>
      </c>
      <c r="Y1333">
        <v>1</v>
      </c>
      <c r="Z1333">
        <v>1243.279205</v>
      </c>
    </row>
    <row r="1334" spans="1:26" x14ac:dyDescent="0.25">
      <c r="A1334">
        <v>91045</v>
      </c>
      <c r="B1334" t="s">
        <v>156</v>
      </c>
      <c r="C1334">
        <v>2019</v>
      </c>
      <c r="D1334">
        <v>1</v>
      </c>
      <c r="E1334" t="s">
        <v>415</v>
      </c>
      <c r="F1334" t="s">
        <v>434</v>
      </c>
      <c r="G1334" t="s">
        <v>435</v>
      </c>
      <c r="H1334" t="s">
        <v>84</v>
      </c>
      <c r="I1334" t="s">
        <v>436</v>
      </c>
      <c r="J1334" t="s">
        <v>419</v>
      </c>
      <c r="K1334">
        <v>-16034.02679007</v>
      </c>
      <c r="L1334" t="s">
        <v>85</v>
      </c>
      <c r="M1334" t="s">
        <v>423</v>
      </c>
      <c r="N1334">
        <v>0.73979703899049998</v>
      </c>
      <c r="O1334">
        <v>11861.925542000001</v>
      </c>
      <c r="P1334" t="s">
        <v>421</v>
      </c>
      <c r="Q1334">
        <v>1</v>
      </c>
      <c r="V1334">
        <v>1</v>
      </c>
      <c r="W1334">
        <v>1</v>
      </c>
      <c r="X1334">
        <v>1</v>
      </c>
      <c r="Y1334">
        <v>1</v>
      </c>
      <c r="Z1334">
        <v>11861.925542000001</v>
      </c>
    </row>
    <row r="1335" spans="1:26" x14ac:dyDescent="0.25">
      <c r="A1335">
        <v>91046</v>
      </c>
      <c r="B1335" t="s">
        <v>156</v>
      </c>
      <c r="C1335">
        <v>2019</v>
      </c>
      <c r="D1335">
        <v>1</v>
      </c>
      <c r="E1335" t="s">
        <v>415</v>
      </c>
      <c r="F1335" t="s">
        <v>434</v>
      </c>
      <c r="G1335" t="s">
        <v>435</v>
      </c>
      <c r="H1335" t="s">
        <v>84</v>
      </c>
      <c r="I1335" t="s">
        <v>436</v>
      </c>
      <c r="J1335" t="s">
        <v>419</v>
      </c>
      <c r="K1335">
        <v>-16034.02679007</v>
      </c>
      <c r="L1335" t="s">
        <v>85</v>
      </c>
      <c r="M1335" t="s">
        <v>424</v>
      </c>
      <c r="N1335">
        <v>2.9085775596699999E-3</v>
      </c>
      <c r="O1335">
        <v>46.636211000000003</v>
      </c>
      <c r="P1335" t="s">
        <v>421</v>
      </c>
      <c r="Q1335">
        <v>1</v>
      </c>
      <c r="V1335">
        <v>1</v>
      </c>
      <c r="W1335">
        <v>1</v>
      </c>
      <c r="X1335">
        <v>1</v>
      </c>
      <c r="Y1335">
        <v>1</v>
      </c>
      <c r="Z1335">
        <v>46.636211000000003</v>
      </c>
    </row>
    <row r="1336" spans="1:26" x14ac:dyDescent="0.25">
      <c r="A1336">
        <v>91047</v>
      </c>
      <c r="B1336" t="s">
        <v>156</v>
      </c>
      <c r="C1336">
        <v>2019</v>
      </c>
      <c r="D1336">
        <v>1</v>
      </c>
      <c r="E1336" t="s">
        <v>415</v>
      </c>
      <c r="F1336" t="s">
        <v>434</v>
      </c>
      <c r="G1336" t="s">
        <v>435</v>
      </c>
      <c r="H1336" t="s">
        <v>84</v>
      </c>
      <c r="I1336" t="s">
        <v>436</v>
      </c>
      <c r="J1336" t="s">
        <v>419</v>
      </c>
      <c r="K1336">
        <v>-16034.02679007</v>
      </c>
      <c r="L1336" t="s">
        <v>85</v>
      </c>
      <c r="M1336" t="s">
        <v>425</v>
      </c>
      <c r="N1336">
        <v>2.6170694898000001E-3</v>
      </c>
      <c r="O1336">
        <v>41.962161999999999</v>
      </c>
      <c r="P1336" t="s">
        <v>421</v>
      </c>
      <c r="Q1336">
        <v>1</v>
      </c>
      <c r="V1336">
        <v>1</v>
      </c>
      <c r="W1336">
        <v>1</v>
      </c>
      <c r="X1336">
        <v>1</v>
      </c>
      <c r="Y1336">
        <v>1</v>
      </c>
      <c r="Z1336">
        <v>41.962161999999999</v>
      </c>
    </row>
    <row r="1337" spans="1:26" x14ac:dyDescent="0.25">
      <c r="A1337">
        <v>91048</v>
      </c>
      <c r="B1337" t="s">
        <v>156</v>
      </c>
      <c r="C1337">
        <v>2019</v>
      </c>
      <c r="D1337">
        <v>1</v>
      </c>
      <c r="E1337" t="s">
        <v>415</v>
      </c>
      <c r="F1337" t="s">
        <v>434</v>
      </c>
      <c r="G1337" t="s">
        <v>435</v>
      </c>
      <c r="H1337" t="s">
        <v>84</v>
      </c>
      <c r="I1337" t="s">
        <v>437</v>
      </c>
      <c r="J1337" t="s">
        <v>87</v>
      </c>
      <c r="K1337">
        <v>-3345.9307153899999</v>
      </c>
      <c r="L1337" t="s">
        <v>427</v>
      </c>
      <c r="M1337" t="s">
        <v>420</v>
      </c>
      <c r="N1337">
        <v>0.45523813654234002</v>
      </c>
      <c r="O1337">
        <v>1523.195264</v>
      </c>
      <c r="P1337" t="s">
        <v>421</v>
      </c>
      <c r="Q1337">
        <v>1</v>
      </c>
      <c r="V1337">
        <v>1</v>
      </c>
      <c r="W1337">
        <v>1</v>
      </c>
      <c r="X1337">
        <v>1</v>
      </c>
      <c r="Y1337">
        <v>1</v>
      </c>
      <c r="Z1337">
        <v>1523.195264</v>
      </c>
    </row>
    <row r="1338" spans="1:26" x14ac:dyDescent="0.25">
      <c r="A1338">
        <v>91049</v>
      </c>
      <c r="B1338" t="s">
        <v>156</v>
      </c>
      <c r="C1338">
        <v>2019</v>
      </c>
      <c r="D1338">
        <v>1</v>
      </c>
      <c r="E1338" t="s">
        <v>415</v>
      </c>
      <c r="F1338" t="s">
        <v>434</v>
      </c>
      <c r="G1338" t="s">
        <v>435</v>
      </c>
      <c r="H1338" t="s">
        <v>84</v>
      </c>
      <c r="I1338" t="s">
        <v>437</v>
      </c>
      <c r="J1338" t="s">
        <v>87</v>
      </c>
      <c r="K1338">
        <v>-3345.9307153899999</v>
      </c>
      <c r="L1338" t="s">
        <v>427</v>
      </c>
      <c r="M1338" t="s">
        <v>422</v>
      </c>
      <c r="N1338">
        <v>6.8896616392329996E-2</v>
      </c>
      <c r="O1338">
        <v>230.52330499999999</v>
      </c>
      <c r="P1338" t="s">
        <v>421</v>
      </c>
      <c r="Q1338">
        <v>1</v>
      </c>
      <c r="V1338">
        <v>1</v>
      </c>
      <c r="W1338">
        <v>1</v>
      </c>
      <c r="X1338">
        <v>1</v>
      </c>
      <c r="Y1338">
        <v>1</v>
      </c>
      <c r="Z1338">
        <v>230.52330499999999</v>
      </c>
    </row>
    <row r="1339" spans="1:26" x14ac:dyDescent="0.25">
      <c r="A1339">
        <v>91050</v>
      </c>
      <c r="B1339" t="s">
        <v>156</v>
      </c>
      <c r="C1339">
        <v>2019</v>
      </c>
      <c r="D1339">
        <v>1</v>
      </c>
      <c r="E1339" t="s">
        <v>415</v>
      </c>
      <c r="F1339" t="s">
        <v>434</v>
      </c>
      <c r="G1339" t="s">
        <v>435</v>
      </c>
      <c r="H1339" t="s">
        <v>84</v>
      </c>
      <c r="I1339" t="s">
        <v>437</v>
      </c>
      <c r="J1339" t="s">
        <v>87</v>
      </c>
      <c r="K1339">
        <v>-3345.9307153899999</v>
      </c>
      <c r="L1339" t="s">
        <v>427</v>
      </c>
      <c r="M1339" t="s">
        <v>423</v>
      </c>
      <c r="N1339">
        <v>0.70986919705586005</v>
      </c>
      <c r="O1339">
        <v>2375.1731500000001</v>
      </c>
      <c r="P1339" t="s">
        <v>421</v>
      </c>
      <c r="Q1339">
        <v>1</v>
      </c>
      <c r="V1339">
        <v>1</v>
      </c>
      <c r="W1339">
        <v>1</v>
      </c>
      <c r="X1339">
        <v>1</v>
      </c>
      <c r="Y1339">
        <v>1</v>
      </c>
      <c r="Z1339">
        <v>2375.1731500000001</v>
      </c>
    </row>
    <row r="1340" spans="1:26" x14ac:dyDescent="0.25">
      <c r="A1340">
        <v>91051</v>
      </c>
      <c r="B1340" t="s">
        <v>156</v>
      </c>
      <c r="C1340">
        <v>2019</v>
      </c>
      <c r="D1340">
        <v>1</v>
      </c>
      <c r="E1340" t="s">
        <v>415</v>
      </c>
      <c r="F1340" t="s">
        <v>434</v>
      </c>
      <c r="G1340" t="s">
        <v>435</v>
      </c>
      <c r="H1340" t="s">
        <v>84</v>
      </c>
      <c r="I1340" t="s">
        <v>437</v>
      </c>
      <c r="J1340" t="s">
        <v>87</v>
      </c>
      <c r="K1340">
        <v>-3345.9307153899999</v>
      </c>
      <c r="L1340" t="s">
        <v>427</v>
      </c>
      <c r="M1340" t="s">
        <v>425</v>
      </c>
      <c r="N1340">
        <v>1.4965642882E-3</v>
      </c>
      <c r="O1340">
        <v>5.0073999999999996</v>
      </c>
      <c r="P1340" t="s">
        <v>421</v>
      </c>
      <c r="Q1340">
        <v>1</v>
      </c>
      <c r="V1340">
        <v>1</v>
      </c>
      <c r="W1340">
        <v>1</v>
      </c>
      <c r="X1340">
        <v>1</v>
      </c>
      <c r="Y1340">
        <v>1</v>
      </c>
      <c r="Z1340">
        <v>5.0073999999999996</v>
      </c>
    </row>
    <row r="1341" spans="1:26" x14ac:dyDescent="0.25">
      <c r="A1341">
        <v>91052</v>
      </c>
      <c r="B1341" t="s">
        <v>156</v>
      </c>
      <c r="C1341">
        <v>2019</v>
      </c>
      <c r="D1341">
        <v>1</v>
      </c>
      <c r="E1341" t="s">
        <v>415</v>
      </c>
      <c r="F1341" t="s">
        <v>434</v>
      </c>
      <c r="G1341" t="s">
        <v>435</v>
      </c>
      <c r="H1341" t="s">
        <v>84</v>
      </c>
      <c r="I1341" t="s">
        <v>438</v>
      </c>
      <c r="J1341" t="s">
        <v>59</v>
      </c>
      <c r="K1341">
        <v>-6270.7591874500004</v>
      </c>
      <c r="L1341" t="s">
        <v>89</v>
      </c>
      <c r="M1341" t="s">
        <v>420</v>
      </c>
      <c r="N1341">
        <v>0.26343870574139999</v>
      </c>
      <c r="O1341">
        <v>1651.9606839999999</v>
      </c>
      <c r="P1341" t="s">
        <v>421</v>
      </c>
      <c r="Q1341">
        <v>1</v>
      </c>
      <c r="V1341">
        <v>1</v>
      </c>
      <c r="W1341">
        <v>1</v>
      </c>
      <c r="X1341">
        <v>1</v>
      </c>
      <c r="Y1341">
        <v>1</v>
      </c>
      <c r="Z1341">
        <v>1651.9606839999999</v>
      </c>
    </row>
    <row r="1342" spans="1:26" x14ac:dyDescent="0.25">
      <c r="A1342">
        <v>91053</v>
      </c>
      <c r="B1342" t="s">
        <v>156</v>
      </c>
      <c r="C1342">
        <v>2019</v>
      </c>
      <c r="D1342">
        <v>1</v>
      </c>
      <c r="E1342" t="s">
        <v>415</v>
      </c>
      <c r="F1342" t="s">
        <v>434</v>
      </c>
      <c r="G1342" t="s">
        <v>435</v>
      </c>
      <c r="H1342" t="s">
        <v>84</v>
      </c>
      <c r="I1342" t="s">
        <v>438</v>
      </c>
      <c r="J1342" t="s">
        <v>59</v>
      </c>
      <c r="K1342">
        <v>-6270.7591874500004</v>
      </c>
      <c r="L1342" t="s">
        <v>89</v>
      </c>
      <c r="M1342" t="s">
        <v>422</v>
      </c>
      <c r="N1342">
        <v>7.1262429683470005E-2</v>
      </c>
      <c r="O1342">
        <v>446.86953599999998</v>
      </c>
      <c r="P1342" t="s">
        <v>421</v>
      </c>
      <c r="Q1342">
        <v>1</v>
      </c>
      <c r="V1342">
        <v>1</v>
      </c>
      <c r="W1342">
        <v>1</v>
      </c>
      <c r="X1342">
        <v>1</v>
      </c>
      <c r="Y1342">
        <v>1</v>
      </c>
      <c r="Z1342">
        <v>446.86953599999998</v>
      </c>
    </row>
    <row r="1343" spans="1:26" x14ac:dyDescent="0.25">
      <c r="A1343">
        <v>91054</v>
      </c>
      <c r="B1343" t="s">
        <v>156</v>
      </c>
      <c r="C1343">
        <v>2019</v>
      </c>
      <c r="D1343">
        <v>1</v>
      </c>
      <c r="E1343" t="s">
        <v>415</v>
      </c>
      <c r="F1343" t="s">
        <v>434</v>
      </c>
      <c r="G1343" t="s">
        <v>435</v>
      </c>
      <c r="H1343" t="s">
        <v>84</v>
      </c>
      <c r="I1343" t="s">
        <v>438</v>
      </c>
      <c r="J1343" t="s">
        <v>59</v>
      </c>
      <c r="K1343">
        <v>-6270.7591874500004</v>
      </c>
      <c r="L1343" t="s">
        <v>89</v>
      </c>
      <c r="M1343" t="s">
        <v>423</v>
      </c>
      <c r="N1343">
        <v>0.74738783869542003</v>
      </c>
      <c r="O1343">
        <v>4686.6891560000004</v>
      </c>
      <c r="P1343" t="s">
        <v>421</v>
      </c>
      <c r="Q1343">
        <v>1</v>
      </c>
      <c r="V1343">
        <v>1</v>
      </c>
      <c r="W1343">
        <v>1</v>
      </c>
      <c r="X1343">
        <v>1</v>
      </c>
      <c r="Y1343">
        <v>1</v>
      </c>
      <c r="Z1343">
        <v>4686.6891560000004</v>
      </c>
    </row>
    <row r="1344" spans="1:26" x14ac:dyDescent="0.25">
      <c r="A1344">
        <v>91055</v>
      </c>
      <c r="B1344" t="s">
        <v>156</v>
      </c>
      <c r="C1344">
        <v>2019</v>
      </c>
      <c r="D1344">
        <v>1</v>
      </c>
      <c r="E1344" t="s">
        <v>415</v>
      </c>
      <c r="F1344" t="s">
        <v>434</v>
      </c>
      <c r="G1344" t="s">
        <v>435</v>
      </c>
      <c r="H1344" t="s">
        <v>84</v>
      </c>
      <c r="I1344" t="s">
        <v>438</v>
      </c>
      <c r="J1344" t="s">
        <v>59</v>
      </c>
      <c r="K1344">
        <v>-6270.7591874500004</v>
      </c>
      <c r="L1344" t="s">
        <v>89</v>
      </c>
      <c r="M1344" t="s">
        <v>424</v>
      </c>
      <c r="N1344">
        <v>3.08071516317E-3</v>
      </c>
      <c r="O1344">
        <v>19.318422999999999</v>
      </c>
      <c r="P1344" t="s">
        <v>421</v>
      </c>
      <c r="Q1344">
        <v>1</v>
      </c>
      <c r="V1344">
        <v>1</v>
      </c>
      <c r="W1344">
        <v>1</v>
      </c>
      <c r="X1344">
        <v>1</v>
      </c>
      <c r="Y1344">
        <v>1</v>
      </c>
      <c r="Z1344">
        <v>19.318422999999999</v>
      </c>
    </row>
    <row r="1345" spans="1:26" x14ac:dyDescent="0.25">
      <c r="A1345">
        <v>91056</v>
      </c>
      <c r="B1345" t="s">
        <v>156</v>
      </c>
      <c r="C1345">
        <v>2019</v>
      </c>
      <c r="D1345">
        <v>1</v>
      </c>
      <c r="E1345" t="s">
        <v>415</v>
      </c>
      <c r="F1345" t="s">
        <v>434</v>
      </c>
      <c r="G1345" t="s">
        <v>435</v>
      </c>
      <c r="H1345" t="s">
        <v>84</v>
      </c>
      <c r="I1345" t="s">
        <v>438</v>
      </c>
      <c r="J1345" t="s">
        <v>59</v>
      </c>
      <c r="K1345">
        <v>-6270.7591874500004</v>
      </c>
      <c r="L1345" t="s">
        <v>89</v>
      </c>
      <c r="M1345" t="s">
        <v>425</v>
      </c>
      <c r="N1345">
        <v>2.5360775708E-3</v>
      </c>
      <c r="O1345">
        <v>15.903131999999999</v>
      </c>
      <c r="P1345" t="s">
        <v>421</v>
      </c>
      <c r="Q1345">
        <v>1</v>
      </c>
      <c r="V1345">
        <v>1</v>
      </c>
      <c r="W1345">
        <v>1</v>
      </c>
      <c r="X1345">
        <v>1</v>
      </c>
      <c r="Y1345">
        <v>1</v>
      </c>
      <c r="Z1345">
        <v>15.903131999999999</v>
      </c>
    </row>
    <row r="1346" spans="1:26" x14ac:dyDescent="0.25">
      <c r="A1346">
        <v>145783</v>
      </c>
      <c r="B1346" t="s">
        <v>442</v>
      </c>
      <c r="C1346">
        <v>2020</v>
      </c>
      <c r="D1346">
        <v>1</v>
      </c>
      <c r="E1346" t="s">
        <v>415</v>
      </c>
      <c r="F1346" t="s">
        <v>416</v>
      </c>
      <c r="G1346" t="s">
        <v>417</v>
      </c>
      <c r="H1346" t="s">
        <v>84</v>
      </c>
      <c r="I1346" t="s">
        <v>418</v>
      </c>
      <c r="J1346" t="s">
        <v>419</v>
      </c>
      <c r="K1346">
        <v>-47128.691450810002</v>
      </c>
      <c r="L1346" t="s">
        <v>85</v>
      </c>
      <c r="M1346" t="s">
        <v>420</v>
      </c>
      <c r="N1346">
        <v>0.24824931095561001</v>
      </c>
      <c r="O1346">
        <v>11699.665179</v>
      </c>
      <c r="P1346" t="s">
        <v>421</v>
      </c>
      <c r="Q1346">
        <v>1</v>
      </c>
      <c r="V1346">
        <v>1</v>
      </c>
      <c r="W1346">
        <v>1</v>
      </c>
      <c r="X1346">
        <v>1</v>
      </c>
      <c r="Y1346">
        <v>1</v>
      </c>
      <c r="Z1346">
        <v>11699.665179</v>
      </c>
    </row>
    <row r="1347" spans="1:26" x14ac:dyDescent="0.25">
      <c r="A1347">
        <v>145784</v>
      </c>
      <c r="B1347" t="s">
        <v>442</v>
      </c>
      <c r="C1347">
        <v>2020</v>
      </c>
      <c r="D1347">
        <v>1</v>
      </c>
      <c r="E1347" t="s">
        <v>415</v>
      </c>
      <c r="F1347" t="s">
        <v>416</v>
      </c>
      <c r="G1347" t="s">
        <v>417</v>
      </c>
      <c r="H1347" t="s">
        <v>84</v>
      </c>
      <c r="I1347" t="s">
        <v>418</v>
      </c>
      <c r="J1347" t="s">
        <v>419</v>
      </c>
      <c r="K1347">
        <v>-47128.691450810002</v>
      </c>
      <c r="L1347" t="s">
        <v>85</v>
      </c>
      <c r="M1347" t="s">
        <v>422</v>
      </c>
      <c r="N1347">
        <v>7.7540047892240005E-2</v>
      </c>
      <c r="O1347">
        <v>3654.3609919999999</v>
      </c>
      <c r="P1347" t="s">
        <v>421</v>
      </c>
      <c r="Q1347">
        <v>1</v>
      </c>
      <c r="V1347">
        <v>1</v>
      </c>
      <c r="W1347">
        <v>1</v>
      </c>
      <c r="X1347">
        <v>1</v>
      </c>
      <c r="Y1347">
        <v>1</v>
      </c>
      <c r="Z1347">
        <v>3654.3609919999999</v>
      </c>
    </row>
    <row r="1348" spans="1:26" x14ac:dyDescent="0.25">
      <c r="A1348">
        <v>145785</v>
      </c>
      <c r="B1348" t="s">
        <v>442</v>
      </c>
      <c r="C1348">
        <v>2020</v>
      </c>
      <c r="D1348">
        <v>1</v>
      </c>
      <c r="E1348" t="s">
        <v>415</v>
      </c>
      <c r="F1348" t="s">
        <v>416</v>
      </c>
      <c r="G1348" t="s">
        <v>417</v>
      </c>
      <c r="H1348" t="s">
        <v>84</v>
      </c>
      <c r="I1348" t="s">
        <v>418</v>
      </c>
      <c r="J1348" t="s">
        <v>419</v>
      </c>
      <c r="K1348">
        <v>-47128.691450810002</v>
      </c>
      <c r="L1348" t="s">
        <v>85</v>
      </c>
      <c r="M1348" t="s">
        <v>423</v>
      </c>
      <c r="N1348">
        <v>0.73979703899049998</v>
      </c>
      <c r="O1348">
        <v>34865.666386999997</v>
      </c>
      <c r="P1348" t="s">
        <v>421</v>
      </c>
      <c r="Q1348">
        <v>1</v>
      </c>
      <c r="V1348">
        <v>1</v>
      </c>
      <c r="W1348">
        <v>1</v>
      </c>
      <c r="X1348">
        <v>1</v>
      </c>
      <c r="Y1348">
        <v>1</v>
      </c>
      <c r="Z1348">
        <v>34865.666386999997</v>
      </c>
    </row>
    <row r="1349" spans="1:26" x14ac:dyDescent="0.25">
      <c r="A1349">
        <v>145786</v>
      </c>
      <c r="B1349" t="s">
        <v>442</v>
      </c>
      <c r="C1349">
        <v>2020</v>
      </c>
      <c r="D1349">
        <v>1</v>
      </c>
      <c r="E1349" t="s">
        <v>415</v>
      </c>
      <c r="F1349" t="s">
        <v>416</v>
      </c>
      <c r="G1349" t="s">
        <v>417</v>
      </c>
      <c r="H1349" t="s">
        <v>84</v>
      </c>
      <c r="I1349" t="s">
        <v>418</v>
      </c>
      <c r="J1349" t="s">
        <v>419</v>
      </c>
      <c r="K1349">
        <v>-47128.691450810002</v>
      </c>
      <c r="L1349" t="s">
        <v>85</v>
      </c>
      <c r="M1349" t="s">
        <v>424</v>
      </c>
      <c r="N1349">
        <v>2.9085775596699999E-3</v>
      </c>
      <c r="O1349">
        <v>137.07745399999999</v>
      </c>
      <c r="P1349" t="s">
        <v>421</v>
      </c>
      <c r="Q1349">
        <v>1</v>
      </c>
      <c r="V1349">
        <v>1</v>
      </c>
      <c r="W1349">
        <v>1</v>
      </c>
      <c r="X1349">
        <v>1</v>
      </c>
      <c r="Y1349">
        <v>1</v>
      </c>
      <c r="Z1349">
        <v>137.07745399999999</v>
      </c>
    </row>
    <row r="1350" spans="1:26" x14ac:dyDescent="0.25">
      <c r="A1350">
        <v>145787</v>
      </c>
      <c r="B1350" t="s">
        <v>442</v>
      </c>
      <c r="C1350">
        <v>2020</v>
      </c>
      <c r="D1350">
        <v>1</v>
      </c>
      <c r="E1350" t="s">
        <v>415</v>
      </c>
      <c r="F1350" t="s">
        <v>416</v>
      </c>
      <c r="G1350" t="s">
        <v>417</v>
      </c>
      <c r="H1350" t="s">
        <v>84</v>
      </c>
      <c r="I1350" t="s">
        <v>418</v>
      </c>
      <c r="J1350" t="s">
        <v>419</v>
      </c>
      <c r="K1350">
        <v>-47128.691450810002</v>
      </c>
      <c r="L1350" t="s">
        <v>85</v>
      </c>
      <c r="M1350" t="s">
        <v>425</v>
      </c>
      <c r="N1350">
        <v>2.6170694898000001E-3</v>
      </c>
      <c r="O1350">
        <v>123.33906</v>
      </c>
      <c r="P1350" t="s">
        <v>421</v>
      </c>
      <c r="Q1350">
        <v>1</v>
      </c>
      <c r="V1350">
        <v>1</v>
      </c>
      <c r="W1350">
        <v>1</v>
      </c>
      <c r="X1350">
        <v>1</v>
      </c>
      <c r="Y1350">
        <v>1</v>
      </c>
      <c r="Z1350">
        <v>123.33906</v>
      </c>
    </row>
    <row r="1351" spans="1:26" x14ac:dyDescent="0.25">
      <c r="A1351">
        <v>145788</v>
      </c>
      <c r="B1351" t="s">
        <v>442</v>
      </c>
      <c r="C1351">
        <v>2020</v>
      </c>
      <c r="D1351">
        <v>1</v>
      </c>
      <c r="E1351" t="s">
        <v>415</v>
      </c>
      <c r="F1351" t="s">
        <v>416</v>
      </c>
      <c r="G1351" t="s">
        <v>417</v>
      </c>
      <c r="H1351" t="s">
        <v>84</v>
      </c>
      <c r="I1351" t="s">
        <v>426</v>
      </c>
      <c r="J1351" t="s">
        <v>87</v>
      </c>
      <c r="K1351">
        <v>-10679.17851591</v>
      </c>
      <c r="L1351" t="s">
        <v>427</v>
      </c>
      <c r="M1351" t="s">
        <v>420</v>
      </c>
      <c r="N1351">
        <v>0.45523813654234002</v>
      </c>
      <c r="O1351">
        <v>4861.5693270000002</v>
      </c>
      <c r="P1351" t="s">
        <v>421</v>
      </c>
      <c r="Q1351">
        <v>1</v>
      </c>
      <c r="V1351">
        <v>1</v>
      </c>
      <c r="W1351">
        <v>1</v>
      </c>
      <c r="X1351">
        <v>1</v>
      </c>
      <c r="Y1351">
        <v>1</v>
      </c>
      <c r="Z1351">
        <v>4861.5693270000002</v>
      </c>
    </row>
    <row r="1352" spans="1:26" x14ac:dyDescent="0.25">
      <c r="A1352">
        <v>145789</v>
      </c>
      <c r="B1352" t="s">
        <v>442</v>
      </c>
      <c r="C1352">
        <v>2020</v>
      </c>
      <c r="D1352">
        <v>1</v>
      </c>
      <c r="E1352" t="s">
        <v>415</v>
      </c>
      <c r="F1352" t="s">
        <v>416</v>
      </c>
      <c r="G1352" t="s">
        <v>417</v>
      </c>
      <c r="H1352" t="s">
        <v>84</v>
      </c>
      <c r="I1352" t="s">
        <v>426</v>
      </c>
      <c r="J1352" t="s">
        <v>87</v>
      </c>
      <c r="K1352">
        <v>-10679.17851591</v>
      </c>
      <c r="L1352" t="s">
        <v>427</v>
      </c>
      <c r="M1352" t="s">
        <v>422</v>
      </c>
      <c r="N1352">
        <v>6.8896616392329996E-2</v>
      </c>
      <c r="O1352">
        <v>735.75926600000003</v>
      </c>
      <c r="P1352" t="s">
        <v>421</v>
      </c>
      <c r="Q1352">
        <v>1</v>
      </c>
      <c r="V1352">
        <v>1</v>
      </c>
      <c r="W1352">
        <v>1</v>
      </c>
      <c r="X1352">
        <v>1</v>
      </c>
      <c r="Y1352">
        <v>1</v>
      </c>
      <c r="Z1352">
        <v>735.75926600000003</v>
      </c>
    </row>
    <row r="1353" spans="1:26" x14ac:dyDescent="0.25">
      <c r="A1353">
        <v>145790</v>
      </c>
      <c r="B1353" t="s">
        <v>442</v>
      </c>
      <c r="C1353">
        <v>2020</v>
      </c>
      <c r="D1353">
        <v>1</v>
      </c>
      <c r="E1353" t="s">
        <v>415</v>
      </c>
      <c r="F1353" t="s">
        <v>416</v>
      </c>
      <c r="G1353" t="s">
        <v>417</v>
      </c>
      <c r="H1353" t="s">
        <v>84</v>
      </c>
      <c r="I1353" t="s">
        <v>426</v>
      </c>
      <c r="J1353" t="s">
        <v>87</v>
      </c>
      <c r="K1353">
        <v>-10679.17851591</v>
      </c>
      <c r="L1353" t="s">
        <v>427</v>
      </c>
      <c r="M1353" t="s">
        <v>423</v>
      </c>
      <c r="N1353">
        <v>0.70986919705586005</v>
      </c>
      <c r="O1353">
        <v>7580.8198780000002</v>
      </c>
      <c r="P1353" t="s">
        <v>421</v>
      </c>
      <c r="Q1353">
        <v>1</v>
      </c>
      <c r="V1353">
        <v>1</v>
      </c>
      <c r="W1353">
        <v>1</v>
      </c>
      <c r="X1353">
        <v>1</v>
      </c>
      <c r="Y1353">
        <v>1</v>
      </c>
      <c r="Z1353">
        <v>7580.8198780000002</v>
      </c>
    </row>
    <row r="1354" spans="1:26" x14ac:dyDescent="0.25">
      <c r="A1354">
        <v>145791</v>
      </c>
      <c r="B1354" t="s">
        <v>442</v>
      </c>
      <c r="C1354">
        <v>2020</v>
      </c>
      <c r="D1354">
        <v>1</v>
      </c>
      <c r="E1354" t="s">
        <v>415</v>
      </c>
      <c r="F1354" t="s">
        <v>416</v>
      </c>
      <c r="G1354" t="s">
        <v>417</v>
      </c>
      <c r="H1354" t="s">
        <v>84</v>
      </c>
      <c r="I1354" t="s">
        <v>426</v>
      </c>
      <c r="J1354" t="s">
        <v>87</v>
      </c>
      <c r="K1354">
        <v>-10679.17851591</v>
      </c>
      <c r="L1354" t="s">
        <v>427</v>
      </c>
      <c r="M1354" t="s">
        <v>425</v>
      </c>
      <c r="N1354">
        <v>1.4965642882E-3</v>
      </c>
      <c r="O1354">
        <v>15.982077</v>
      </c>
      <c r="P1354" t="s">
        <v>421</v>
      </c>
      <c r="Q1354">
        <v>1</v>
      </c>
      <c r="V1354">
        <v>1</v>
      </c>
      <c r="W1354">
        <v>1</v>
      </c>
      <c r="X1354">
        <v>1</v>
      </c>
      <c r="Y1354">
        <v>1</v>
      </c>
      <c r="Z1354">
        <v>15.982077</v>
      </c>
    </row>
    <row r="1355" spans="1:26" x14ac:dyDescent="0.25">
      <c r="A1355">
        <v>145792</v>
      </c>
      <c r="B1355" t="s">
        <v>442</v>
      </c>
      <c r="C1355">
        <v>2020</v>
      </c>
      <c r="D1355">
        <v>1</v>
      </c>
      <c r="E1355" t="s">
        <v>415</v>
      </c>
      <c r="F1355" t="s">
        <v>416</v>
      </c>
      <c r="G1355" t="s">
        <v>417</v>
      </c>
      <c r="H1355" t="s">
        <v>84</v>
      </c>
      <c r="I1355" t="s">
        <v>428</v>
      </c>
      <c r="J1355" t="s">
        <v>59</v>
      </c>
      <c r="K1355">
        <v>-24376.453206499998</v>
      </c>
      <c r="L1355" t="s">
        <v>89</v>
      </c>
      <c r="M1355" t="s">
        <v>420</v>
      </c>
      <c r="N1355">
        <v>0.26343870574139999</v>
      </c>
      <c r="O1355">
        <v>6421.7012830000003</v>
      </c>
      <c r="P1355" t="s">
        <v>421</v>
      </c>
      <c r="Q1355">
        <v>1</v>
      </c>
      <c r="V1355">
        <v>1</v>
      </c>
      <c r="W1355">
        <v>1</v>
      </c>
      <c r="X1355">
        <v>1</v>
      </c>
      <c r="Y1355">
        <v>1</v>
      </c>
      <c r="Z1355">
        <v>6421.7012830000003</v>
      </c>
    </row>
    <row r="1356" spans="1:26" x14ac:dyDescent="0.25">
      <c r="A1356">
        <v>145793</v>
      </c>
      <c r="B1356" t="s">
        <v>442</v>
      </c>
      <c r="C1356">
        <v>2020</v>
      </c>
      <c r="D1356">
        <v>1</v>
      </c>
      <c r="E1356" t="s">
        <v>415</v>
      </c>
      <c r="F1356" t="s">
        <v>416</v>
      </c>
      <c r="G1356" t="s">
        <v>417</v>
      </c>
      <c r="H1356" t="s">
        <v>84</v>
      </c>
      <c r="I1356" t="s">
        <v>428</v>
      </c>
      <c r="J1356" t="s">
        <v>59</v>
      </c>
      <c r="K1356">
        <v>-24376.453206499998</v>
      </c>
      <c r="L1356" t="s">
        <v>89</v>
      </c>
      <c r="M1356" t="s">
        <v>422</v>
      </c>
      <c r="N1356">
        <v>7.1262429683470005E-2</v>
      </c>
      <c r="O1356">
        <v>1737.1252830000001</v>
      </c>
      <c r="P1356" t="s">
        <v>421</v>
      </c>
      <c r="Q1356">
        <v>1</v>
      </c>
      <c r="V1356">
        <v>1</v>
      </c>
      <c r="W1356">
        <v>1</v>
      </c>
      <c r="X1356">
        <v>1</v>
      </c>
      <c r="Y1356">
        <v>1</v>
      </c>
      <c r="Z1356">
        <v>1737.1252830000001</v>
      </c>
    </row>
    <row r="1357" spans="1:26" x14ac:dyDescent="0.25">
      <c r="A1357">
        <v>145794</v>
      </c>
      <c r="B1357" t="s">
        <v>442</v>
      </c>
      <c r="C1357">
        <v>2020</v>
      </c>
      <c r="D1357">
        <v>1</v>
      </c>
      <c r="E1357" t="s">
        <v>415</v>
      </c>
      <c r="F1357" t="s">
        <v>416</v>
      </c>
      <c r="G1357" t="s">
        <v>417</v>
      </c>
      <c r="H1357" t="s">
        <v>84</v>
      </c>
      <c r="I1357" t="s">
        <v>428</v>
      </c>
      <c r="J1357" t="s">
        <v>59</v>
      </c>
      <c r="K1357">
        <v>-24376.453206499998</v>
      </c>
      <c r="L1357" t="s">
        <v>89</v>
      </c>
      <c r="M1357" t="s">
        <v>423</v>
      </c>
      <c r="N1357">
        <v>0.74738783869542003</v>
      </c>
      <c r="O1357">
        <v>18218.664677000001</v>
      </c>
      <c r="P1357" t="s">
        <v>421</v>
      </c>
      <c r="Q1357">
        <v>1</v>
      </c>
      <c r="V1357">
        <v>1</v>
      </c>
      <c r="W1357">
        <v>1</v>
      </c>
      <c r="X1357">
        <v>1</v>
      </c>
      <c r="Y1357">
        <v>1</v>
      </c>
      <c r="Z1357">
        <v>18218.664677000001</v>
      </c>
    </row>
    <row r="1358" spans="1:26" x14ac:dyDescent="0.25">
      <c r="A1358">
        <v>145795</v>
      </c>
      <c r="B1358" t="s">
        <v>442</v>
      </c>
      <c r="C1358">
        <v>2020</v>
      </c>
      <c r="D1358">
        <v>1</v>
      </c>
      <c r="E1358" t="s">
        <v>415</v>
      </c>
      <c r="F1358" t="s">
        <v>416</v>
      </c>
      <c r="G1358" t="s">
        <v>417</v>
      </c>
      <c r="H1358" t="s">
        <v>84</v>
      </c>
      <c r="I1358" t="s">
        <v>428</v>
      </c>
      <c r="J1358" t="s">
        <v>59</v>
      </c>
      <c r="K1358">
        <v>-24376.453206499998</v>
      </c>
      <c r="L1358" t="s">
        <v>89</v>
      </c>
      <c r="M1358" t="s">
        <v>424</v>
      </c>
      <c r="N1358">
        <v>3.08071516317E-3</v>
      </c>
      <c r="O1358">
        <v>75.096908999999997</v>
      </c>
      <c r="P1358" t="s">
        <v>421</v>
      </c>
      <c r="Q1358">
        <v>1</v>
      </c>
      <c r="V1358">
        <v>1</v>
      </c>
      <c r="W1358">
        <v>1</v>
      </c>
      <c r="X1358">
        <v>1</v>
      </c>
      <c r="Y1358">
        <v>1</v>
      </c>
      <c r="Z1358">
        <v>75.096908999999997</v>
      </c>
    </row>
    <row r="1359" spans="1:26" x14ac:dyDescent="0.25">
      <c r="A1359">
        <v>145796</v>
      </c>
      <c r="B1359" t="s">
        <v>442</v>
      </c>
      <c r="C1359">
        <v>2020</v>
      </c>
      <c r="D1359">
        <v>1</v>
      </c>
      <c r="E1359" t="s">
        <v>415</v>
      </c>
      <c r="F1359" t="s">
        <v>416</v>
      </c>
      <c r="G1359" t="s">
        <v>417</v>
      </c>
      <c r="H1359" t="s">
        <v>84</v>
      </c>
      <c r="I1359" t="s">
        <v>428</v>
      </c>
      <c r="J1359" t="s">
        <v>59</v>
      </c>
      <c r="K1359">
        <v>-24376.453206499998</v>
      </c>
      <c r="L1359" t="s">
        <v>89</v>
      </c>
      <c r="M1359" t="s">
        <v>425</v>
      </c>
      <c r="N1359">
        <v>2.5360775708E-3</v>
      </c>
      <c r="O1359">
        <v>61.820576000000003</v>
      </c>
      <c r="P1359" t="s">
        <v>421</v>
      </c>
      <c r="Q1359">
        <v>1</v>
      </c>
      <c r="V1359">
        <v>1</v>
      </c>
      <c r="W1359">
        <v>1</v>
      </c>
      <c r="X1359">
        <v>1</v>
      </c>
      <c r="Y1359">
        <v>1</v>
      </c>
      <c r="Z1359">
        <v>61.820576000000003</v>
      </c>
    </row>
    <row r="1360" spans="1:26" x14ac:dyDescent="0.25">
      <c r="A1360">
        <v>145797</v>
      </c>
      <c r="B1360" t="s">
        <v>442</v>
      </c>
      <c r="C1360">
        <v>2020</v>
      </c>
      <c r="D1360">
        <v>1</v>
      </c>
      <c r="E1360" t="s">
        <v>415</v>
      </c>
      <c r="F1360" t="s">
        <v>429</v>
      </c>
      <c r="G1360" t="s">
        <v>430</v>
      </c>
      <c r="H1360" t="s">
        <v>84</v>
      </c>
      <c r="I1360" t="s">
        <v>431</v>
      </c>
      <c r="J1360" t="s">
        <v>419</v>
      </c>
      <c r="K1360">
        <v>-75861.375507720004</v>
      </c>
      <c r="L1360" t="s">
        <v>85</v>
      </c>
      <c r="M1360" t="s">
        <v>420</v>
      </c>
      <c r="N1360">
        <v>0.24824931095561001</v>
      </c>
      <c r="O1360">
        <v>18832.534198000001</v>
      </c>
      <c r="P1360" t="s">
        <v>421</v>
      </c>
      <c r="Q1360">
        <v>1</v>
      </c>
      <c r="V1360">
        <v>1</v>
      </c>
      <c r="W1360">
        <v>1</v>
      </c>
      <c r="X1360">
        <v>1</v>
      </c>
      <c r="Y1360">
        <v>1</v>
      </c>
      <c r="Z1360">
        <v>18832.534198000001</v>
      </c>
    </row>
    <row r="1361" spans="1:26" x14ac:dyDescent="0.25">
      <c r="A1361">
        <v>145798</v>
      </c>
      <c r="B1361" t="s">
        <v>442</v>
      </c>
      <c r="C1361">
        <v>2020</v>
      </c>
      <c r="D1361">
        <v>1</v>
      </c>
      <c r="E1361" t="s">
        <v>415</v>
      </c>
      <c r="F1361" t="s">
        <v>429</v>
      </c>
      <c r="G1361" t="s">
        <v>430</v>
      </c>
      <c r="H1361" t="s">
        <v>84</v>
      </c>
      <c r="I1361" t="s">
        <v>431</v>
      </c>
      <c r="J1361" t="s">
        <v>419</v>
      </c>
      <c r="K1361">
        <v>-75861.375507720004</v>
      </c>
      <c r="L1361" t="s">
        <v>85</v>
      </c>
      <c r="M1361" t="s">
        <v>422</v>
      </c>
      <c r="N1361">
        <v>7.7540047892240005E-2</v>
      </c>
      <c r="O1361">
        <v>5882.2946899999997</v>
      </c>
      <c r="P1361" t="s">
        <v>421</v>
      </c>
      <c r="Q1361">
        <v>1</v>
      </c>
      <c r="V1361">
        <v>1</v>
      </c>
      <c r="W1361">
        <v>1</v>
      </c>
      <c r="X1361">
        <v>1</v>
      </c>
      <c r="Y1361">
        <v>1</v>
      </c>
      <c r="Z1361">
        <v>5882.2946899999997</v>
      </c>
    </row>
    <row r="1362" spans="1:26" x14ac:dyDescent="0.25">
      <c r="A1362">
        <v>145799</v>
      </c>
      <c r="B1362" t="s">
        <v>442</v>
      </c>
      <c r="C1362">
        <v>2020</v>
      </c>
      <c r="D1362">
        <v>1</v>
      </c>
      <c r="E1362" t="s">
        <v>415</v>
      </c>
      <c r="F1362" t="s">
        <v>429</v>
      </c>
      <c r="G1362" t="s">
        <v>430</v>
      </c>
      <c r="H1362" t="s">
        <v>84</v>
      </c>
      <c r="I1362" t="s">
        <v>431</v>
      </c>
      <c r="J1362" t="s">
        <v>419</v>
      </c>
      <c r="K1362">
        <v>-75861.375507720004</v>
      </c>
      <c r="L1362" t="s">
        <v>85</v>
      </c>
      <c r="M1362" t="s">
        <v>423</v>
      </c>
      <c r="N1362">
        <v>0.73979703899049998</v>
      </c>
      <c r="O1362">
        <v>56122.020973999999</v>
      </c>
      <c r="P1362" t="s">
        <v>421</v>
      </c>
      <c r="Q1362">
        <v>1</v>
      </c>
      <c r="V1362">
        <v>1</v>
      </c>
      <c r="W1362">
        <v>1</v>
      </c>
      <c r="X1362">
        <v>1</v>
      </c>
      <c r="Y1362">
        <v>1</v>
      </c>
      <c r="Z1362">
        <v>56122.020973999999</v>
      </c>
    </row>
    <row r="1363" spans="1:26" x14ac:dyDescent="0.25">
      <c r="A1363">
        <v>145800</v>
      </c>
      <c r="B1363" t="s">
        <v>442</v>
      </c>
      <c r="C1363">
        <v>2020</v>
      </c>
      <c r="D1363">
        <v>1</v>
      </c>
      <c r="E1363" t="s">
        <v>415</v>
      </c>
      <c r="F1363" t="s">
        <v>429</v>
      </c>
      <c r="G1363" t="s">
        <v>430</v>
      </c>
      <c r="H1363" t="s">
        <v>84</v>
      </c>
      <c r="I1363" t="s">
        <v>431</v>
      </c>
      <c r="J1363" t="s">
        <v>419</v>
      </c>
      <c r="K1363">
        <v>-75861.375507720004</v>
      </c>
      <c r="L1363" t="s">
        <v>85</v>
      </c>
      <c r="M1363" t="s">
        <v>424</v>
      </c>
      <c r="N1363">
        <v>2.9085775596699999E-3</v>
      </c>
      <c r="O1363">
        <v>220.64869400000001</v>
      </c>
      <c r="P1363" t="s">
        <v>421</v>
      </c>
      <c r="Q1363">
        <v>1</v>
      </c>
      <c r="V1363">
        <v>1</v>
      </c>
      <c r="W1363">
        <v>1</v>
      </c>
      <c r="X1363">
        <v>1</v>
      </c>
      <c r="Y1363">
        <v>1</v>
      </c>
      <c r="Z1363">
        <v>220.64869400000001</v>
      </c>
    </row>
    <row r="1364" spans="1:26" x14ac:dyDescent="0.25">
      <c r="A1364">
        <v>145801</v>
      </c>
      <c r="B1364" t="s">
        <v>442</v>
      </c>
      <c r="C1364">
        <v>2020</v>
      </c>
      <c r="D1364">
        <v>1</v>
      </c>
      <c r="E1364" t="s">
        <v>415</v>
      </c>
      <c r="F1364" t="s">
        <v>429</v>
      </c>
      <c r="G1364" t="s">
        <v>430</v>
      </c>
      <c r="H1364" t="s">
        <v>84</v>
      </c>
      <c r="I1364" t="s">
        <v>431</v>
      </c>
      <c r="J1364" t="s">
        <v>419</v>
      </c>
      <c r="K1364">
        <v>-75861.375507720004</v>
      </c>
      <c r="L1364" t="s">
        <v>85</v>
      </c>
      <c r="M1364" t="s">
        <v>425</v>
      </c>
      <c r="N1364">
        <v>2.6170694898000001E-3</v>
      </c>
      <c r="O1364">
        <v>198.534491</v>
      </c>
      <c r="P1364" t="s">
        <v>421</v>
      </c>
      <c r="Q1364">
        <v>1</v>
      </c>
      <c r="V1364">
        <v>1</v>
      </c>
      <c r="W1364">
        <v>1</v>
      </c>
      <c r="X1364">
        <v>1</v>
      </c>
      <c r="Y1364">
        <v>1</v>
      </c>
      <c r="Z1364">
        <v>198.534491</v>
      </c>
    </row>
    <row r="1365" spans="1:26" x14ac:dyDescent="0.25">
      <c r="A1365">
        <v>145802</v>
      </c>
      <c r="B1365" t="s">
        <v>442</v>
      </c>
      <c r="C1365">
        <v>2020</v>
      </c>
      <c r="D1365">
        <v>1</v>
      </c>
      <c r="E1365" t="s">
        <v>415</v>
      </c>
      <c r="F1365" t="s">
        <v>429</v>
      </c>
      <c r="G1365" t="s">
        <v>430</v>
      </c>
      <c r="H1365" t="s">
        <v>84</v>
      </c>
      <c r="I1365" t="s">
        <v>432</v>
      </c>
      <c r="J1365" t="s">
        <v>87</v>
      </c>
      <c r="K1365">
        <v>-18584.78024063</v>
      </c>
      <c r="L1365" t="s">
        <v>427</v>
      </c>
      <c r="M1365" t="s">
        <v>420</v>
      </c>
      <c r="N1365">
        <v>0.45523813654234002</v>
      </c>
      <c r="O1365">
        <v>8460.5007249999999</v>
      </c>
      <c r="P1365" t="s">
        <v>421</v>
      </c>
      <c r="Q1365">
        <v>1</v>
      </c>
      <c r="V1365">
        <v>1</v>
      </c>
      <c r="W1365">
        <v>1</v>
      </c>
      <c r="X1365">
        <v>1</v>
      </c>
      <c r="Y1365">
        <v>1</v>
      </c>
      <c r="Z1365">
        <v>8460.5007249999999</v>
      </c>
    </row>
    <row r="1366" spans="1:26" x14ac:dyDescent="0.25">
      <c r="A1366">
        <v>145803</v>
      </c>
      <c r="B1366" t="s">
        <v>442</v>
      </c>
      <c r="C1366">
        <v>2020</v>
      </c>
      <c r="D1366">
        <v>1</v>
      </c>
      <c r="E1366" t="s">
        <v>415</v>
      </c>
      <c r="F1366" t="s">
        <v>429</v>
      </c>
      <c r="G1366" t="s">
        <v>430</v>
      </c>
      <c r="H1366" t="s">
        <v>84</v>
      </c>
      <c r="I1366" t="s">
        <v>432</v>
      </c>
      <c r="J1366" t="s">
        <v>87</v>
      </c>
      <c r="K1366">
        <v>-18584.78024063</v>
      </c>
      <c r="L1366" t="s">
        <v>427</v>
      </c>
      <c r="M1366" t="s">
        <v>422</v>
      </c>
      <c r="N1366">
        <v>6.8896616392329996E-2</v>
      </c>
      <c r="O1366">
        <v>1280.4284749999999</v>
      </c>
      <c r="P1366" t="s">
        <v>421</v>
      </c>
      <c r="Q1366">
        <v>1</v>
      </c>
      <c r="V1366">
        <v>1</v>
      </c>
      <c r="W1366">
        <v>1</v>
      </c>
      <c r="X1366">
        <v>1</v>
      </c>
      <c r="Y1366">
        <v>1</v>
      </c>
      <c r="Z1366">
        <v>1280.4284749999999</v>
      </c>
    </row>
    <row r="1367" spans="1:26" x14ac:dyDescent="0.25">
      <c r="A1367">
        <v>145804</v>
      </c>
      <c r="B1367" t="s">
        <v>442</v>
      </c>
      <c r="C1367">
        <v>2020</v>
      </c>
      <c r="D1367">
        <v>1</v>
      </c>
      <c r="E1367" t="s">
        <v>415</v>
      </c>
      <c r="F1367" t="s">
        <v>429</v>
      </c>
      <c r="G1367" t="s">
        <v>430</v>
      </c>
      <c r="H1367" t="s">
        <v>84</v>
      </c>
      <c r="I1367" t="s">
        <v>432</v>
      </c>
      <c r="J1367" t="s">
        <v>87</v>
      </c>
      <c r="K1367">
        <v>-18584.78024063</v>
      </c>
      <c r="L1367" t="s">
        <v>427</v>
      </c>
      <c r="M1367" t="s">
        <v>423</v>
      </c>
      <c r="N1367">
        <v>0.70986919705586005</v>
      </c>
      <c r="O1367">
        <v>13192.763027000001</v>
      </c>
      <c r="P1367" t="s">
        <v>421</v>
      </c>
      <c r="Q1367">
        <v>1</v>
      </c>
      <c r="V1367">
        <v>1</v>
      </c>
      <c r="W1367">
        <v>1</v>
      </c>
      <c r="X1367">
        <v>1</v>
      </c>
      <c r="Y1367">
        <v>1</v>
      </c>
      <c r="Z1367">
        <v>13192.763027000001</v>
      </c>
    </row>
    <row r="1368" spans="1:26" x14ac:dyDescent="0.25">
      <c r="A1368">
        <v>145805</v>
      </c>
      <c r="B1368" t="s">
        <v>442</v>
      </c>
      <c r="C1368">
        <v>2020</v>
      </c>
      <c r="D1368">
        <v>1</v>
      </c>
      <c r="E1368" t="s">
        <v>415</v>
      </c>
      <c r="F1368" t="s">
        <v>429</v>
      </c>
      <c r="G1368" t="s">
        <v>430</v>
      </c>
      <c r="H1368" t="s">
        <v>84</v>
      </c>
      <c r="I1368" t="s">
        <v>432</v>
      </c>
      <c r="J1368" t="s">
        <v>87</v>
      </c>
      <c r="K1368">
        <v>-18584.78024063</v>
      </c>
      <c r="L1368" t="s">
        <v>427</v>
      </c>
      <c r="M1368" t="s">
        <v>425</v>
      </c>
      <c r="N1368">
        <v>1.4965642882E-3</v>
      </c>
      <c r="O1368">
        <v>27.813317999999999</v>
      </c>
      <c r="P1368" t="s">
        <v>421</v>
      </c>
      <c r="Q1368">
        <v>1</v>
      </c>
      <c r="V1368">
        <v>1</v>
      </c>
      <c r="W1368">
        <v>1</v>
      </c>
      <c r="X1368">
        <v>1</v>
      </c>
      <c r="Y1368">
        <v>1</v>
      </c>
      <c r="Z1368">
        <v>27.813317999999999</v>
      </c>
    </row>
    <row r="1369" spans="1:26" x14ac:dyDescent="0.25">
      <c r="A1369">
        <v>145806</v>
      </c>
      <c r="B1369" t="s">
        <v>442</v>
      </c>
      <c r="C1369">
        <v>2020</v>
      </c>
      <c r="D1369">
        <v>1</v>
      </c>
      <c r="E1369" t="s">
        <v>415</v>
      </c>
      <c r="F1369" t="s">
        <v>429</v>
      </c>
      <c r="G1369" t="s">
        <v>430</v>
      </c>
      <c r="H1369" t="s">
        <v>84</v>
      </c>
      <c r="I1369" t="s">
        <v>433</v>
      </c>
      <c r="J1369" t="s">
        <v>59</v>
      </c>
      <c r="K1369">
        <v>-36675.714164520003</v>
      </c>
      <c r="L1369" t="s">
        <v>89</v>
      </c>
      <c r="M1369" t="s">
        <v>420</v>
      </c>
      <c r="N1369">
        <v>0.26343870574139999</v>
      </c>
      <c r="O1369">
        <v>9661.8026719999998</v>
      </c>
      <c r="P1369" t="s">
        <v>421</v>
      </c>
      <c r="Q1369">
        <v>1</v>
      </c>
      <c r="V1369">
        <v>1</v>
      </c>
      <c r="W1369">
        <v>1</v>
      </c>
      <c r="X1369">
        <v>1</v>
      </c>
      <c r="Y1369">
        <v>1</v>
      </c>
      <c r="Z1369">
        <v>9661.8026719999998</v>
      </c>
    </row>
    <row r="1370" spans="1:26" x14ac:dyDescent="0.25">
      <c r="A1370">
        <v>145807</v>
      </c>
      <c r="B1370" t="s">
        <v>442</v>
      </c>
      <c r="C1370">
        <v>2020</v>
      </c>
      <c r="D1370">
        <v>1</v>
      </c>
      <c r="E1370" t="s">
        <v>415</v>
      </c>
      <c r="F1370" t="s">
        <v>429</v>
      </c>
      <c r="G1370" t="s">
        <v>430</v>
      </c>
      <c r="H1370" t="s">
        <v>84</v>
      </c>
      <c r="I1370" t="s">
        <v>433</v>
      </c>
      <c r="J1370" t="s">
        <v>59</v>
      </c>
      <c r="K1370">
        <v>-36675.714164520003</v>
      </c>
      <c r="L1370" t="s">
        <v>89</v>
      </c>
      <c r="M1370" t="s">
        <v>422</v>
      </c>
      <c r="N1370">
        <v>7.1262429683470005E-2</v>
      </c>
      <c r="O1370">
        <v>2613.6005019999998</v>
      </c>
      <c r="P1370" t="s">
        <v>421</v>
      </c>
      <c r="Q1370">
        <v>1</v>
      </c>
      <c r="V1370">
        <v>1</v>
      </c>
      <c r="W1370">
        <v>1</v>
      </c>
      <c r="X1370">
        <v>1</v>
      </c>
      <c r="Y1370">
        <v>1</v>
      </c>
      <c r="Z1370">
        <v>2613.6005019999998</v>
      </c>
    </row>
    <row r="1371" spans="1:26" x14ac:dyDescent="0.25">
      <c r="A1371">
        <v>145808</v>
      </c>
      <c r="B1371" t="s">
        <v>442</v>
      </c>
      <c r="C1371">
        <v>2020</v>
      </c>
      <c r="D1371">
        <v>1</v>
      </c>
      <c r="E1371" t="s">
        <v>415</v>
      </c>
      <c r="F1371" t="s">
        <v>429</v>
      </c>
      <c r="G1371" t="s">
        <v>430</v>
      </c>
      <c r="H1371" t="s">
        <v>84</v>
      </c>
      <c r="I1371" t="s">
        <v>433</v>
      </c>
      <c r="J1371" t="s">
        <v>59</v>
      </c>
      <c r="K1371">
        <v>-36675.714164520003</v>
      </c>
      <c r="L1371" t="s">
        <v>89</v>
      </c>
      <c r="M1371" t="s">
        <v>423</v>
      </c>
      <c r="N1371">
        <v>0.74738783869542003</v>
      </c>
      <c r="O1371">
        <v>27410.982742</v>
      </c>
      <c r="P1371" t="s">
        <v>421</v>
      </c>
      <c r="Q1371">
        <v>1</v>
      </c>
      <c r="V1371">
        <v>1</v>
      </c>
      <c r="W1371">
        <v>1</v>
      </c>
      <c r="X1371">
        <v>1</v>
      </c>
      <c r="Y1371">
        <v>1</v>
      </c>
      <c r="Z1371">
        <v>27410.982742</v>
      </c>
    </row>
    <row r="1372" spans="1:26" x14ac:dyDescent="0.25">
      <c r="A1372">
        <v>145809</v>
      </c>
      <c r="B1372" t="s">
        <v>442</v>
      </c>
      <c r="C1372">
        <v>2020</v>
      </c>
      <c r="D1372">
        <v>1</v>
      </c>
      <c r="E1372" t="s">
        <v>415</v>
      </c>
      <c r="F1372" t="s">
        <v>429</v>
      </c>
      <c r="G1372" t="s">
        <v>430</v>
      </c>
      <c r="H1372" t="s">
        <v>84</v>
      </c>
      <c r="I1372" t="s">
        <v>433</v>
      </c>
      <c r="J1372" t="s">
        <v>59</v>
      </c>
      <c r="K1372">
        <v>-36675.714164520003</v>
      </c>
      <c r="L1372" t="s">
        <v>89</v>
      </c>
      <c r="M1372" t="s">
        <v>424</v>
      </c>
      <c r="N1372">
        <v>3.08071516317E-3</v>
      </c>
      <c r="O1372">
        <v>112.98742900000001</v>
      </c>
      <c r="P1372" t="s">
        <v>421</v>
      </c>
      <c r="Q1372">
        <v>1</v>
      </c>
      <c r="V1372">
        <v>1</v>
      </c>
      <c r="W1372">
        <v>1</v>
      </c>
      <c r="X1372">
        <v>1</v>
      </c>
      <c r="Y1372">
        <v>1</v>
      </c>
      <c r="Z1372">
        <v>112.98742900000001</v>
      </c>
    </row>
    <row r="1373" spans="1:26" x14ac:dyDescent="0.25">
      <c r="A1373">
        <v>145810</v>
      </c>
      <c r="B1373" t="s">
        <v>442</v>
      </c>
      <c r="C1373">
        <v>2020</v>
      </c>
      <c r="D1373">
        <v>1</v>
      </c>
      <c r="E1373" t="s">
        <v>415</v>
      </c>
      <c r="F1373" t="s">
        <v>429</v>
      </c>
      <c r="G1373" t="s">
        <v>430</v>
      </c>
      <c r="H1373" t="s">
        <v>84</v>
      </c>
      <c r="I1373" t="s">
        <v>433</v>
      </c>
      <c r="J1373" t="s">
        <v>59</v>
      </c>
      <c r="K1373">
        <v>-36675.714164520003</v>
      </c>
      <c r="L1373" t="s">
        <v>89</v>
      </c>
      <c r="M1373" t="s">
        <v>425</v>
      </c>
      <c r="N1373">
        <v>2.5360775708E-3</v>
      </c>
      <c r="O1373">
        <v>93.012456</v>
      </c>
      <c r="P1373" t="s">
        <v>421</v>
      </c>
      <c r="Q1373">
        <v>1</v>
      </c>
      <c r="V1373">
        <v>1</v>
      </c>
      <c r="W1373">
        <v>1</v>
      </c>
      <c r="X1373">
        <v>1</v>
      </c>
      <c r="Y1373">
        <v>1</v>
      </c>
      <c r="Z1373">
        <v>93.012456</v>
      </c>
    </row>
    <row r="1374" spans="1:26" x14ac:dyDescent="0.25">
      <c r="A1374">
        <v>145811</v>
      </c>
      <c r="B1374" t="s">
        <v>442</v>
      </c>
      <c r="C1374">
        <v>2020</v>
      </c>
      <c r="D1374">
        <v>1</v>
      </c>
      <c r="E1374" t="s">
        <v>415</v>
      </c>
      <c r="F1374" t="s">
        <v>434</v>
      </c>
      <c r="G1374" t="s">
        <v>435</v>
      </c>
      <c r="H1374" t="s">
        <v>84</v>
      </c>
      <c r="I1374" t="s">
        <v>436</v>
      </c>
      <c r="J1374" t="s">
        <v>419</v>
      </c>
      <c r="K1374">
        <v>-38198.915173200003</v>
      </c>
      <c r="L1374" t="s">
        <v>85</v>
      </c>
      <c r="M1374" t="s">
        <v>420</v>
      </c>
      <c r="N1374">
        <v>0.24824931095561001</v>
      </c>
      <c r="O1374">
        <v>9482.8543709999994</v>
      </c>
      <c r="P1374" t="s">
        <v>421</v>
      </c>
      <c r="Q1374">
        <v>1</v>
      </c>
      <c r="V1374">
        <v>1</v>
      </c>
      <c r="W1374">
        <v>1</v>
      </c>
      <c r="X1374">
        <v>1</v>
      </c>
      <c r="Y1374">
        <v>1</v>
      </c>
      <c r="Z1374">
        <v>9482.8543709999994</v>
      </c>
    </row>
    <row r="1375" spans="1:26" x14ac:dyDescent="0.25">
      <c r="A1375">
        <v>145812</v>
      </c>
      <c r="B1375" t="s">
        <v>442</v>
      </c>
      <c r="C1375">
        <v>2020</v>
      </c>
      <c r="D1375">
        <v>1</v>
      </c>
      <c r="E1375" t="s">
        <v>415</v>
      </c>
      <c r="F1375" t="s">
        <v>434</v>
      </c>
      <c r="G1375" t="s">
        <v>435</v>
      </c>
      <c r="H1375" t="s">
        <v>84</v>
      </c>
      <c r="I1375" t="s">
        <v>436</v>
      </c>
      <c r="J1375" t="s">
        <v>419</v>
      </c>
      <c r="K1375">
        <v>-38198.915173200003</v>
      </c>
      <c r="L1375" t="s">
        <v>85</v>
      </c>
      <c r="M1375" t="s">
        <v>422</v>
      </c>
      <c r="N1375">
        <v>7.7540047892240005E-2</v>
      </c>
      <c r="O1375">
        <v>2961.9457120000002</v>
      </c>
      <c r="P1375" t="s">
        <v>421</v>
      </c>
      <c r="Q1375">
        <v>1</v>
      </c>
      <c r="V1375">
        <v>1</v>
      </c>
      <c r="W1375">
        <v>1</v>
      </c>
      <c r="X1375">
        <v>1</v>
      </c>
      <c r="Y1375">
        <v>1</v>
      </c>
      <c r="Z1375">
        <v>2961.9457120000002</v>
      </c>
    </row>
    <row r="1376" spans="1:26" x14ac:dyDescent="0.25">
      <c r="A1376">
        <v>145813</v>
      </c>
      <c r="B1376" t="s">
        <v>442</v>
      </c>
      <c r="C1376">
        <v>2020</v>
      </c>
      <c r="D1376">
        <v>1</v>
      </c>
      <c r="E1376" t="s">
        <v>415</v>
      </c>
      <c r="F1376" t="s">
        <v>434</v>
      </c>
      <c r="G1376" t="s">
        <v>435</v>
      </c>
      <c r="H1376" t="s">
        <v>84</v>
      </c>
      <c r="I1376" t="s">
        <v>436</v>
      </c>
      <c r="J1376" t="s">
        <v>419</v>
      </c>
      <c r="K1376">
        <v>-38198.915173200003</v>
      </c>
      <c r="L1376" t="s">
        <v>85</v>
      </c>
      <c r="M1376" t="s">
        <v>423</v>
      </c>
      <c r="N1376">
        <v>0.73979703899049998</v>
      </c>
      <c r="O1376">
        <v>28259.444338000001</v>
      </c>
      <c r="P1376" t="s">
        <v>421</v>
      </c>
      <c r="Q1376">
        <v>1</v>
      </c>
      <c r="V1376">
        <v>1</v>
      </c>
      <c r="W1376">
        <v>1</v>
      </c>
      <c r="X1376">
        <v>1</v>
      </c>
      <c r="Y1376">
        <v>1</v>
      </c>
      <c r="Z1376">
        <v>28259.444338000001</v>
      </c>
    </row>
    <row r="1377" spans="1:26" x14ac:dyDescent="0.25">
      <c r="A1377">
        <v>145814</v>
      </c>
      <c r="B1377" t="s">
        <v>442</v>
      </c>
      <c r="C1377">
        <v>2020</v>
      </c>
      <c r="D1377">
        <v>1</v>
      </c>
      <c r="E1377" t="s">
        <v>415</v>
      </c>
      <c r="F1377" t="s">
        <v>434</v>
      </c>
      <c r="G1377" t="s">
        <v>435</v>
      </c>
      <c r="H1377" t="s">
        <v>84</v>
      </c>
      <c r="I1377" t="s">
        <v>436</v>
      </c>
      <c r="J1377" t="s">
        <v>419</v>
      </c>
      <c r="K1377">
        <v>-38198.915173200003</v>
      </c>
      <c r="L1377" t="s">
        <v>85</v>
      </c>
      <c r="M1377" t="s">
        <v>424</v>
      </c>
      <c r="N1377">
        <v>2.9085775596699999E-3</v>
      </c>
      <c r="O1377">
        <v>111.104507</v>
      </c>
      <c r="P1377" t="s">
        <v>421</v>
      </c>
      <c r="Q1377">
        <v>1</v>
      </c>
      <c r="V1377">
        <v>1</v>
      </c>
      <c r="W1377">
        <v>1</v>
      </c>
      <c r="X1377">
        <v>1</v>
      </c>
      <c r="Y1377">
        <v>1</v>
      </c>
      <c r="Z1377">
        <v>111.104507</v>
      </c>
    </row>
    <row r="1378" spans="1:26" x14ac:dyDescent="0.25">
      <c r="A1378">
        <v>145815</v>
      </c>
      <c r="B1378" t="s">
        <v>442</v>
      </c>
      <c r="C1378">
        <v>2020</v>
      </c>
      <c r="D1378">
        <v>1</v>
      </c>
      <c r="E1378" t="s">
        <v>415</v>
      </c>
      <c r="F1378" t="s">
        <v>434</v>
      </c>
      <c r="G1378" t="s">
        <v>435</v>
      </c>
      <c r="H1378" t="s">
        <v>84</v>
      </c>
      <c r="I1378" t="s">
        <v>436</v>
      </c>
      <c r="J1378" t="s">
        <v>419</v>
      </c>
      <c r="K1378">
        <v>-38198.915173200003</v>
      </c>
      <c r="L1378" t="s">
        <v>85</v>
      </c>
      <c r="M1378" t="s">
        <v>425</v>
      </c>
      <c r="N1378">
        <v>2.6170694898000001E-3</v>
      </c>
      <c r="O1378">
        <v>99.969215000000005</v>
      </c>
      <c r="P1378" t="s">
        <v>421</v>
      </c>
      <c r="Q1378">
        <v>1</v>
      </c>
      <c r="V1378">
        <v>1</v>
      </c>
      <c r="W1378">
        <v>1</v>
      </c>
      <c r="X1378">
        <v>1</v>
      </c>
      <c r="Y1378">
        <v>1</v>
      </c>
      <c r="Z1378">
        <v>99.969215000000005</v>
      </c>
    </row>
    <row r="1379" spans="1:26" x14ac:dyDescent="0.25">
      <c r="A1379">
        <v>145816</v>
      </c>
      <c r="B1379" t="s">
        <v>442</v>
      </c>
      <c r="C1379">
        <v>2020</v>
      </c>
      <c r="D1379">
        <v>1</v>
      </c>
      <c r="E1379" t="s">
        <v>415</v>
      </c>
      <c r="F1379" t="s">
        <v>434</v>
      </c>
      <c r="G1379" t="s">
        <v>435</v>
      </c>
      <c r="H1379" t="s">
        <v>84</v>
      </c>
      <c r="I1379" t="s">
        <v>437</v>
      </c>
      <c r="J1379" t="s">
        <v>87</v>
      </c>
      <c r="K1379">
        <v>-8049.3500110000004</v>
      </c>
      <c r="L1379" t="s">
        <v>427</v>
      </c>
      <c r="M1379" t="s">
        <v>420</v>
      </c>
      <c r="N1379">
        <v>0.45523813654234002</v>
      </c>
      <c r="O1379">
        <v>3664.371099</v>
      </c>
      <c r="P1379" t="s">
        <v>421</v>
      </c>
      <c r="Q1379">
        <v>1</v>
      </c>
      <c r="V1379">
        <v>1</v>
      </c>
      <c r="W1379">
        <v>1</v>
      </c>
      <c r="X1379">
        <v>1</v>
      </c>
      <c r="Y1379">
        <v>1</v>
      </c>
      <c r="Z1379">
        <v>3664.371099</v>
      </c>
    </row>
    <row r="1380" spans="1:26" x14ac:dyDescent="0.25">
      <c r="A1380">
        <v>145817</v>
      </c>
      <c r="B1380" t="s">
        <v>442</v>
      </c>
      <c r="C1380">
        <v>2020</v>
      </c>
      <c r="D1380">
        <v>1</v>
      </c>
      <c r="E1380" t="s">
        <v>415</v>
      </c>
      <c r="F1380" t="s">
        <v>434</v>
      </c>
      <c r="G1380" t="s">
        <v>435</v>
      </c>
      <c r="H1380" t="s">
        <v>84</v>
      </c>
      <c r="I1380" t="s">
        <v>437</v>
      </c>
      <c r="J1380" t="s">
        <v>87</v>
      </c>
      <c r="K1380">
        <v>-8049.3500110000004</v>
      </c>
      <c r="L1380" t="s">
        <v>427</v>
      </c>
      <c r="M1380" t="s">
        <v>422</v>
      </c>
      <c r="N1380">
        <v>6.8896616392329996E-2</v>
      </c>
      <c r="O1380">
        <v>554.57298000000003</v>
      </c>
      <c r="P1380" t="s">
        <v>421</v>
      </c>
      <c r="Q1380">
        <v>1</v>
      </c>
      <c r="V1380">
        <v>1</v>
      </c>
      <c r="W1380">
        <v>1</v>
      </c>
      <c r="X1380">
        <v>1</v>
      </c>
      <c r="Y1380">
        <v>1</v>
      </c>
      <c r="Z1380">
        <v>554.57298000000003</v>
      </c>
    </row>
    <row r="1381" spans="1:26" x14ac:dyDescent="0.25">
      <c r="A1381">
        <v>145818</v>
      </c>
      <c r="B1381" t="s">
        <v>442</v>
      </c>
      <c r="C1381">
        <v>2020</v>
      </c>
      <c r="D1381">
        <v>1</v>
      </c>
      <c r="E1381" t="s">
        <v>415</v>
      </c>
      <c r="F1381" t="s">
        <v>434</v>
      </c>
      <c r="G1381" t="s">
        <v>435</v>
      </c>
      <c r="H1381" t="s">
        <v>84</v>
      </c>
      <c r="I1381" t="s">
        <v>437</v>
      </c>
      <c r="J1381" t="s">
        <v>87</v>
      </c>
      <c r="K1381">
        <v>-8049.3500110000004</v>
      </c>
      <c r="L1381" t="s">
        <v>427</v>
      </c>
      <c r="M1381" t="s">
        <v>423</v>
      </c>
      <c r="N1381">
        <v>0.70986919705586005</v>
      </c>
      <c r="O1381">
        <v>5713.9856289999998</v>
      </c>
      <c r="P1381" t="s">
        <v>421</v>
      </c>
      <c r="Q1381">
        <v>1</v>
      </c>
      <c r="V1381">
        <v>1</v>
      </c>
      <c r="W1381">
        <v>1</v>
      </c>
      <c r="X1381">
        <v>1</v>
      </c>
      <c r="Y1381">
        <v>1</v>
      </c>
      <c r="Z1381">
        <v>5713.9856289999998</v>
      </c>
    </row>
    <row r="1382" spans="1:26" x14ac:dyDescent="0.25">
      <c r="A1382">
        <v>145819</v>
      </c>
      <c r="B1382" t="s">
        <v>442</v>
      </c>
      <c r="C1382">
        <v>2020</v>
      </c>
      <c r="D1382">
        <v>1</v>
      </c>
      <c r="E1382" t="s">
        <v>415</v>
      </c>
      <c r="F1382" t="s">
        <v>434</v>
      </c>
      <c r="G1382" t="s">
        <v>435</v>
      </c>
      <c r="H1382" t="s">
        <v>84</v>
      </c>
      <c r="I1382" t="s">
        <v>437</v>
      </c>
      <c r="J1382" t="s">
        <v>87</v>
      </c>
      <c r="K1382">
        <v>-8049.3500110000004</v>
      </c>
      <c r="L1382" t="s">
        <v>427</v>
      </c>
      <c r="M1382" t="s">
        <v>425</v>
      </c>
      <c r="N1382">
        <v>1.4965642882E-3</v>
      </c>
      <c r="O1382">
        <v>12.04637</v>
      </c>
      <c r="P1382" t="s">
        <v>421</v>
      </c>
      <c r="Q1382">
        <v>1</v>
      </c>
      <c r="V1382">
        <v>1</v>
      </c>
      <c r="W1382">
        <v>1</v>
      </c>
      <c r="X1382">
        <v>1</v>
      </c>
      <c r="Y1382">
        <v>1</v>
      </c>
      <c r="Z1382">
        <v>12.04637</v>
      </c>
    </row>
    <row r="1383" spans="1:26" x14ac:dyDescent="0.25">
      <c r="A1383">
        <v>145820</v>
      </c>
      <c r="B1383" t="s">
        <v>442</v>
      </c>
      <c r="C1383">
        <v>2020</v>
      </c>
      <c r="D1383">
        <v>1</v>
      </c>
      <c r="E1383" t="s">
        <v>415</v>
      </c>
      <c r="F1383" t="s">
        <v>434</v>
      </c>
      <c r="G1383" t="s">
        <v>435</v>
      </c>
      <c r="H1383" t="s">
        <v>84</v>
      </c>
      <c r="I1383" t="s">
        <v>438</v>
      </c>
      <c r="J1383" t="s">
        <v>59</v>
      </c>
      <c r="K1383">
        <v>-17445.192413950001</v>
      </c>
      <c r="L1383" t="s">
        <v>89</v>
      </c>
      <c r="M1383" t="s">
        <v>420</v>
      </c>
      <c r="N1383">
        <v>0.26343870574139999</v>
      </c>
      <c r="O1383">
        <v>4595.7389110000004</v>
      </c>
      <c r="P1383" t="s">
        <v>421</v>
      </c>
      <c r="Q1383">
        <v>1</v>
      </c>
      <c r="V1383">
        <v>1</v>
      </c>
      <c r="W1383">
        <v>1</v>
      </c>
      <c r="X1383">
        <v>1</v>
      </c>
      <c r="Y1383">
        <v>1</v>
      </c>
      <c r="Z1383">
        <v>4595.7389110000004</v>
      </c>
    </row>
    <row r="1384" spans="1:26" x14ac:dyDescent="0.25">
      <c r="A1384">
        <v>145821</v>
      </c>
      <c r="B1384" t="s">
        <v>442</v>
      </c>
      <c r="C1384">
        <v>2020</v>
      </c>
      <c r="D1384">
        <v>1</v>
      </c>
      <c r="E1384" t="s">
        <v>415</v>
      </c>
      <c r="F1384" t="s">
        <v>434</v>
      </c>
      <c r="G1384" t="s">
        <v>435</v>
      </c>
      <c r="H1384" t="s">
        <v>84</v>
      </c>
      <c r="I1384" t="s">
        <v>438</v>
      </c>
      <c r="J1384" t="s">
        <v>59</v>
      </c>
      <c r="K1384">
        <v>-17445.192413950001</v>
      </c>
      <c r="L1384" t="s">
        <v>89</v>
      </c>
      <c r="M1384" t="s">
        <v>422</v>
      </c>
      <c r="N1384">
        <v>7.1262429683470005E-2</v>
      </c>
      <c r="O1384">
        <v>1243.186798</v>
      </c>
      <c r="P1384" t="s">
        <v>421</v>
      </c>
      <c r="Q1384">
        <v>1</v>
      </c>
      <c r="V1384">
        <v>1</v>
      </c>
      <c r="W1384">
        <v>1</v>
      </c>
      <c r="X1384">
        <v>1</v>
      </c>
      <c r="Y1384">
        <v>1</v>
      </c>
      <c r="Z1384">
        <v>1243.186798</v>
      </c>
    </row>
    <row r="1385" spans="1:26" x14ac:dyDescent="0.25">
      <c r="A1385">
        <v>145822</v>
      </c>
      <c r="B1385" t="s">
        <v>442</v>
      </c>
      <c r="C1385">
        <v>2020</v>
      </c>
      <c r="D1385">
        <v>1</v>
      </c>
      <c r="E1385" t="s">
        <v>415</v>
      </c>
      <c r="F1385" t="s">
        <v>434</v>
      </c>
      <c r="G1385" t="s">
        <v>435</v>
      </c>
      <c r="H1385" t="s">
        <v>84</v>
      </c>
      <c r="I1385" t="s">
        <v>438</v>
      </c>
      <c r="J1385" t="s">
        <v>59</v>
      </c>
      <c r="K1385">
        <v>-17445.192413950001</v>
      </c>
      <c r="L1385" t="s">
        <v>89</v>
      </c>
      <c r="M1385" t="s">
        <v>423</v>
      </c>
      <c r="N1385">
        <v>0.74738783869542003</v>
      </c>
      <c r="O1385">
        <v>13038.324654</v>
      </c>
      <c r="P1385" t="s">
        <v>421</v>
      </c>
      <c r="Q1385">
        <v>1</v>
      </c>
      <c r="V1385">
        <v>1</v>
      </c>
      <c r="W1385">
        <v>1</v>
      </c>
      <c r="X1385">
        <v>1</v>
      </c>
      <c r="Y1385">
        <v>1</v>
      </c>
      <c r="Z1385">
        <v>13038.324654</v>
      </c>
    </row>
    <row r="1386" spans="1:26" x14ac:dyDescent="0.25">
      <c r="A1386">
        <v>145823</v>
      </c>
      <c r="B1386" t="s">
        <v>442</v>
      </c>
      <c r="C1386">
        <v>2020</v>
      </c>
      <c r="D1386">
        <v>1</v>
      </c>
      <c r="E1386" t="s">
        <v>415</v>
      </c>
      <c r="F1386" t="s">
        <v>434</v>
      </c>
      <c r="G1386" t="s">
        <v>435</v>
      </c>
      <c r="H1386" t="s">
        <v>84</v>
      </c>
      <c r="I1386" t="s">
        <v>438</v>
      </c>
      <c r="J1386" t="s">
        <v>59</v>
      </c>
      <c r="K1386">
        <v>-17445.192413950001</v>
      </c>
      <c r="L1386" t="s">
        <v>89</v>
      </c>
      <c r="M1386" t="s">
        <v>424</v>
      </c>
      <c r="N1386">
        <v>3.08071516317E-3</v>
      </c>
      <c r="O1386">
        <v>53.743668999999997</v>
      </c>
      <c r="P1386" t="s">
        <v>421</v>
      </c>
      <c r="Q1386">
        <v>1</v>
      </c>
      <c r="V1386">
        <v>1</v>
      </c>
      <c r="W1386">
        <v>1</v>
      </c>
      <c r="X1386">
        <v>1</v>
      </c>
      <c r="Y1386">
        <v>1</v>
      </c>
      <c r="Z1386">
        <v>53.743668999999997</v>
      </c>
    </row>
    <row r="1387" spans="1:26" x14ac:dyDescent="0.25">
      <c r="A1387">
        <v>145824</v>
      </c>
      <c r="B1387" t="s">
        <v>442</v>
      </c>
      <c r="C1387">
        <v>2020</v>
      </c>
      <c r="D1387">
        <v>1</v>
      </c>
      <c r="E1387" t="s">
        <v>415</v>
      </c>
      <c r="F1387" t="s">
        <v>434</v>
      </c>
      <c r="G1387" t="s">
        <v>435</v>
      </c>
      <c r="H1387" t="s">
        <v>84</v>
      </c>
      <c r="I1387" t="s">
        <v>438</v>
      </c>
      <c r="J1387" t="s">
        <v>59</v>
      </c>
      <c r="K1387">
        <v>-17445.192413950001</v>
      </c>
      <c r="L1387" t="s">
        <v>89</v>
      </c>
      <c r="M1387" t="s">
        <v>425</v>
      </c>
      <c r="N1387">
        <v>2.5360775708E-3</v>
      </c>
      <c r="O1387">
        <v>44.242361000000002</v>
      </c>
      <c r="P1387" t="s">
        <v>421</v>
      </c>
      <c r="Q1387">
        <v>1</v>
      </c>
      <c r="V1387">
        <v>1</v>
      </c>
      <c r="W1387">
        <v>1</v>
      </c>
      <c r="X1387">
        <v>1</v>
      </c>
      <c r="Y1387">
        <v>1</v>
      </c>
      <c r="Z1387">
        <v>44.242361000000002</v>
      </c>
    </row>
    <row r="1388" spans="1:26" x14ac:dyDescent="0.25">
      <c r="A1388">
        <v>41320</v>
      </c>
      <c r="B1388" t="s">
        <v>115</v>
      </c>
      <c r="C1388">
        <v>2018</v>
      </c>
      <c r="D1388">
        <v>1</v>
      </c>
      <c r="E1388" t="s">
        <v>415</v>
      </c>
      <c r="F1388" t="s">
        <v>416</v>
      </c>
      <c r="G1388" t="s">
        <v>417</v>
      </c>
      <c r="H1388" t="s">
        <v>84</v>
      </c>
      <c r="I1388" t="s">
        <v>418</v>
      </c>
      <c r="J1388" t="s">
        <v>419</v>
      </c>
      <c r="K1388">
        <v>-11637.124661420001</v>
      </c>
      <c r="L1388" t="s">
        <v>85</v>
      </c>
      <c r="M1388" t="s">
        <v>420</v>
      </c>
      <c r="N1388">
        <v>0.24824931095561001</v>
      </c>
      <c r="O1388">
        <v>2888.908179</v>
      </c>
      <c r="P1388" t="s">
        <v>421</v>
      </c>
      <c r="Q1388">
        <v>1</v>
      </c>
      <c r="V1388">
        <v>1</v>
      </c>
      <c r="W1388">
        <v>1</v>
      </c>
      <c r="X1388">
        <v>1</v>
      </c>
      <c r="Y1388">
        <v>1</v>
      </c>
      <c r="Z1388">
        <v>2888.908179</v>
      </c>
    </row>
    <row r="1389" spans="1:26" x14ac:dyDescent="0.25">
      <c r="A1389">
        <v>41321</v>
      </c>
      <c r="B1389" t="s">
        <v>115</v>
      </c>
      <c r="C1389">
        <v>2018</v>
      </c>
      <c r="D1389">
        <v>1</v>
      </c>
      <c r="E1389" t="s">
        <v>415</v>
      </c>
      <c r="F1389" t="s">
        <v>416</v>
      </c>
      <c r="G1389" t="s">
        <v>417</v>
      </c>
      <c r="H1389" t="s">
        <v>84</v>
      </c>
      <c r="I1389" t="s">
        <v>418</v>
      </c>
      <c r="J1389" t="s">
        <v>419</v>
      </c>
      <c r="K1389">
        <v>-11637.124661420001</v>
      </c>
      <c r="L1389" t="s">
        <v>85</v>
      </c>
      <c r="M1389" t="s">
        <v>422</v>
      </c>
      <c r="N1389">
        <v>7.7540047892240005E-2</v>
      </c>
      <c r="O1389">
        <v>902.34320400000001</v>
      </c>
      <c r="P1389" t="s">
        <v>421</v>
      </c>
      <c r="Q1389">
        <v>1</v>
      </c>
      <c r="V1389">
        <v>1</v>
      </c>
      <c r="W1389">
        <v>1</v>
      </c>
      <c r="X1389">
        <v>1</v>
      </c>
      <c r="Y1389">
        <v>1</v>
      </c>
      <c r="Z1389">
        <v>902.34320400000001</v>
      </c>
    </row>
    <row r="1390" spans="1:26" x14ac:dyDescent="0.25">
      <c r="A1390">
        <v>41322</v>
      </c>
      <c r="B1390" t="s">
        <v>115</v>
      </c>
      <c r="C1390">
        <v>2018</v>
      </c>
      <c r="D1390">
        <v>1</v>
      </c>
      <c r="E1390" t="s">
        <v>415</v>
      </c>
      <c r="F1390" t="s">
        <v>416</v>
      </c>
      <c r="G1390" t="s">
        <v>417</v>
      </c>
      <c r="H1390" t="s">
        <v>84</v>
      </c>
      <c r="I1390" t="s">
        <v>418</v>
      </c>
      <c r="J1390" t="s">
        <v>419</v>
      </c>
      <c r="K1390">
        <v>-11637.124661420001</v>
      </c>
      <c r="L1390" t="s">
        <v>85</v>
      </c>
      <c r="M1390" t="s">
        <v>423</v>
      </c>
      <c r="N1390">
        <v>0.73979703899049998</v>
      </c>
      <c r="O1390">
        <v>8609.1103669999993</v>
      </c>
      <c r="P1390" t="s">
        <v>421</v>
      </c>
      <c r="Q1390">
        <v>1</v>
      </c>
      <c r="V1390">
        <v>1</v>
      </c>
      <c r="W1390">
        <v>1</v>
      </c>
      <c r="X1390">
        <v>1</v>
      </c>
      <c r="Y1390">
        <v>1</v>
      </c>
      <c r="Z1390">
        <v>8609.1103669999993</v>
      </c>
    </row>
    <row r="1391" spans="1:26" x14ac:dyDescent="0.25">
      <c r="A1391">
        <v>41323</v>
      </c>
      <c r="B1391" t="s">
        <v>115</v>
      </c>
      <c r="C1391">
        <v>2018</v>
      </c>
      <c r="D1391">
        <v>1</v>
      </c>
      <c r="E1391" t="s">
        <v>415</v>
      </c>
      <c r="F1391" t="s">
        <v>416</v>
      </c>
      <c r="G1391" t="s">
        <v>417</v>
      </c>
      <c r="H1391" t="s">
        <v>84</v>
      </c>
      <c r="I1391" t="s">
        <v>418</v>
      </c>
      <c r="J1391" t="s">
        <v>419</v>
      </c>
      <c r="K1391">
        <v>-11637.124661420001</v>
      </c>
      <c r="L1391" t="s">
        <v>85</v>
      </c>
      <c r="M1391" t="s">
        <v>424</v>
      </c>
      <c r="N1391">
        <v>2.9085775596699999E-3</v>
      </c>
      <c r="O1391">
        <v>33.847479999999997</v>
      </c>
      <c r="P1391" t="s">
        <v>421</v>
      </c>
      <c r="Q1391">
        <v>1</v>
      </c>
      <c r="V1391">
        <v>1</v>
      </c>
      <c r="W1391">
        <v>1</v>
      </c>
      <c r="X1391">
        <v>1</v>
      </c>
      <c r="Y1391">
        <v>1</v>
      </c>
      <c r="Z1391">
        <v>33.847479999999997</v>
      </c>
    </row>
    <row r="1392" spans="1:26" x14ac:dyDescent="0.25">
      <c r="A1392">
        <v>41324</v>
      </c>
      <c r="B1392" t="s">
        <v>115</v>
      </c>
      <c r="C1392">
        <v>2018</v>
      </c>
      <c r="D1392">
        <v>1</v>
      </c>
      <c r="E1392" t="s">
        <v>415</v>
      </c>
      <c r="F1392" t="s">
        <v>416</v>
      </c>
      <c r="G1392" t="s">
        <v>417</v>
      </c>
      <c r="H1392" t="s">
        <v>84</v>
      </c>
      <c r="I1392" t="s">
        <v>418</v>
      </c>
      <c r="J1392" t="s">
        <v>419</v>
      </c>
      <c r="K1392">
        <v>-11637.124661420001</v>
      </c>
      <c r="L1392" t="s">
        <v>85</v>
      </c>
      <c r="M1392" t="s">
        <v>425</v>
      </c>
      <c r="N1392">
        <v>2.6170694898000001E-3</v>
      </c>
      <c r="O1392">
        <v>30.455164</v>
      </c>
      <c r="P1392" t="s">
        <v>421</v>
      </c>
      <c r="Q1392">
        <v>1</v>
      </c>
      <c r="V1392">
        <v>1</v>
      </c>
      <c r="W1392">
        <v>1</v>
      </c>
      <c r="X1392">
        <v>1</v>
      </c>
      <c r="Y1392">
        <v>1</v>
      </c>
      <c r="Z1392">
        <v>30.455164</v>
      </c>
    </row>
    <row r="1393" spans="1:26" x14ac:dyDescent="0.25">
      <c r="A1393">
        <v>41325</v>
      </c>
      <c r="B1393" t="s">
        <v>115</v>
      </c>
      <c r="C1393">
        <v>2018</v>
      </c>
      <c r="D1393">
        <v>1</v>
      </c>
      <c r="E1393" t="s">
        <v>415</v>
      </c>
      <c r="F1393" t="s">
        <v>416</v>
      </c>
      <c r="G1393" t="s">
        <v>417</v>
      </c>
      <c r="H1393" t="s">
        <v>84</v>
      </c>
      <c r="I1393" t="s">
        <v>426</v>
      </c>
      <c r="J1393" t="s">
        <v>87</v>
      </c>
      <c r="K1393">
        <v>-3164.6267514699998</v>
      </c>
      <c r="L1393" t="s">
        <v>427</v>
      </c>
      <c r="M1393" t="s">
        <v>420</v>
      </c>
      <c r="N1393">
        <v>0.45523813654234002</v>
      </c>
      <c r="O1393">
        <v>1440.6587850000001</v>
      </c>
      <c r="P1393" t="s">
        <v>421</v>
      </c>
      <c r="Q1393">
        <v>1</v>
      </c>
      <c r="V1393">
        <v>1</v>
      </c>
      <c r="W1393">
        <v>1</v>
      </c>
      <c r="X1393">
        <v>1</v>
      </c>
      <c r="Y1393">
        <v>1</v>
      </c>
      <c r="Z1393">
        <v>1440.6587850000001</v>
      </c>
    </row>
    <row r="1394" spans="1:26" x14ac:dyDescent="0.25">
      <c r="A1394">
        <v>41326</v>
      </c>
      <c r="B1394" t="s">
        <v>115</v>
      </c>
      <c r="C1394">
        <v>2018</v>
      </c>
      <c r="D1394">
        <v>1</v>
      </c>
      <c r="E1394" t="s">
        <v>415</v>
      </c>
      <c r="F1394" t="s">
        <v>416</v>
      </c>
      <c r="G1394" t="s">
        <v>417</v>
      </c>
      <c r="H1394" t="s">
        <v>84</v>
      </c>
      <c r="I1394" t="s">
        <v>426</v>
      </c>
      <c r="J1394" t="s">
        <v>87</v>
      </c>
      <c r="K1394">
        <v>-3164.6267514699998</v>
      </c>
      <c r="L1394" t="s">
        <v>427</v>
      </c>
      <c r="M1394" t="s">
        <v>422</v>
      </c>
      <c r="N1394">
        <v>6.8896616392329996E-2</v>
      </c>
      <c r="O1394">
        <v>218.03207499999999</v>
      </c>
      <c r="P1394" t="s">
        <v>421</v>
      </c>
      <c r="Q1394">
        <v>1</v>
      </c>
      <c r="V1394">
        <v>1</v>
      </c>
      <c r="W1394">
        <v>1</v>
      </c>
      <c r="X1394">
        <v>1</v>
      </c>
      <c r="Y1394">
        <v>1</v>
      </c>
      <c r="Z1394">
        <v>218.03207499999999</v>
      </c>
    </row>
    <row r="1395" spans="1:26" x14ac:dyDescent="0.25">
      <c r="A1395">
        <v>41327</v>
      </c>
      <c r="B1395" t="s">
        <v>115</v>
      </c>
      <c r="C1395">
        <v>2018</v>
      </c>
      <c r="D1395">
        <v>1</v>
      </c>
      <c r="E1395" t="s">
        <v>415</v>
      </c>
      <c r="F1395" t="s">
        <v>416</v>
      </c>
      <c r="G1395" t="s">
        <v>417</v>
      </c>
      <c r="H1395" t="s">
        <v>84</v>
      </c>
      <c r="I1395" t="s">
        <v>426</v>
      </c>
      <c r="J1395" t="s">
        <v>87</v>
      </c>
      <c r="K1395">
        <v>-3164.6267514699998</v>
      </c>
      <c r="L1395" t="s">
        <v>427</v>
      </c>
      <c r="M1395" t="s">
        <v>423</v>
      </c>
      <c r="N1395">
        <v>0.70986919705586005</v>
      </c>
      <c r="O1395">
        <v>2246.471051</v>
      </c>
      <c r="P1395" t="s">
        <v>421</v>
      </c>
      <c r="Q1395">
        <v>1</v>
      </c>
      <c r="V1395">
        <v>1</v>
      </c>
      <c r="W1395">
        <v>1</v>
      </c>
      <c r="X1395">
        <v>1</v>
      </c>
      <c r="Y1395">
        <v>1</v>
      </c>
      <c r="Z1395">
        <v>2246.471051</v>
      </c>
    </row>
    <row r="1396" spans="1:26" x14ac:dyDescent="0.25">
      <c r="A1396">
        <v>41328</v>
      </c>
      <c r="B1396" t="s">
        <v>115</v>
      </c>
      <c r="C1396">
        <v>2018</v>
      </c>
      <c r="D1396">
        <v>1</v>
      </c>
      <c r="E1396" t="s">
        <v>415</v>
      </c>
      <c r="F1396" t="s">
        <v>416</v>
      </c>
      <c r="G1396" t="s">
        <v>417</v>
      </c>
      <c r="H1396" t="s">
        <v>84</v>
      </c>
      <c r="I1396" t="s">
        <v>426</v>
      </c>
      <c r="J1396" t="s">
        <v>87</v>
      </c>
      <c r="K1396">
        <v>-3164.6267514699998</v>
      </c>
      <c r="L1396" t="s">
        <v>427</v>
      </c>
      <c r="M1396" t="s">
        <v>425</v>
      </c>
      <c r="N1396">
        <v>1.4965642882E-3</v>
      </c>
      <c r="O1396">
        <v>4.7360670000000002</v>
      </c>
      <c r="P1396" t="s">
        <v>421</v>
      </c>
      <c r="Q1396">
        <v>1</v>
      </c>
      <c r="V1396">
        <v>1</v>
      </c>
      <c r="W1396">
        <v>1</v>
      </c>
      <c r="X1396">
        <v>1</v>
      </c>
      <c r="Y1396">
        <v>1</v>
      </c>
      <c r="Z1396">
        <v>4.7360670000000002</v>
      </c>
    </row>
    <row r="1397" spans="1:26" x14ac:dyDescent="0.25">
      <c r="A1397">
        <v>41329</v>
      </c>
      <c r="B1397" t="s">
        <v>115</v>
      </c>
      <c r="C1397">
        <v>2018</v>
      </c>
      <c r="D1397">
        <v>1</v>
      </c>
      <c r="E1397" t="s">
        <v>415</v>
      </c>
      <c r="F1397" t="s">
        <v>416</v>
      </c>
      <c r="G1397" t="s">
        <v>417</v>
      </c>
      <c r="H1397" t="s">
        <v>84</v>
      </c>
      <c r="I1397" t="s">
        <v>428</v>
      </c>
      <c r="J1397" t="s">
        <v>59</v>
      </c>
      <c r="K1397">
        <v>-6218.3325989100003</v>
      </c>
      <c r="L1397" t="s">
        <v>89</v>
      </c>
      <c r="M1397" t="s">
        <v>420</v>
      </c>
      <c r="N1397">
        <v>0.26343870574139999</v>
      </c>
      <c r="O1397">
        <v>1638.149492</v>
      </c>
      <c r="P1397" t="s">
        <v>421</v>
      </c>
      <c r="Q1397">
        <v>1</v>
      </c>
      <c r="V1397">
        <v>1</v>
      </c>
      <c r="W1397">
        <v>1</v>
      </c>
      <c r="X1397">
        <v>1</v>
      </c>
      <c r="Y1397">
        <v>1</v>
      </c>
      <c r="Z1397">
        <v>1638.149492</v>
      </c>
    </row>
    <row r="1398" spans="1:26" x14ac:dyDescent="0.25">
      <c r="A1398">
        <v>41330</v>
      </c>
      <c r="B1398" t="s">
        <v>115</v>
      </c>
      <c r="C1398">
        <v>2018</v>
      </c>
      <c r="D1398">
        <v>1</v>
      </c>
      <c r="E1398" t="s">
        <v>415</v>
      </c>
      <c r="F1398" t="s">
        <v>416</v>
      </c>
      <c r="G1398" t="s">
        <v>417</v>
      </c>
      <c r="H1398" t="s">
        <v>84</v>
      </c>
      <c r="I1398" t="s">
        <v>428</v>
      </c>
      <c r="J1398" t="s">
        <v>59</v>
      </c>
      <c r="K1398">
        <v>-6218.3325989100003</v>
      </c>
      <c r="L1398" t="s">
        <v>89</v>
      </c>
      <c r="M1398" t="s">
        <v>422</v>
      </c>
      <c r="N1398">
        <v>7.1262429683470005E-2</v>
      </c>
      <c r="O1398">
        <v>443.13348999999999</v>
      </c>
      <c r="P1398" t="s">
        <v>421</v>
      </c>
      <c r="Q1398">
        <v>1</v>
      </c>
      <c r="V1398">
        <v>1</v>
      </c>
      <c r="W1398">
        <v>1</v>
      </c>
      <c r="X1398">
        <v>1</v>
      </c>
      <c r="Y1398">
        <v>1</v>
      </c>
      <c r="Z1398">
        <v>443.13348999999999</v>
      </c>
    </row>
    <row r="1399" spans="1:26" x14ac:dyDescent="0.25">
      <c r="A1399">
        <v>41331</v>
      </c>
      <c r="B1399" t="s">
        <v>115</v>
      </c>
      <c r="C1399">
        <v>2018</v>
      </c>
      <c r="D1399">
        <v>1</v>
      </c>
      <c r="E1399" t="s">
        <v>415</v>
      </c>
      <c r="F1399" t="s">
        <v>416</v>
      </c>
      <c r="G1399" t="s">
        <v>417</v>
      </c>
      <c r="H1399" t="s">
        <v>84</v>
      </c>
      <c r="I1399" t="s">
        <v>428</v>
      </c>
      <c r="J1399" t="s">
        <v>59</v>
      </c>
      <c r="K1399">
        <v>-6218.3325989100003</v>
      </c>
      <c r="L1399" t="s">
        <v>89</v>
      </c>
      <c r="M1399" t="s">
        <v>423</v>
      </c>
      <c r="N1399">
        <v>0.74738783869542003</v>
      </c>
      <c r="O1399">
        <v>4647.5061610000002</v>
      </c>
      <c r="P1399" t="s">
        <v>421</v>
      </c>
      <c r="Q1399">
        <v>1</v>
      </c>
      <c r="V1399">
        <v>1</v>
      </c>
      <c r="W1399">
        <v>1</v>
      </c>
      <c r="X1399">
        <v>1</v>
      </c>
      <c r="Y1399">
        <v>1</v>
      </c>
      <c r="Z1399">
        <v>4647.5061610000002</v>
      </c>
    </row>
    <row r="1400" spans="1:26" x14ac:dyDescent="0.25">
      <c r="A1400">
        <v>41332</v>
      </c>
      <c r="B1400" t="s">
        <v>115</v>
      </c>
      <c r="C1400">
        <v>2018</v>
      </c>
      <c r="D1400">
        <v>1</v>
      </c>
      <c r="E1400" t="s">
        <v>415</v>
      </c>
      <c r="F1400" t="s">
        <v>416</v>
      </c>
      <c r="G1400" t="s">
        <v>417</v>
      </c>
      <c r="H1400" t="s">
        <v>84</v>
      </c>
      <c r="I1400" t="s">
        <v>428</v>
      </c>
      <c r="J1400" t="s">
        <v>59</v>
      </c>
      <c r="K1400">
        <v>-6218.3325989100003</v>
      </c>
      <c r="L1400" t="s">
        <v>89</v>
      </c>
      <c r="M1400" t="s">
        <v>424</v>
      </c>
      <c r="N1400">
        <v>3.08071516317E-3</v>
      </c>
      <c r="O1400">
        <v>19.156911999999998</v>
      </c>
      <c r="P1400" t="s">
        <v>421</v>
      </c>
      <c r="Q1400">
        <v>1</v>
      </c>
      <c r="V1400">
        <v>1</v>
      </c>
      <c r="W1400">
        <v>1</v>
      </c>
      <c r="X1400">
        <v>1</v>
      </c>
      <c r="Y1400">
        <v>1</v>
      </c>
      <c r="Z1400">
        <v>19.156911999999998</v>
      </c>
    </row>
    <row r="1401" spans="1:26" x14ac:dyDescent="0.25">
      <c r="A1401">
        <v>41333</v>
      </c>
      <c r="B1401" t="s">
        <v>115</v>
      </c>
      <c r="C1401">
        <v>2018</v>
      </c>
      <c r="D1401">
        <v>1</v>
      </c>
      <c r="E1401" t="s">
        <v>415</v>
      </c>
      <c r="F1401" t="s">
        <v>416</v>
      </c>
      <c r="G1401" t="s">
        <v>417</v>
      </c>
      <c r="H1401" t="s">
        <v>84</v>
      </c>
      <c r="I1401" t="s">
        <v>428</v>
      </c>
      <c r="J1401" t="s">
        <v>59</v>
      </c>
      <c r="K1401">
        <v>-6218.3325989100003</v>
      </c>
      <c r="L1401" t="s">
        <v>89</v>
      </c>
      <c r="M1401" t="s">
        <v>425</v>
      </c>
      <c r="N1401">
        <v>2.5360775708E-3</v>
      </c>
      <c r="O1401">
        <v>15.770174000000001</v>
      </c>
      <c r="P1401" t="s">
        <v>421</v>
      </c>
      <c r="Q1401">
        <v>1</v>
      </c>
      <c r="V1401">
        <v>1</v>
      </c>
      <c r="W1401">
        <v>1</v>
      </c>
      <c r="X1401">
        <v>1</v>
      </c>
      <c r="Y1401">
        <v>1</v>
      </c>
      <c r="Z1401">
        <v>15.770174000000001</v>
      </c>
    </row>
    <row r="1402" spans="1:26" x14ac:dyDescent="0.25">
      <c r="A1402">
        <v>41334</v>
      </c>
      <c r="B1402" t="s">
        <v>115</v>
      </c>
      <c r="C1402">
        <v>2018</v>
      </c>
      <c r="D1402">
        <v>1</v>
      </c>
      <c r="E1402" t="s">
        <v>415</v>
      </c>
      <c r="F1402" t="s">
        <v>429</v>
      </c>
      <c r="G1402" t="s">
        <v>430</v>
      </c>
      <c r="H1402" t="s">
        <v>84</v>
      </c>
      <c r="I1402" t="s">
        <v>431</v>
      </c>
      <c r="J1402" t="s">
        <v>419</v>
      </c>
      <c r="K1402">
        <v>-18957.329895250001</v>
      </c>
      <c r="L1402" t="s">
        <v>85</v>
      </c>
      <c r="M1402" t="s">
        <v>420</v>
      </c>
      <c r="N1402">
        <v>0.24824931095561001</v>
      </c>
      <c r="O1402">
        <v>4706.1440839999996</v>
      </c>
      <c r="P1402" t="s">
        <v>421</v>
      </c>
      <c r="Q1402">
        <v>1</v>
      </c>
      <c r="V1402">
        <v>1</v>
      </c>
      <c r="W1402">
        <v>1</v>
      </c>
      <c r="X1402">
        <v>1</v>
      </c>
      <c r="Y1402">
        <v>1</v>
      </c>
      <c r="Z1402">
        <v>4706.1440839999996</v>
      </c>
    </row>
    <row r="1403" spans="1:26" x14ac:dyDescent="0.25">
      <c r="A1403">
        <v>41335</v>
      </c>
      <c r="B1403" t="s">
        <v>115</v>
      </c>
      <c r="C1403">
        <v>2018</v>
      </c>
      <c r="D1403">
        <v>1</v>
      </c>
      <c r="E1403" t="s">
        <v>415</v>
      </c>
      <c r="F1403" t="s">
        <v>429</v>
      </c>
      <c r="G1403" t="s">
        <v>430</v>
      </c>
      <c r="H1403" t="s">
        <v>84</v>
      </c>
      <c r="I1403" t="s">
        <v>431</v>
      </c>
      <c r="J1403" t="s">
        <v>419</v>
      </c>
      <c r="K1403">
        <v>-18957.329895250001</v>
      </c>
      <c r="L1403" t="s">
        <v>85</v>
      </c>
      <c r="M1403" t="s">
        <v>422</v>
      </c>
      <c r="N1403">
        <v>7.7540047892240005E-2</v>
      </c>
      <c r="O1403">
        <v>1469.952268</v>
      </c>
      <c r="P1403" t="s">
        <v>421</v>
      </c>
      <c r="Q1403">
        <v>1</v>
      </c>
      <c r="V1403">
        <v>1</v>
      </c>
      <c r="W1403">
        <v>1</v>
      </c>
      <c r="X1403">
        <v>1</v>
      </c>
      <c r="Y1403">
        <v>1</v>
      </c>
      <c r="Z1403">
        <v>1469.952268</v>
      </c>
    </row>
    <row r="1404" spans="1:26" x14ac:dyDescent="0.25">
      <c r="A1404">
        <v>41336</v>
      </c>
      <c r="B1404" t="s">
        <v>115</v>
      </c>
      <c r="C1404">
        <v>2018</v>
      </c>
      <c r="D1404">
        <v>1</v>
      </c>
      <c r="E1404" t="s">
        <v>415</v>
      </c>
      <c r="F1404" t="s">
        <v>429</v>
      </c>
      <c r="G1404" t="s">
        <v>430</v>
      </c>
      <c r="H1404" t="s">
        <v>84</v>
      </c>
      <c r="I1404" t="s">
        <v>431</v>
      </c>
      <c r="J1404" t="s">
        <v>419</v>
      </c>
      <c r="K1404">
        <v>-18957.329895250001</v>
      </c>
      <c r="L1404" t="s">
        <v>85</v>
      </c>
      <c r="M1404" t="s">
        <v>423</v>
      </c>
      <c r="N1404">
        <v>0.73979703899049998</v>
      </c>
      <c r="O1404">
        <v>14024.576524</v>
      </c>
      <c r="P1404" t="s">
        <v>421</v>
      </c>
      <c r="Q1404">
        <v>1</v>
      </c>
      <c r="V1404">
        <v>1</v>
      </c>
      <c r="W1404">
        <v>1</v>
      </c>
      <c r="X1404">
        <v>1</v>
      </c>
      <c r="Y1404">
        <v>1</v>
      </c>
      <c r="Z1404">
        <v>14024.576524</v>
      </c>
    </row>
    <row r="1405" spans="1:26" x14ac:dyDescent="0.25">
      <c r="A1405">
        <v>41337</v>
      </c>
      <c r="B1405" t="s">
        <v>115</v>
      </c>
      <c r="C1405">
        <v>2018</v>
      </c>
      <c r="D1405">
        <v>1</v>
      </c>
      <c r="E1405" t="s">
        <v>415</v>
      </c>
      <c r="F1405" t="s">
        <v>429</v>
      </c>
      <c r="G1405" t="s">
        <v>430</v>
      </c>
      <c r="H1405" t="s">
        <v>84</v>
      </c>
      <c r="I1405" t="s">
        <v>431</v>
      </c>
      <c r="J1405" t="s">
        <v>419</v>
      </c>
      <c r="K1405">
        <v>-18957.329895250001</v>
      </c>
      <c r="L1405" t="s">
        <v>85</v>
      </c>
      <c r="M1405" t="s">
        <v>424</v>
      </c>
      <c r="N1405">
        <v>2.9085775596699999E-3</v>
      </c>
      <c r="O1405">
        <v>55.138863999999998</v>
      </c>
      <c r="P1405" t="s">
        <v>421</v>
      </c>
      <c r="Q1405">
        <v>1</v>
      </c>
      <c r="V1405">
        <v>1</v>
      </c>
      <c r="W1405">
        <v>1</v>
      </c>
      <c r="X1405">
        <v>1</v>
      </c>
      <c r="Y1405">
        <v>1</v>
      </c>
      <c r="Z1405">
        <v>55.138863999999998</v>
      </c>
    </row>
    <row r="1406" spans="1:26" x14ac:dyDescent="0.25">
      <c r="A1406">
        <v>41338</v>
      </c>
      <c r="B1406" t="s">
        <v>115</v>
      </c>
      <c r="C1406">
        <v>2018</v>
      </c>
      <c r="D1406">
        <v>1</v>
      </c>
      <c r="E1406" t="s">
        <v>415</v>
      </c>
      <c r="F1406" t="s">
        <v>429</v>
      </c>
      <c r="G1406" t="s">
        <v>430</v>
      </c>
      <c r="H1406" t="s">
        <v>84</v>
      </c>
      <c r="I1406" t="s">
        <v>431</v>
      </c>
      <c r="J1406" t="s">
        <v>419</v>
      </c>
      <c r="K1406">
        <v>-18957.329895250001</v>
      </c>
      <c r="L1406" t="s">
        <v>85</v>
      </c>
      <c r="M1406" t="s">
        <v>425</v>
      </c>
      <c r="N1406">
        <v>2.6170694898000001E-3</v>
      </c>
      <c r="O1406">
        <v>49.612650000000002</v>
      </c>
      <c r="P1406" t="s">
        <v>421</v>
      </c>
      <c r="Q1406">
        <v>1</v>
      </c>
      <c r="V1406">
        <v>1</v>
      </c>
      <c r="W1406">
        <v>1</v>
      </c>
      <c r="X1406">
        <v>1</v>
      </c>
      <c r="Y1406">
        <v>1</v>
      </c>
      <c r="Z1406">
        <v>49.612650000000002</v>
      </c>
    </row>
    <row r="1407" spans="1:26" x14ac:dyDescent="0.25">
      <c r="A1407">
        <v>41339</v>
      </c>
      <c r="B1407" t="s">
        <v>115</v>
      </c>
      <c r="C1407">
        <v>2018</v>
      </c>
      <c r="D1407">
        <v>1</v>
      </c>
      <c r="E1407" t="s">
        <v>415</v>
      </c>
      <c r="F1407" t="s">
        <v>429</v>
      </c>
      <c r="G1407" t="s">
        <v>430</v>
      </c>
      <c r="H1407" t="s">
        <v>84</v>
      </c>
      <c r="I1407" t="s">
        <v>432</v>
      </c>
      <c r="J1407" t="s">
        <v>87</v>
      </c>
      <c r="K1407">
        <v>-5005.8597161199996</v>
      </c>
      <c r="L1407" t="s">
        <v>427</v>
      </c>
      <c r="M1407" t="s">
        <v>420</v>
      </c>
      <c r="N1407">
        <v>0.45523813654234002</v>
      </c>
      <c r="O1407">
        <v>2278.8582489999999</v>
      </c>
      <c r="P1407" t="s">
        <v>421</v>
      </c>
      <c r="Q1407">
        <v>1</v>
      </c>
      <c r="V1407">
        <v>1</v>
      </c>
      <c r="W1407">
        <v>1</v>
      </c>
      <c r="X1407">
        <v>1</v>
      </c>
      <c r="Y1407">
        <v>1</v>
      </c>
      <c r="Z1407">
        <v>2278.8582489999999</v>
      </c>
    </row>
    <row r="1408" spans="1:26" x14ac:dyDescent="0.25">
      <c r="A1408">
        <v>41340</v>
      </c>
      <c r="B1408" t="s">
        <v>115</v>
      </c>
      <c r="C1408">
        <v>2018</v>
      </c>
      <c r="D1408">
        <v>1</v>
      </c>
      <c r="E1408" t="s">
        <v>415</v>
      </c>
      <c r="F1408" t="s">
        <v>429</v>
      </c>
      <c r="G1408" t="s">
        <v>430</v>
      </c>
      <c r="H1408" t="s">
        <v>84</v>
      </c>
      <c r="I1408" t="s">
        <v>432</v>
      </c>
      <c r="J1408" t="s">
        <v>87</v>
      </c>
      <c r="K1408">
        <v>-5005.8597161199996</v>
      </c>
      <c r="L1408" t="s">
        <v>427</v>
      </c>
      <c r="M1408" t="s">
        <v>422</v>
      </c>
      <c r="N1408">
        <v>6.8896616392329996E-2</v>
      </c>
      <c r="O1408">
        <v>344.886797</v>
      </c>
      <c r="P1408" t="s">
        <v>421</v>
      </c>
      <c r="Q1408">
        <v>1</v>
      </c>
      <c r="V1408">
        <v>1</v>
      </c>
      <c r="W1408">
        <v>1</v>
      </c>
      <c r="X1408">
        <v>1</v>
      </c>
      <c r="Y1408">
        <v>1</v>
      </c>
      <c r="Z1408">
        <v>344.886797</v>
      </c>
    </row>
    <row r="1409" spans="1:26" x14ac:dyDescent="0.25">
      <c r="A1409">
        <v>41341</v>
      </c>
      <c r="B1409" t="s">
        <v>115</v>
      </c>
      <c r="C1409">
        <v>2018</v>
      </c>
      <c r="D1409">
        <v>1</v>
      </c>
      <c r="E1409" t="s">
        <v>415</v>
      </c>
      <c r="F1409" t="s">
        <v>429</v>
      </c>
      <c r="G1409" t="s">
        <v>430</v>
      </c>
      <c r="H1409" t="s">
        <v>84</v>
      </c>
      <c r="I1409" t="s">
        <v>432</v>
      </c>
      <c r="J1409" t="s">
        <v>87</v>
      </c>
      <c r="K1409">
        <v>-5005.8597161199996</v>
      </c>
      <c r="L1409" t="s">
        <v>427</v>
      </c>
      <c r="M1409" t="s">
        <v>423</v>
      </c>
      <c r="N1409">
        <v>0.70986919705586005</v>
      </c>
      <c r="O1409">
        <v>3553.5056169999998</v>
      </c>
      <c r="P1409" t="s">
        <v>421</v>
      </c>
      <c r="Q1409">
        <v>1</v>
      </c>
      <c r="V1409">
        <v>1</v>
      </c>
      <c r="W1409">
        <v>1</v>
      </c>
      <c r="X1409">
        <v>1</v>
      </c>
      <c r="Y1409">
        <v>1</v>
      </c>
      <c r="Z1409">
        <v>3553.5056169999998</v>
      </c>
    </row>
    <row r="1410" spans="1:26" x14ac:dyDescent="0.25">
      <c r="A1410">
        <v>41342</v>
      </c>
      <c r="B1410" t="s">
        <v>115</v>
      </c>
      <c r="C1410">
        <v>2018</v>
      </c>
      <c r="D1410">
        <v>1</v>
      </c>
      <c r="E1410" t="s">
        <v>415</v>
      </c>
      <c r="F1410" t="s">
        <v>429</v>
      </c>
      <c r="G1410" t="s">
        <v>430</v>
      </c>
      <c r="H1410" t="s">
        <v>84</v>
      </c>
      <c r="I1410" t="s">
        <v>432</v>
      </c>
      <c r="J1410" t="s">
        <v>87</v>
      </c>
      <c r="K1410">
        <v>-5005.8597161199996</v>
      </c>
      <c r="L1410" t="s">
        <v>427</v>
      </c>
      <c r="M1410" t="s">
        <v>425</v>
      </c>
      <c r="N1410">
        <v>1.4965642882E-3</v>
      </c>
      <c r="O1410">
        <v>7.4915909999999997</v>
      </c>
      <c r="P1410" t="s">
        <v>421</v>
      </c>
      <c r="Q1410">
        <v>1</v>
      </c>
      <c r="V1410">
        <v>1</v>
      </c>
      <c r="W1410">
        <v>1</v>
      </c>
      <c r="X1410">
        <v>1</v>
      </c>
      <c r="Y1410">
        <v>1</v>
      </c>
      <c r="Z1410">
        <v>7.4915909999999997</v>
      </c>
    </row>
    <row r="1411" spans="1:26" x14ac:dyDescent="0.25">
      <c r="A1411">
        <v>41343</v>
      </c>
      <c r="B1411" t="s">
        <v>115</v>
      </c>
      <c r="C1411">
        <v>2018</v>
      </c>
      <c r="D1411">
        <v>1</v>
      </c>
      <c r="E1411" t="s">
        <v>415</v>
      </c>
      <c r="F1411" t="s">
        <v>429</v>
      </c>
      <c r="G1411" t="s">
        <v>430</v>
      </c>
      <c r="H1411" t="s">
        <v>84</v>
      </c>
      <c r="I1411" t="s">
        <v>433</v>
      </c>
      <c r="J1411" t="s">
        <v>59</v>
      </c>
      <c r="K1411">
        <v>-8665.6061146800002</v>
      </c>
      <c r="L1411" t="s">
        <v>89</v>
      </c>
      <c r="M1411" t="s">
        <v>420</v>
      </c>
      <c r="N1411">
        <v>0.26343870574139999</v>
      </c>
      <c r="O1411">
        <v>2282.8560590000002</v>
      </c>
      <c r="P1411" t="s">
        <v>421</v>
      </c>
      <c r="Q1411">
        <v>1</v>
      </c>
      <c r="V1411">
        <v>1</v>
      </c>
      <c r="W1411">
        <v>1</v>
      </c>
      <c r="X1411">
        <v>1</v>
      </c>
      <c r="Y1411">
        <v>1</v>
      </c>
      <c r="Z1411">
        <v>2282.8560590000002</v>
      </c>
    </row>
    <row r="1412" spans="1:26" x14ac:dyDescent="0.25">
      <c r="A1412">
        <v>41344</v>
      </c>
      <c r="B1412" t="s">
        <v>115</v>
      </c>
      <c r="C1412">
        <v>2018</v>
      </c>
      <c r="D1412">
        <v>1</v>
      </c>
      <c r="E1412" t="s">
        <v>415</v>
      </c>
      <c r="F1412" t="s">
        <v>429</v>
      </c>
      <c r="G1412" t="s">
        <v>430</v>
      </c>
      <c r="H1412" t="s">
        <v>84</v>
      </c>
      <c r="I1412" t="s">
        <v>433</v>
      </c>
      <c r="J1412" t="s">
        <v>59</v>
      </c>
      <c r="K1412">
        <v>-8665.6061146800002</v>
      </c>
      <c r="L1412" t="s">
        <v>89</v>
      </c>
      <c r="M1412" t="s">
        <v>422</v>
      </c>
      <c r="N1412">
        <v>7.1262429683470005E-2</v>
      </c>
      <c r="O1412">
        <v>617.53214600000001</v>
      </c>
      <c r="P1412" t="s">
        <v>421</v>
      </c>
      <c r="Q1412">
        <v>1</v>
      </c>
      <c r="V1412">
        <v>1</v>
      </c>
      <c r="W1412">
        <v>1</v>
      </c>
      <c r="X1412">
        <v>1</v>
      </c>
      <c r="Y1412">
        <v>1</v>
      </c>
      <c r="Z1412">
        <v>617.53214600000001</v>
      </c>
    </row>
    <row r="1413" spans="1:26" x14ac:dyDescent="0.25">
      <c r="A1413">
        <v>41345</v>
      </c>
      <c r="B1413" t="s">
        <v>115</v>
      </c>
      <c r="C1413">
        <v>2018</v>
      </c>
      <c r="D1413">
        <v>1</v>
      </c>
      <c r="E1413" t="s">
        <v>415</v>
      </c>
      <c r="F1413" t="s">
        <v>429</v>
      </c>
      <c r="G1413" t="s">
        <v>430</v>
      </c>
      <c r="H1413" t="s">
        <v>84</v>
      </c>
      <c r="I1413" t="s">
        <v>433</v>
      </c>
      <c r="J1413" t="s">
        <v>59</v>
      </c>
      <c r="K1413">
        <v>-8665.6061146800002</v>
      </c>
      <c r="L1413" t="s">
        <v>89</v>
      </c>
      <c r="M1413" t="s">
        <v>423</v>
      </c>
      <c r="N1413">
        <v>0.74738783869542003</v>
      </c>
      <c r="O1413">
        <v>6476.5686249999999</v>
      </c>
      <c r="P1413" t="s">
        <v>421</v>
      </c>
      <c r="Q1413">
        <v>1</v>
      </c>
      <c r="V1413">
        <v>1</v>
      </c>
      <c r="W1413">
        <v>1</v>
      </c>
      <c r="X1413">
        <v>1</v>
      </c>
      <c r="Y1413">
        <v>1</v>
      </c>
      <c r="Z1413">
        <v>6476.5686249999999</v>
      </c>
    </row>
    <row r="1414" spans="1:26" x14ac:dyDescent="0.25">
      <c r="A1414">
        <v>41346</v>
      </c>
      <c r="B1414" t="s">
        <v>115</v>
      </c>
      <c r="C1414">
        <v>2018</v>
      </c>
      <c r="D1414">
        <v>1</v>
      </c>
      <c r="E1414" t="s">
        <v>415</v>
      </c>
      <c r="F1414" t="s">
        <v>429</v>
      </c>
      <c r="G1414" t="s">
        <v>430</v>
      </c>
      <c r="H1414" t="s">
        <v>84</v>
      </c>
      <c r="I1414" t="s">
        <v>433</v>
      </c>
      <c r="J1414" t="s">
        <v>59</v>
      </c>
      <c r="K1414">
        <v>-8665.6061146800002</v>
      </c>
      <c r="L1414" t="s">
        <v>89</v>
      </c>
      <c r="M1414" t="s">
        <v>424</v>
      </c>
      <c r="N1414">
        <v>3.08071516317E-3</v>
      </c>
      <c r="O1414">
        <v>26.696263999999999</v>
      </c>
      <c r="P1414" t="s">
        <v>421</v>
      </c>
      <c r="Q1414">
        <v>1</v>
      </c>
      <c r="V1414">
        <v>1</v>
      </c>
      <c r="W1414">
        <v>1</v>
      </c>
      <c r="X1414">
        <v>1</v>
      </c>
      <c r="Y1414">
        <v>1</v>
      </c>
      <c r="Z1414">
        <v>26.696263999999999</v>
      </c>
    </row>
    <row r="1415" spans="1:26" x14ac:dyDescent="0.25">
      <c r="A1415">
        <v>41347</v>
      </c>
      <c r="B1415" t="s">
        <v>115</v>
      </c>
      <c r="C1415">
        <v>2018</v>
      </c>
      <c r="D1415">
        <v>1</v>
      </c>
      <c r="E1415" t="s">
        <v>415</v>
      </c>
      <c r="F1415" t="s">
        <v>429</v>
      </c>
      <c r="G1415" t="s">
        <v>430</v>
      </c>
      <c r="H1415" t="s">
        <v>84</v>
      </c>
      <c r="I1415" t="s">
        <v>433</v>
      </c>
      <c r="J1415" t="s">
        <v>59</v>
      </c>
      <c r="K1415">
        <v>-8665.6061146800002</v>
      </c>
      <c r="L1415" t="s">
        <v>89</v>
      </c>
      <c r="M1415" t="s">
        <v>425</v>
      </c>
      <c r="N1415">
        <v>2.5360775708E-3</v>
      </c>
      <c r="O1415">
        <v>21.976648999999998</v>
      </c>
      <c r="P1415" t="s">
        <v>421</v>
      </c>
      <c r="Q1415">
        <v>1</v>
      </c>
      <c r="V1415">
        <v>1</v>
      </c>
      <c r="W1415">
        <v>1</v>
      </c>
      <c r="X1415">
        <v>1</v>
      </c>
      <c r="Y1415">
        <v>1</v>
      </c>
      <c r="Z1415">
        <v>21.976648999999998</v>
      </c>
    </row>
    <row r="1416" spans="1:26" x14ac:dyDescent="0.25">
      <c r="A1416">
        <v>41348</v>
      </c>
      <c r="B1416" t="s">
        <v>115</v>
      </c>
      <c r="C1416">
        <v>2018</v>
      </c>
      <c r="D1416">
        <v>1</v>
      </c>
      <c r="E1416" t="s">
        <v>415</v>
      </c>
      <c r="F1416" t="s">
        <v>434</v>
      </c>
      <c r="G1416" t="s">
        <v>435</v>
      </c>
      <c r="H1416" t="s">
        <v>84</v>
      </c>
      <c r="I1416" t="s">
        <v>436</v>
      </c>
      <c r="J1416" t="s">
        <v>419</v>
      </c>
      <c r="K1416">
        <v>-9021.5310490499996</v>
      </c>
      <c r="L1416" t="s">
        <v>85</v>
      </c>
      <c r="M1416" t="s">
        <v>420</v>
      </c>
      <c r="N1416">
        <v>0.24824931095561001</v>
      </c>
      <c r="O1416">
        <v>2239.5888669999999</v>
      </c>
      <c r="P1416" t="s">
        <v>421</v>
      </c>
      <c r="Q1416">
        <v>1</v>
      </c>
      <c r="V1416">
        <v>1</v>
      </c>
      <c r="W1416">
        <v>1</v>
      </c>
      <c r="X1416">
        <v>1</v>
      </c>
      <c r="Y1416">
        <v>1</v>
      </c>
      <c r="Z1416">
        <v>2239.5888669999999</v>
      </c>
    </row>
    <row r="1417" spans="1:26" x14ac:dyDescent="0.25">
      <c r="A1417">
        <v>41349</v>
      </c>
      <c r="B1417" t="s">
        <v>115</v>
      </c>
      <c r="C1417">
        <v>2018</v>
      </c>
      <c r="D1417">
        <v>1</v>
      </c>
      <c r="E1417" t="s">
        <v>415</v>
      </c>
      <c r="F1417" t="s">
        <v>434</v>
      </c>
      <c r="G1417" t="s">
        <v>435</v>
      </c>
      <c r="H1417" t="s">
        <v>84</v>
      </c>
      <c r="I1417" t="s">
        <v>436</v>
      </c>
      <c r="J1417" t="s">
        <v>419</v>
      </c>
      <c r="K1417">
        <v>-9021.5310490499996</v>
      </c>
      <c r="L1417" t="s">
        <v>85</v>
      </c>
      <c r="M1417" t="s">
        <v>422</v>
      </c>
      <c r="N1417">
        <v>7.7540047892240005E-2</v>
      </c>
      <c r="O1417">
        <v>699.52994999999999</v>
      </c>
      <c r="P1417" t="s">
        <v>421</v>
      </c>
      <c r="Q1417">
        <v>1</v>
      </c>
      <c r="V1417">
        <v>1</v>
      </c>
      <c r="W1417">
        <v>1</v>
      </c>
      <c r="X1417">
        <v>1</v>
      </c>
      <c r="Y1417">
        <v>1</v>
      </c>
      <c r="Z1417">
        <v>699.52994999999999</v>
      </c>
    </row>
    <row r="1418" spans="1:26" x14ac:dyDescent="0.25">
      <c r="A1418">
        <v>41350</v>
      </c>
      <c r="B1418" t="s">
        <v>115</v>
      </c>
      <c r="C1418">
        <v>2018</v>
      </c>
      <c r="D1418">
        <v>1</v>
      </c>
      <c r="E1418" t="s">
        <v>415</v>
      </c>
      <c r="F1418" t="s">
        <v>434</v>
      </c>
      <c r="G1418" t="s">
        <v>435</v>
      </c>
      <c r="H1418" t="s">
        <v>84</v>
      </c>
      <c r="I1418" t="s">
        <v>436</v>
      </c>
      <c r="J1418" t="s">
        <v>419</v>
      </c>
      <c r="K1418">
        <v>-9021.5310490499996</v>
      </c>
      <c r="L1418" t="s">
        <v>85</v>
      </c>
      <c r="M1418" t="s">
        <v>423</v>
      </c>
      <c r="N1418">
        <v>0.73979703899049998</v>
      </c>
      <c r="O1418">
        <v>6674.1019569999999</v>
      </c>
      <c r="P1418" t="s">
        <v>421</v>
      </c>
      <c r="Q1418">
        <v>1</v>
      </c>
      <c r="V1418">
        <v>1</v>
      </c>
      <c r="W1418">
        <v>1</v>
      </c>
      <c r="X1418">
        <v>1</v>
      </c>
      <c r="Y1418">
        <v>1</v>
      </c>
      <c r="Z1418">
        <v>6674.1019569999999</v>
      </c>
    </row>
    <row r="1419" spans="1:26" x14ac:dyDescent="0.25">
      <c r="A1419">
        <v>41351</v>
      </c>
      <c r="B1419" t="s">
        <v>115</v>
      </c>
      <c r="C1419">
        <v>2018</v>
      </c>
      <c r="D1419">
        <v>1</v>
      </c>
      <c r="E1419" t="s">
        <v>415</v>
      </c>
      <c r="F1419" t="s">
        <v>434</v>
      </c>
      <c r="G1419" t="s">
        <v>435</v>
      </c>
      <c r="H1419" t="s">
        <v>84</v>
      </c>
      <c r="I1419" t="s">
        <v>436</v>
      </c>
      <c r="J1419" t="s">
        <v>419</v>
      </c>
      <c r="K1419">
        <v>-9021.5310490499996</v>
      </c>
      <c r="L1419" t="s">
        <v>85</v>
      </c>
      <c r="M1419" t="s">
        <v>424</v>
      </c>
      <c r="N1419">
        <v>2.9085775596699999E-3</v>
      </c>
      <c r="O1419">
        <v>26.239823000000001</v>
      </c>
      <c r="P1419" t="s">
        <v>421</v>
      </c>
      <c r="Q1419">
        <v>1</v>
      </c>
      <c r="V1419">
        <v>1</v>
      </c>
      <c r="W1419">
        <v>1</v>
      </c>
      <c r="X1419">
        <v>1</v>
      </c>
      <c r="Y1419">
        <v>1</v>
      </c>
      <c r="Z1419">
        <v>26.239823000000001</v>
      </c>
    </row>
    <row r="1420" spans="1:26" x14ac:dyDescent="0.25">
      <c r="A1420">
        <v>41352</v>
      </c>
      <c r="B1420" t="s">
        <v>115</v>
      </c>
      <c r="C1420">
        <v>2018</v>
      </c>
      <c r="D1420">
        <v>1</v>
      </c>
      <c r="E1420" t="s">
        <v>415</v>
      </c>
      <c r="F1420" t="s">
        <v>434</v>
      </c>
      <c r="G1420" t="s">
        <v>435</v>
      </c>
      <c r="H1420" t="s">
        <v>84</v>
      </c>
      <c r="I1420" t="s">
        <v>436</v>
      </c>
      <c r="J1420" t="s">
        <v>419</v>
      </c>
      <c r="K1420">
        <v>-9021.5310490499996</v>
      </c>
      <c r="L1420" t="s">
        <v>85</v>
      </c>
      <c r="M1420" t="s">
        <v>425</v>
      </c>
      <c r="N1420">
        <v>2.6170694898000001E-3</v>
      </c>
      <c r="O1420">
        <v>23.609974000000001</v>
      </c>
      <c r="P1420" t="s">
        <v>421</v>
      </c>
      <c r="Q1420">
        <v>1</v>
      </c>
      <c r="V1420">
        <v>1</v>
      </c>
      <c r="W1420">
        <v>1</v>
      </c>
      <c r="X1420">
        <v>1</v>
      </c>
      <c r="Y1420">
        <v>1</v>
      </c>
      <c r="Z1420">
        <v>23.609974000000001</v>
      </c>
    </row>
    <row r="1421" spans="1:26" x14ac:dyDescent="0.25">
      <c r="A1421">
        <v>41353</v>
      </c>
      <c r="B1421" t="s">
        <v>115</v>
      </c>
      <c r="C1421">
        <v>2018</v>
      </c>
      <c r="D1421">
        <v>1</v>
      </c>
      <c r="E1421" t="s">
        <v>415</v>
      </c>
      <c r="F1421" t="s">
        <v>434</v>
      </c>
      <c r="G1421" t="s">
        <v>435</v>
      </c>
      <c r="H1421" t="s">
        <v>84</v>
      </c>
      <c r="I1421" t="s">
        <v>437</v>
      </c>
      <c r="J1421" t="s">
        <v>87</v>
      </c>
      <c r="K1421">
        <v>-2357.4364068099999</v>
      </c>
      <c r="L1421" t="s">
        <v>427</v>
      </c>
      <c r="M1421" t="s">
        <v>420</v>
      </c>
      <c r="N1421">
        <v>0.45523813654234002</v>
      </c>
      <c r="O1421">
        <v>1073.1949569999999</v>
      </c>
      <c r="P1421" t="s">
        <v>421</v>
      </c>
      <c r="Q1421">
        <v>1</v>
      </c>
      <c r="V1421">
        <v>1</v>
      </c>
      <c r="W1421">
        <v>1</v>
      </c>
      <c r="X1421">
        <v>1</v>
      </c>
      <c r="Y1421">
        <v>1</v>
      </c>
      <c r="Z1421">
        <v>1073.1949569999999</v>
      </c>
    </row>
    <row r="1422" spans="1:26" x14ac:dyDescent="0.25">
      <c r="A1422">
        <v>41354</v>
      </c>
      <c r="B1422" t="s">
        <v>115</v>
      </c>
      <c r="C1422">
        <v>2018</v>
      </c>
      <c r="D1422">
        <v>1</v>
      </c>
      <c r="E1422" t="s">
        <v>415</v>
      </c>
      <c r="F1422" t="s">
        <v>434</v>
      </c>
      <c r="G1422" t="s">
        <v>435</v>
      </c>
      <c r="H1422" t="s">
        <v>84</v>
      </c>
      <c r="I1422" t="s">
        <v>437</v>
      </c>
      <c r="J1422" t="s">
        <v>87</v>
      </c>
      <c r="K1422">
        <v>-2357.4364068099999</v>
      </c>
      <c r="L1422" t="s">
        <v>427</v>
      </c>
      <c r="M1422" t="s">
        <v>422</v>
      </c>
      <c r="N1422">
        <v>6.8896616392329996E-2</v>
      </c>
      <c r="O1422">
        <v>162.41939199999999</v>
      </c>
      <c r="P1422" t="s">
        <v>421</v>
      </c>
      <c r="Q1422">
        <v>1</v>
      </c>
      <c r="V1422">
        <v>1</v>
      </c>
      <c r="W1422">
        <v>1</v>
      </c>
      <c r="X1422">
        <v>1</v>
      </c>
      <c r="Y1422">
        <v>1</v>
      </c>
      <c r="Z1422">
        <v>162.41939199999999</v>
      </c>
    </row>
    <row r="1423" spans="1:26" x14ac:dyDescent="0.25">
      <c r="A1423">
        <v>41355</v>
      </c>
      <c r="B1423" t="s">
        <v>115</v>
      </c>
      <c r="C1423">
        <v>2018</v>
      </c>
      <c r="D1423">
        <v>1</v>
      </c>
      <c r="E1423" t="s">
        <v>415</v>
      </c>
      <c r="F1423" t="s">
        <v>434</v>
      </c>
      <c r="G1423" t="s">
        <v>435</v>
      </c>
      <c r="H1423" t="s">
        <v>84</v>
      </c>
      <c r="I1423" t="s">
        <v>437</v>
      </c>
      <c r="J1423" t="s">
        <v>87</v>
      </c>
      <c r="K1423">
        <v>-2357.4364068099999</v>
      </c>
      <c r="L1423" t="s">
        <v>427</v>
      </c>
      <c r="M1423" t="s">
        <v>423</v>
      </c>
      <c r="N1423">
        <v>0.70986919705586005</v>
      </c>
      <c r="O1423">
        <v>1673.471489</v>
      </c>
      <c r="P1423" t="s">
        <v>421</v>
      </c>
      <c r="Q1423">
        <v>1</v>
      </c>
      <c r="V1423">
        <v>1</v>
      </c>
      <c r="W1423">
        <v>1</v>
      </c>
      <c r="X1423">
        <v>1</v>
      </c>
      <c r="Y1423">
        <v>1</v>
      </c>
      <c r="Z1423">
        <v>1673.471489</v>
      </c>
    </row>
    <row r="1424" spans="1:26" x14ac:dyDescent="0.25">
      <c r="A1424">
        <v>41356</v>
      </c>
      <c r="B1424" t="s">
        <v>115</v>
      </c>
      <c r="C1424">
        <v>2018</v>
      </c>
      <c r="D1424">
        <v>1</v>
      </c>
      <c r="E1424" t="s">
        <v>415</v>
      </c>
      <c r="F1424" t="s">
        <v>434</v>
      </c>
      <c r="G1424" t="s">
        <v>435</v>
      </c>
      <c r="H1424" t="s">
        <v>84</v>
      </c>
      <c r="I1424" t="s">
        <v>437</v>
      </c>
      <c r="J1424" t="s">
        <v>87</v>
      </c>
      <c r="K1424">
        <v>-2357.4364068099999</v>
      </c>
      <c r="L1424" t="s">
        <v>427</v>
      </c>
      <c r="M1424" t="s">
        <v>425</v>
      </c>
      <c r="N1424">
        <v>1.4965642882E-3</v>
      </c>
      <c r="O1424">
        <v>3.5280550000000002</v>
      </c>
      <c r="P1424" t="s">
        <v>421</v>
      </c>
      <c r="Q1424">
        <v>1</v>
      </c>
      <c r="V1424">
        <v>1</v>
      </c>
      <c r="W1424">
        <v>1</v>
      </c>
      <c r="X1424">
        <v>1</v>
      </c>
      <c r="Y1424">
        <v>1</v>
      </c>
      <c r="Z1424">
        <v>3.5280550000000002</v>
      </c>
    </row>
    <row r="1425" spans="1:26" x14ac:dyDescent="0.25">
      <c r="A1425">
        <v>41357</v>
      </c>
      <c r="B1425" t="s">
        <v>115</v>
      </c>
      <c r="C1425">
        <v>2018</v>
      </c>
      <c r="D1425">
        <v>1</v>
      </c>
      <c r="E1425" t="s">
        <v>415</v>
      </c>
      <c r="F1425" t="s">
        <v>434</v>
      </c>
      <c r="G1425" t="s">
        <v>435</v>
      </c>
      <c r="H1425" t="s">
        <v>84</v>
      </c>
      <c r="I1425" t="s">
        <v>438</v>
      </c>
      <c r="J1425" t="s">
        <v>59</v>
      </c>
      <c r="K1425">
        <v>-4295.5714264099997</v>
      </c>
      <c r="L1425" t="s">
        <v>89</v>
      </c>
      <c r="M1425" t="s">
        <v>420</v>
      </c>
      <c r="N1425">
        <v>0.26343870574139999</v>
      </c>
      <c r="O1425">
        <v>1131.6197770000001</v>
      </c>
      <c r="P1425" t="s">
        <v>421</v>
      </c>
      <c r="Q1425">
        <v>1</v>
      </c>
      <c r="V1425">
        <v>1</v>
      </c>
      <c r="W1425">
        <v>1</v>
      </c>
      <c r="X1425">
        <v>1</v>
      </c>
      <c r="Y1425">
        <v>1</v>
      </c>
      <c r="Z1425">
        <v>1131.6197770000001</v>
      </c>
    </row>
    <row r="1426" spans="1:26" x14ac:dyDescent="0.25">
      <c r="A1426">
        <v>41358</v>
      </c>
      <c r="B1426" t="s">
        <v>115</v>
      </c>
      <c r="C1426">
        <v>2018</v>
      </c>
      <c r="D1426">
        <v>1</v>
      </c>
      <c r="E1426" t="s">
        <v>415</v>
      </c>
      <c r="F1426" t="s">
        <v>434</v>
      </c>
      <c r="G1426" t="s">
        <v>435</v>
      </c>
      <c r="H1426" t="s">
        <v>84</v>
      </c>
      <c r="I1426" t="s">
        <v>438</v>
      </c>
      <c r="J1426" t="s">
        <v>59</v>
      </c>
      <c r="K1426">
        <v>-4295.5714264099997</v>
      </c>
      <c r="L1426" t="s">
        <v>89</v>
      </c>
      <c r="M1426" t="s">
        <v>422</v>
      </c>
      <c r="N1426">
        <v>7.1262429683470005E-2</v>
      </c>
      <c r="O1426">
        <v>306.11285700000002</v>
      </c>
      <c r="P1426" t="s">
        <v>421</v>
      </c>
      <c r="Q1426">
        <v>1</v>
      </c>
      <c r="V1426">
        <v>1</v>
      </c>
      <c r="W1426">
        <v>1</v>
      </c>
      <c r="X1426">
        <v>1</v>
      </c>
      <c r="Y1426">
        <v>1</v>
      </c>
      <c r="Z1426">
        <v>306.11285700000002</v>
      </c>
    </row>
    <row r="1427" spans="1:26" x14ac:dyDescent="0.25">
      <c r="A1427">
        <v>41359</v>
      </c>
      <c r="B1427" t="s">
        <v>115</v>
      </c>
      <c r="C1427">
        <v>2018</v>
      </c>
      <c r="D1427">
        <v>1</v>
      </c>
      <c r="E1427" t="s">
        <v>415</v>
      </c>
      <c r="F1427" t="s">
        <v>434</v>
      </c>
      <c r="G1427" t="s">
        <v>435</v>
      </c>
      <c r="H1427" t="s">
        <v>84</v>
      </c>
      <c r="I1427" t="s">
        <v>438</v>
      </c>
      <c r="J1427" t="s">
        <v>59</v>
      </c>
      <c r="K1427">
        <v>-4295.5714264099997</v>
      </c>
      <c r="L1427" t="s">
        <v>89</v>
      </c>
      <c r="M1427" t="s">
        <v>423</v>
      </c>
      <c r="N1427">
        <v>0.74738783869542003</v>
      </c>
      <c r="O1427">
        <v>3210.457844</v>
      </c>
      <c r="P1427" t="s">
        <v>421</v>
      </c>
      <c r="Q1427">
        <v>1</v>
      </c>
      <c r="V1427">
        <v>1</v>
      </c>
      <c r="W1427">
        <v>1</v>
      </c>
      <c r="X1427">
        <v>1</v>
      </c>
      <c r="Y1427">
        <v>1</v>
      </c>
      <c r="Z1427">
        <v>3210.457844</v>
      </c>
    </row>
    <row r="1428" spans="1:26" x14ac:dyDescent="0.25">
      <c r="A1428">
        <v>41360</v>
      </c>
      <c r="B1428" t="s">
        <v>115</v>
      </c>
      <c r="C1428">
        <v>2018</v>
      </c>
      <c r="D1428">
        <v>1</v>
      </c>
      <c r="E1428" t="s">
        <v>415</v>
      </c>
      <c r="F1428" t="s">
        <v>434</v>
      </c>
      <c r="G1428" t="s">
        <v>435</v>
      </c>
      <c r="H1428" t="s">
        <v>84</v>
      </c>
      <c r="I1428" t="s">
        <v>438</v>
      </c>
      <c r="J1428" t="s">
        <v>59</v>
      </c>
      <c r="K1428">
        <v>-4295.5714264099997</v>
      </c>
      <c r="L1428" t="s">
        <v>89</v>
      </c>
      <c r="M1428" t="s">
        <v>424</v>
      </c>
      <c r="N1428">
        <v>3.08071516317E-3</v>
      </c>
      <c r="O1428">
        <v>13.233432000000001</v>
      </c>
      <c r="P1428" t="s">
        <v>421</v>
      </c>
      <c r="Q1428">
        <v>1</v>
      </c>
      <c r="V1428">
        <v>1</v>
      </c>
      <c r="W1428">
        <v>1</v>
      </c>
      <c r="X1428">
        <v>1</v>
      </c>
      <c r="Y1428">
        <v>1</v>
      </c>
      <c r="Z1428">
        <v>13.233432000000001</v>
      </c>
    </row>
    <row r="1429" spans="1:26" x14ac:dyDescent="0.25">
      <c r="A1429">
        <v>41361</v>
      </c>
      <c r="B1429" t="s">
        <v>115</v>
      </c>
      <c r="C1429">
        <v>2018</v>
      </c>
      <c r="D1429">
        <v>1</v>
      </c>
      <c r="E1429" t="s">
        <v>415</v>
      </c>
      <c r="F1429" t="s">
        <v>434</v>
      </c>
      <c r="G1429" t="s">
        <v>435</v>
      </c>
      <c r="H1429" t="s">
        <v>84</v>
      </c>
      <c r="I1429" t="s">
        <v>438</v>
      </c>
      <c r="J1429" t="s">
        <v>59</v>
      </c>
      <c r="K1429">
        <v>-4295.5714264099997</v>
      </c>
      <c r="L1429" t="s">
        <v>89</v>
      </c>
      <c r="M1429" t="s">
        <v>425</v>
      </c>
      <c r="N1429">
        <v>2.5360775708E-3</v>
      </c>
      <c r="O1429">
        <v>10.893902000000001</v>
      </c>
      <c r="P1429" t="s">
        <v>421</v>
      </c>
      <c r="Q1429">
        <v>1</v>
      </c>
      <c r="V1429">
        <v>1</v>
      </c>
      <c r="W1429">
        <v>1</v>
      </c>
      <c r="X1429">
        <v>1</v>
      </c>
      <c r="Y1429">
        <v>1</v>
      </c>
      <c r="Z1429">
        <v>10.893902000000001</v>
      </c>
    </row>
    <row r="1430" spans="1:26" x14ac:dyDescent="0.25">
      <c r="A1430">
        <v>95557</v>
      </c>
      <c r="B1430" t="s">
        <v>155</v>
      </c>
      <c r="C1430">
        <v>2019</v>
      </c>
      <c r="D1430">
        <v>1</v>
      </c>
      <c r="E1430" t="s">
        <v>415</v>
      </c>
      <c r="F1430" t="s">
        <v>416</v>
      </c>
      <c r="G1430" t="s">
        <v>417</v>
      </c>
      <c r="H1430" t="s">
        <v>84</v>
      </c>
      <c r="I1430" t="s">
        <v>418</v>
      </c>
      <c r="J1430" t="s">
        <v>419</v>
      </c>
      <c r="K1430">
        <v>-26580.1995054</v>
      </c>
      <c r="L1430" t="s">
        <v>85</v>
      </c>
      <c r="M1430" t="s">
        <v>420</v>
      </c>
      <c r="N1430">
        <v>0.24824931095561001</v>
      </c>
      <c r="O1430">
        <v>6598.5162120000005</v>
      </c>
      <c r="P1430" t="s">
        <v>421</v>
      </c>
      <c r="Q1430">
        <v>1</v>
      </c>
      <c r="V1430">
        <v>1</v>
      </c>
      <c r="W1430">
        <v>1</v>
      </c>
      <c r="X1430">
        <v>1</v>
      </c>
      <c r="Y1430">
        <v>1</v>
      </c>
      <c r="Z1430">
        <v>6598.5162120000005</v>
      </c>
    </row>
    <row r="1431" spans="1:26" x14ac:dyDescent="0.25">
      <c r="A1431">
        <v>95558</v>
      </c>
      <c r="B1431" t="s">
        <v>155</v>
      </c>
      <c r="C1431">
        <v>2019</v>
      </c>
      <c r="D1431">
        <v>1</v>
      </c>
      <c r="E1431" t="s">
        <v>415</v>
      </c>
      <c r="F1431" t="s">
        <v>416</v>
      </c>
      <c r="G1431" t="s">
        <v>417</v>
      </c>
      <c r="H1431" t="s">
        <v>84</v>
      </c>
      <c r="I1431" t="s">
        <v>418</v>
      </c>
      <c r="J1431" t="s">
        <v>419</v>
      </c>
      <c r="K1431">
        <v>-26580.1995054</v>
      </c>
      <c r="L1431" t="s">
        <v>85</v>
      </c>
      <c r="M1431" t="s">
        <v>422</v>
      </c>
      <c r="N1431">
        <v>7.7540047892240005E-2</v>
      </c>
      <c r="O1431">
        <v>2061.029943</v>
      </c>
      <c r="P1431" t="s">
        <v>421</v>
      </c>
      <c r="Q1431">
        <v>1</v>
      </c>
      <c r="V1431">
        <v>1</v>
      </c>
      <c r="W1431">
        <v>1</v>
      </c>
      <c r="X1431">
        <v>1</v>
      </c>
      <c r="Y1431">
        <v>1</v>
      </c>
      <c r="Z1431">
        <v>2061.029943</v>
      </c>
    </row>
    <row r="1432" spans="1:26" x14ac:dyDescent="0.25">
      <c r="A1432">
        <v>95559</v>
      </c>
      <c r="B1432" t="s">
        <v>155</v>
      </c>
      <c r="C1432">
        <v>2019</v>
      </c>
      <c r="D1432">
        <v>1</v>
      </c>
      <c r="E1432" t="s">
        <v>415</v>
      </c>
      <c r="F1432" t="s">
        <v>416</v>
      </c>
      <c r="G1432" t="s">
        <v>417</v>
      </c>
      <c r="H1432" t="s">
        <v>84</v>
      </c>
      <c r="I1432" t="s">
        <v>418</v>
      </c>
      <c r="J1432" t="s">
        <v>419</v>
      </c>
      <c r="K1432">
        <v>-26580.1995054</v>
      </c>
      <c r="L1432" t="s">
        <v>85</v>
      </c>
      <c r="M1432" t="s">
        <v>423</v>
      </c>
      <c r="N1432">
        <v>0.73979703899049998</v>
      </c>
      <c r="O1432">
        <v>19663.95289</v>
      </c>
      <c r="P1432" t="s">
        <v>421</v>
      </c>
      <c r="Q1432">
        <v>1</v>
      </c>
      <c r="V1432">
        <v>1</v>
      </c>
      <c r="W1432">
        <v>1</v>
      </c>
      <c r="X1432">
        <v>1</v>
      </c>
      <c r="Y1432">
        <v>1</v>
      </c>
      <c r="Z1432">
        <v>19663.95289</v>
      </c>
    </row>
    <row r="1433" spans="1:26" x14ac:dyDescent="0.25">
      <c r="A1433">
        <v>95560</v>
      </c>
      <c r="B1433" t="s">
        <v>155</v>
      </c>
      <c r="C1433">
        <v>2019</v>
      </c>
      <c r="D1433">
        <v>1</v>
      </c>
      <c r="E1433" t="s">
        <v>415</v>
      </c>
      <c r="F1433" t="s">
        <v>416</v>
      </c>
      <c r="G1433" t="s">
        <v>417</v>
      </c>
      <c r="H1433" t="s">
        <v>84</v>
      </c>
      <c r="I1433" t="s">
        <v>418</v>
      </c>
      <c r="J1433" t="s">
        <v>419</v>
      </c>
      <c r="K1433">
        <v>-26580.1995054</v>
      </c>
      <c r="L1433" t="s">
        <v>85</v>
      </c>
      <c r="M1433" t="s">
        <v>424</v>
      </c>
      <c r="N1433">
        <v>2.9085775596699999E-3</v>
      </c>
      <c r="O1433">
        <v>77.310571999999993</v>
      </c>
      <c r="P1433" t="s">
        <v>421</v>
      </c>
      <c r="Q1433">
        <v>1</v>
      </c>
      <c r="V1433">
        <v>1</v>
      </c>
      <c r="W1433">
        <v>1</v>
      </c>
      <c r="X1433">
        <v>1</v>
      </c>
      <c r="Y1433">
        <v>1</v>
      </c>
      <c r="Z1433">
        <v>77.310571999999993</v>
      </c>
    </row>
    <row r="1434" spans="1:26" x14ac:dyDescent="0.25">
      <c r="A1434">
        <v>95561</v>
      </c>
      <c r="B1434" t="s">
        <v>155</v>
      </c>
      <c r="C1434">
        <v>2019</v>
      </c>
      <c r="D1434">
        <v>1</v>
      </c>
      <c r="E1434" t="s">
        <v>415</v>
      </c>
      <c r="F1434" t="s">
        <v>416</v>
      </c>
      <c r="G1434" t="s">
        <v>417</v>
      </c>
      <c r="H1434" t="s">
        <v>84</v>
      </c>
      <c r="I1434" t="s">
        <v>418</v>
      </c>
      <c r="J1434" t="s">
        <v>419</v>
      </c>
      <c r="K1434">
        <v>-26580.1995054</v>
      </c>
      <c r="L1434" t="s">
        <v>85</v>
      </c>
      <c r="M1434" t="s">
        <v>425</v>
      </c>
      <c r="N1434">
        <v>2.6170694898000001E-3</v>
      </c>
      <c r="O1434">
        <v>69.562229000000002</v>
      </c>
      <c r="P1434" t="s">
        <v>421</v>
      </c>
      <c r="Q1434">
        <v>1</v>
      </c>
      <c r="V1434">
        <v>1</v>
      </c>
      <c r="W1434">
        <v>1</v>
      </c>
      <c r="X1434">
        <v>1</v>
      </c>
      <c r="Y1434">
        <v>1</v>
      </c>
      <c r="Z1434">
        <v>69.562229000000002</v>
      </c>
    </row>
    <row r="1435" spans="1:26" x14ac:dyDescent="0.25">
      <c r="A1435">
        <v>95562</v>
      </c>
      <c r="B1435" t="s">
        <v>155</v>
      </c>
      <c r="C1435">
        <v>2019</v>
      </c>
      <c r="D1435">
        <v>1</v>
      </c>
      <c r="E1435" t="s">
        <v>415</v>
      </c>
      <c r="F1435" t="s">
        <v>416</v>
      </c>
      <c r="G1435" t="s">
        <v>417</v>
      </c>
      <c r="H1435" t="s">
        <v>84</v>
      </c>
      <c r="I1435" t="s">
        <v>426</v>
      </c>
      <c r="J1435" t="s">
        <v>87</v>
      </c>
      <c r="K1435">
        <v>-9467.6326296000007</v>
      </c>
      <c r="L1435" t="s">
        <v>427</v>
      </c>
      <c r="M1435" t="s">
        <v>420</v>
      </c>
      <c r="N1435">
        <v>0.45523813654234002</v>
      </c>
      <c r="O1435">
        <v>4310.0274360000003</v>
      </c>
      <c r="P1435" t="s">
        <v>421</v>
      </c>
      <c r="Q1435">
        <v>1</v>
      </c>
      <c r="V1435">
        <v>1</v>
      </c>
      <c r="W1435">
        <v>1</v>
      </c>
      <c r="X1435">
        <v>1</v>
      </c>
      <c r="Y1435">
        <v>1</v>
      </c>
      <c r="Z1435">
        <v>4310.0274360000003</v>
      </c>
    </row>
    <row r="1436" spans="1:26" x14ac:dyDescent="0.25">
      <c r="A1436">
        <v>95563</v>
      </c>
      <c r="B1436" t="s">
        <v>155</v>
      </c>
      <c r="C1436">
        <v>2019</v>
      </c>
      <c r="D1436">
        <v>1</v>
      </c>
      <c r="E1436" t="s">
        <v>415</v>
      </c>
      <c r="F1436" t="s">
        <v>416</v>
      </c>
      <c r="G1436" t="s">
        <v>417</v>
      </c>
      <c r="H1436" t="s">
        <v>84</v>
      </c>
      <c r="I1436" t="s">
        <v>426</v>
      </c>
      <c r="J1436" t="s">
        <v>87</v>
      </c>
      <c r="K1436">
        <v>-9467.6326296000007</v>
      </c>
      <c r="L1436" t="s">
        <v>427</v>
      </c>
      <c r="M1436" t="s">
        <v>422</v>
      </c>
      <c r="N1436">
        <v>6.8896616392329996E-2</v>
      </c>
      <c r="O1436">
        <v>652.28785300000004</v>
      </c>
      <c r="P1436" t="s">
        <v>421</v>
      </c>
      <c r="Q1436">
        <v>1</v>
      </c>
      <c r="V1436">
        <v>1</v>
      </c>
      <c r="W1436">
        <v>1</v>
      </c>
      <c r="X1436">
        <v>1</v>
      </c>
      <c r="Y1436">
        <v>1</v>
      </c>
      <c r="Z1436">
        <v>652.28785300000004</v>
      </c>
    </row>
    <row r="1437" spans="1:26" x14ac:dyDescent="0.25">
      <c r="A1437">
        <v>95564</v>
      </c>
      <c r="B1437" t="s">
        <v>155</v>
      </c>
      <c r="C1437">
        <v>2019</v>
      </c>
      <c r="D1437">
        <v>1</v>
      </c>
      <c r="E1437" t="s">
        <v>415</v>
      </c>
      <c r="F1437" t="s">
        <v>416</v>
      </c>
      <c r="G1437" t="s">
        <v>417</v>
      </c>
      <c r="H1437" t="s">
        <v>84</v>
      </c>
      <c r="I1437" t="s">
        <v>426</v>
      </c>
      <c r="J1437" t="s">
        <v>87</v>
      </c>
      <c r="K1437">
        <v>-9467.6326296000007</v>
      </c>
      <c r="L1437" t="s">
        <v>427</v>
      </c>
      <c r="M1437" t="s">
        <v>423</v>
      </c>
      <c r="N1437">
        <v>0.70986919705586005</v>
      </c>
      <c r="O1437">
        <v>6720.7807730000004</v>
      </c>
      <c r="P1437" t="s">
        <v>421</v>
      </c>
      <c r="Q1437">
        <v>1</v>
      </c>
      <c r="V1437">
        <v>1</v>
      </c>
      <c r="W1437">
        <v>1</v>
      </c>
      <c r="X1437">
        <v>1</v>
      </c>
      <c r="Y1437">
        <v>1</v>
      </c>
      <c r="Z1437">
        <v>6720.7807730000004</v>
      </c>
    </row>
    <row r="1438" spans="1:26" x14ac:dyDescent="0.25">
      <c r="A1438">
        <v>95565</v>
      </c>
      <c r="B1438" t="s">
        <v>155</v>
      </c>
      <c r="C1438">
        <v>2019</v>
      </c>
      <c r="D1438">
        <v>1</v>
      </c>
      <c r="E1438" t="s">
        <v>415</v>
      </c>
      <c r="F1438" t="s">
        <v>416</v>
      </c>
      <c r="G1438" t="s">
        <v>417</v>
      </c>
      <c r="H1438" t="s">
        <v>84</v>
      </c>
      <c r="I1438" t="s">
        <v>426</v>
      </c>
      <c r="J1438" t="s">
        <v>87</v>
      </c>
      <c r="K1438">
        <v>-9467.6326296000007</v>
      </c>
      <c r="L1438" t="s">
        <v>427</v>
      </c>
      <c r="M1438" t="s">
        <v>425</v>
      </c>
      <c r="N1438">
        <v>1.4965642882E-3</v>
      </c>
      <c r="O1438">
        <v>14.168920999999999</v>
      </c>
      <c r="P1438" t="s">
        <v>421</v>
      </c>
      <c r="Q1438">
        <v>1</v>
      </c>
      <c r="V1438">
        <v>1</v>
      </c>
      <c r="W1438">
        <v>1</v>
      </c>
      <c r="X1438">
        <v>1</v>
      </c>
      <c r="Y1438">
        <v>1</v>
      </c>
      <c r="Z1438">
        <v>14.168920999999999</v>
      </c>
    </row>
    <row r="1439" spans="1:26" x14ac:dyDescent="0.25">
      <c r="A1439">
        <v>95566</v>
      </c>
      <c r="B1439" t="s">
        <v>155</v>
      </c>
      <c r="C1439">
        <v>2019</v>
      </c>
      <c r="D1439">
        <v>1</v>
      </c>
      <c r="E1439" t="s">
        <v>415</v>
      </c>
      <c r="F1439" t="s">
        <v>416</v>
      </c>
      <c r="G1439" t="s">
        <v>417</v>
      </c>
      <c r="H1439" t="s">
        <v>84</v>
      </c>
      <c r="I1439" t="s">
        <v>428</v>
      </c>
      <c r="J1439" t="s">
        <v>59</v>
      </c>
      <c r="K1439">
        <v>-8302.1161137500003</v>
      </c>
      <c r="L1439" t="s">
        <v>89</v>
      </c>
      <c r="M1439" t="s">
        <v>420</v>
      </c>
      <c r="N1439">
        <v>0.26343870574139999</v>
      </c>
      <c r="O1439">
        <v>2187.0987239999999</v>
      </c>
      <c r="P1439" t="s">
        <v>421</v>
      </c>
      <c r="Q1439">
        <v>1</v>
      </c>
      <c r="V1439">
        <v>1</v>
      </c>
      <c r="W1439">
        <v>1</v>
      </c>
      <c r="X1439">
        <v>1</v>
      </c>
      <c r="Y1439">
        <v>1</v>
      </c>
      <c r="Z1439">
        <v>2187.0987239999999</v>
      </c>
    </row>
    <row r="1440" spans="1:26" x14ac:dyDescent="0.25">
      <c r="A1440">
        <v>95567</v>
      </c>
      <c r="B1440" t="s">
        <v>155</v>
      </c>
      <c r="C1440">
        <v>2019</v>
      </c>
      <c r="D1440">
        <v>1</v>
      </c>
      <c r="E1440" t="s">
        <v>415</v>
      </c>
      <c r="F1440" t="s">
        <v>416</v>
      </c>
      <c r="G1440" t="s">
        <v>417</v>
      </c>
      <c r="H1440" t="s">
        <v>84</v>
      </c>
      <c r="I1440" t="s">
        <v>428</v>
      </c>
      <c r="J1440" t="s">
        <v>59</v>
      </c>
      <c r="K1440">
        <v>-8302.1161137500003</v>
      </c>
      <c r="L1440" t="s">
        <v>89</v>
      </c>
      <c r="M1440" t="s">
        <v>422</v>
      </c>
      <c r="N1440">
        <v>7.1262429683470005E-2</v>
      </c>
      <c r="O1440">
        <v>591.62896599999999</v>
      </c>
      <c r="P1440" t="s">
        <v>421</v>
      </c>
      <c r="Q1440">
        <v>1</v>
      </c>
      <c r="V1440">
        <v>1</v>
      </c>
      <c r="W1440">
        <v>1</v>
      </c>
      <c r="X1440">
        <v>1</v>
      </c>
      <c r="Y1440">
        <v>1</v>
      </c>
      <c r="Z1440">
        <v>591.62896599999999</v>
      </c>
    </row>
    <row r="1441" spans="1:26" x14ac:dyDescent="0.25">
      <c r="A1441">
        <v>95568</v>
      </c>
      <c r="B1441" t="s">
        <v>155</v>
      </c>
      <c r="C1441">
        <v>2019</v>
      </c>
      <c r="D1441">
        <v>1</v>
      </c>
      <c r="E1441" t="s">
        <v>415</v>
      </c>
      <c r="F1441" t="s">
        <v>416</v>
      </c>
      <c r="G1441" t="s">
        <v>417</v>
      </c>
      <c r="H1441" t="s">
        <v>84</v>
      </c>
      <c r="I1441" t="s">
        <v>428</v>
      </c>
      <c r="J1441" t="s">
        <v>59</v>
      </c>
      <c r="K1441">
        <v>-8302.1161137500003</v>
      </c>
      <c r="L1441" t="s">
        <v>89</v>
      </c>
      <c r="M1441" t="s">
        <v>423</v>
      </c>
      <c r="N1441">
        <v>0.74738783869542003</v>
      </c>
      <c r="O1441">
        <v>6204.900619</v>
      </c>
      <c r="P1441" t="s">
        <v>421</v>
      </c>
      <c r="Q1441">
        <v>1</v>
      </c>
      <c r="V1441">
        <v>1</v>
      </c>
      <c r="W1441">
        <v>1</v>
      </c>
      <c r="X1441">
        <v>1</v>
      </c>
      <c r="Y1441">
        <v>1</v>
      </c>
      <c r="Z1441">
        <v>6204.900619</v>
      </c>
    </row>
    <row r="1442" spans="1:26" x14ac:dyDescent="0.25">
      <c r="A1442">
        <v>95569</v>
      </c>
      <c r="B1442" t="s">
        <v>155</v>
      </c>
      <c r="C1442">
        <v>2019</v>
      </c>
      <c r="D1442">
        <v>1</v>
      </c>
      <c r="E1442" t="s">
        <v>415</v>
      </c>
      <c r="F1442" t="s">
        <v>416</v>
      </c>
      <c r="G1442" t="s">
        <v>417</v>
      </c>
      <c r="H1442" t="s">
        <v>84</v>
      </c>
      <c r="I1442" t="s">
        <v>428</v>
      </c>
      <c r="J1442" t="s">
        <v>59</v>
      </c>
      <c r="K1442">
        <v>-8302.1161137500003</v>
      </c>
      <c r="L1442" t="s">
        <v>89</v>
      </c>
      <c r="M1442" t="s">
        <v>424</v>
      </c>
      <c r="N1442">
        <v>3.08071516317E-3</v>
      </c>
      <c r="O1442">
        <v>25.576454999999999</v>
      </c>
      <c r="P1442" t="s">
        <v>421</v>
      </c>
      <c r="Q1442">
        <v>1</v>
      </c>
      <c r="V1442">
        <v>1</v>
      </c>
      <c r="W1442">
        <v>1</v>
      </c>
      <c r="X1442">
        <v>1</v>
      </c>
      <c r="Y1442">
        <v>1</v>
      </c>
      <c r="Z1442">
        <v>25.576454999999999</v>
      </c>
    </row>
    <row r="1443" spans="1:26" x14ac:dyDescent="0.25">
      <c r="A1443">
        <v>95570</v>
      </c>
      <c r="B1443" t="s">
        <v>155</v>
      </c>
      <c r="C1443">
        <v>2019</v>
      </c>
      <c r="D1443">
        <v>1</v>
      </c>
      <c r="E1443" t="s">
        <v>415</v>
      </c>
      <c r="F1443" t="s">
        <v>416</v>
      </c>
      <c r="G1443" t="s">
        <v>417</v>
      </c>
      <c r="H1443" t="s">
        <v>84</v>
      </c>
      <c r="I1443" t="s">
        <v>428</v>
      </c>
      <c r="J1443" t="s">
        <v>59</v>
      </c>
      <c r="K1443">
        <v>-8302.1161137500003</v>
      </c>
      <c r="L1443" t="s">
        <v>89</v>
      </c>
      <c r="M1443" t="s">
        <v>425</v>
      </c>
      <c r="N1443">
        <v>2.5360775708E-3</v>
      </c>
      <c r="O1443">
        <v>21.05481</v>
      </c>
      <c r="P1443" t="s">
        <v>421</v>
      </c>
      <c r="Q1443">
        <v>1</v>
      </c>
      <c r="V1443">
        <v>1</v>
      </c>
      <c r="W1443">
        <v>1</v>
      </c>
      <c r="X1443">
        <v>1</v>
      </c>
      <c r="Y1443">
        <v>1</v>
      </c>
      <c r="Z1443">
        <v>21.05481</v>
      </c>
    </row>
    <row r="1444" spans="1:26" x14ac:dyDescent="0.25">
      <c r="A1444">
        <v>95571</v>
      </c>
      <c r="B1444" t="s">
        <v>155</v>
      </c>
      <c r="C1444">
        <v>2019</v>
      </c>
      <c r="D1444">
        <v>1</v>
      </c>
      <c r="E1444" t="s">
        <v>415</v>
      </c>
      <c r="F1444" t="s">
        <v>429</v>
      </c>
      <c r="G1444" t="s">
        <v>430</v>
      </c>
      <c r="H1444" t="s">
        <v>84</v>
      </c>
      <c r="I1444" t="s">
        <v>431</v>
      </c>
      <c r="J1444" t="s">
        <v>419</v>
      </c>
      <c r="K1444">
        <v>-41698.937198450003</v>
      </c>
      <c r="L1444" t="s">
        <v>85</v>
      </c>
      <c r="M1444" t="s">
        <v>420</v>
      </c>
      <c r="N1444">
        <v>0.24824931095561001</v>
      </c>
      <c r="O1444">
        <v>10351.732427000001</v>
      </c>
      <c r="P1444" t="s">
        <v>421</v>
      </c>
      <c r="Q1444">
        <v>1</v>
      </c>
      <c r="V1444">
        <v>1</v>
      </c>
      <c r="W1444">
        <v>1</v>
      </c>
      <c r="X1444">
        <v>1</v>
      </c>
      <c r="Y1444">
        <v>1</v>
      </c>
      <c r="Z1444">
        <v>10351.732427000001</v>
      </c>
    </row>
    <row r="1445" spans="1:26" x14ac:dyDescent="0.25">
      <c r="A1445">
        <v>95572</v>
      </c>
      <c r="B1445" t="s">
        <v>155</v>
      </c>
      <c r="C1445">
        <v>2019</v>
      </c>
      <c r="D1445">
        <v>1</v>
      </c>
      <c r="E1445" t="s">
        <v>415</v>
      </c>
      <c r="F1445" t="s">
        <v>429</v>
      </c>
      <c r="G1445" t="s">
        <v>430</v>
      </c>
      <c r="H1445" t="s">
        <v>84</v>
      </c>
      <c r="I1445" t="s">
        <v>431</v>
      </c>
      <c r="J1445" t="s">
        <v>419</v>
      </c>
      <c r="K1445">
        <v>-41698.937198450003</v>
      </c>
      <c r="L1445" t="s">
        <v>85</v>
      </c>
      <c r="M1445" t="s">
        <v>422</v>
      </c>
      <c r="N1445">
        <v>7.7540047892240005E-2</v>
      </c>
      <c r="O1445">
        <v>3233.337587</v>
      </c>
      <c r="P1445" t="s">
        <v>421</v>
      </c>
      <c r="Q1445">
        <v>1</v>
      </c>
      <c r="V1445">
        <v>1</v>
      </c>
      <c r="W1445">
        <v>1</v>
      </c>
      <c r="X1445">
        <v>1</v>
      </c>
      <c r="Y1445">
        <v>1</v>
      </c>
      <c r="Z1445">
        <v>3233.337587</v>
      </c>
    </row>
    <row r="1446" spans="1:26" x14ac:dyDescent="0.25">
      <c r="A1446">
        <v>95573</v>
      </c>
      <c r="B1446" t="s">
        <v>155</v>
      </c>
      <c r="C1446">
        <v>2019</v>
      </c>
      <c r="D1446">
        <v>1</v>
      </c>
      <c r="E1446" t="s">
        <v>415</v>
      </c>
      <c r="F1446" t="s">
        <v>429</v>
      </c>
      <c r="G1446" t="s">
        <v>430</v>
      </c>
      <c r="H1446" t="s">
        <v>84</v>
      </c>
      <c r="I1446" t="s">
        <v>431</v>
      </c>
      <c r="J1446" t="s">
        <v>419</v>
      </c>
      <c r="K1446">
        <v>-41698.937198450003</v>
      </c>
      <c r="L1446" t="s">
        <v>85</v>
      </c>
      <c r="M1446" t="s">
        <v>423</v>
      </c>
      <c r="N1446">
        <v>0.73979703899049998</v>
      </c>
      <c r="O1446">
        <v>30848.750268</v>
      </c>
      <c r="P1446" t="s">
        <v>421</v>
      </c>
      <c r="Q1446">
        <v>1</v>
      </c>
      <c r="V1446">
        <v>1</v>
      </c>
      <c r="W1446">
        <v>1</v>
      </c>
      <c r="X1446">
        <v>1</v>
      </c>
      <c r="Y1446">
        <v>1</v>
      </c>
      <c r="Z1446">
        <v>30848.750268</v>
      </c>
    </row>
    <row r="1447" spans="1:26" x14ac:dyDescent="0.25">
      <c r="A1447">
        <v>95574</v>
      </c>
      <c r="B1447" t="s">
        <v>155</v>
      </c>
      <c r="C1447">
        <v>2019</v>
      </c>
      <c r="D1447">
        <v>1</v>
      </c>
      <c r="E1447" t="s">
        <v>415</v>
      </c>
      <c r="F1447" t="s">
        <v>429</v>
      </c>
      <c r="G1447" t="s">
        <v>430</v>
      </c>
      <c r="H1447" t="s">
        <v>84</v>
      </c>
      <c r="I1447" t="s">
        <v>431</v>
      </c>
      <c r="J1447" t="s">
        <v>419</v>
      </c>
      <c r="K1447">
        <v>-41698.937198450003</v>
      </c>
      <c r="L1447" t="s">
        <v>85</v>
      </c>
      <c r="M1447" t="s">
        <v>424</v>
      </c>
      <c r="N1447">
        <v>2.9085775596699999E-3</v>
      </c>
      <c r="O1447">
        <v>121.284593</v>
      </c>
      <c r="P1447" t="s">
        <v>421</v>
      </c>
      <c r="Q1447">
        <v>1</v>
      </c>
      <c r="V1447">
        <v>1</v>
      </c>
      <c r="W1447">
        <v>1</v>
      </c>
      <c r="X1447">
        <v>1</v>
      </c>
      <c r="Y1447">
        <v>1</v>
      </c>
      <c r="Z1447">
        <v>121.284593</v>
      </c>
    </row>
    <row r="1448" spans="1:26" x14ac:dyDescent="0.25">
      <c r="A1448">
        <v>95575</v>
      </c>
      <c r="B1448" t="s">
        <v>155</v>
      </c>
      <c r="C1448">
        <v>2019</v>
      </c>
      <c r="D1448">
        <v>1</v>
      </c>
      <c r="E1448" t="s">
        <v>415</v>
      </c>
      <c r="F1448" t="s">
        <v>429</v>
      </c>
      <c r="G1448" t="s">
        <v>430</v>
      </c>
      <c r="H1448" t="s">
        <v>84</v>
      </c>
      <c r="I1448" t="s">
        <v>431</v>
      </c>
      <c r="J1448" t="s">
        <v>419</v>
      </c>
      <c r="K1448">
        <v>-41698.937198450003</v>
      </c>
      <c r="L1448" t="s">
        <v>85</v>
      </c>
      <c r="M1448" t="s">
        <v>425</v>
      </c>
      <c r="N1448">
        <v>2.6170694898000001E-3</v>
      </c>
      <c r="O1448">
        <v>109.12901599999999</v>
      </c>
      <c r="P1448" t="s">
        <v>421</v>
      </c>
      <c r="Q1448">
        <v>1</v>
      </c>
      <c r="V1448">
        <v>1</v>
      </c>
      <c r="W1448">
        <v>1</v>
      </c>
      <c r="X1448">
        <v>1</v>
      </c>
      <c r="Y1448">
        <v>1</v>
      </c>
      <c r="Z1448">
        <v>109.12901599999999</v>
      </c>
    </row>
    <row r="1449" spans="1:26" x14ac:dyDescent="0.25">
      <c r="A1449">
        <v>95576</v>
      </c>
      <c r="B1449" t="s">
        <v>155</v>
      </c>
      <c r="C1449">
        <v>2019</v>
      </c>
      <c r="D1449">
        <v>1</v>
      </c>
      <c r="E1449" t="s">
        <v>415</v>
      </c>
      <c r="F1449" t="s">
        <v>429</v>
      </c>
      <c r="G1449" t="s">
        <v>430</v>
      </c>
      <c r="H1449" t="s">
        <v>84</v>
      </c>
      <c r="I1449" t="s">
        <v>432</v>
      </c>
      <c r="J1449" t="s">
        <v>87</v>
      </c>
      <c r="K1449">
        <v>-17281.930431789999</v>
      </c>
      <c r="L1449" t="s">
        <v>427</v>
      </c>
      <c r="M1449" t="s">
        <v>420</v>
      </c>
      <c r="N1449">
        <v>0.45523813654234002</v>
      </c>
      <c r="O1449">
        <v>7867.393806</v>
      </c>
      <c r="P1449" t="s">
        <v>421</v>
      </c>
      <c r="Q1449">
        <v>1</v>
      </c>
      <c r="V1449">
        <v>1</v>
      </c>
      <c r="W1449">
        <v>1</v>
      </c>
      <c r="X1449">
        <v>1</v>
      </c>
      <c r="Y1449">
        <v>1</v>
      </c>
      <c r="Z1449">
        <v>7867.393806</v>
      </c>
    </row>
    <row r="1450" spans="1:26" x14ac:dyDescent="0.25">
      <c r="A1450">
        <v>95577</v>
      </c>
      <c r="B1450" t="s">
        <v>155</v>
      </c>
      <c r="C1450">
        <v>2019</v>
      </c>
      <c r="D1450">
        <v>1</v>
      </c>
      <c r="E1450" t="s">
        <v>415</v>
      </c>
      <c r="F1450" t="s">
        <v>429</v>
      </c>
      <c r="G1450" t="s">
        <v>430</v>
      </c>
      <c r="H1450" t="s">
        <v>84</v>
      </c>
      <c r="I1450" t="s">
        <v>432</v>
      </c>
      <c r="J1450" t="s">
        <v>87</v>
      </c>
      <c r="K1450">
        <v>-17281.930431789999</v>
      </c>
      <c r="L1450" t="s">
        <v>427</v>
      </c>
      <c r="M1450" t="s">
        <v>422</v>
      </c>
      <c r="N1450">
        <v>6.8896616392329996E-2</v>
      </c>
      <c r="O1450">
        <v>1190.6665310000001</v>
      </c>
      <c r="P1450" t="s">
        <v>421</v>
      </c>
      <c r="Q1450">
        <v>1</v>
      </c>
      <c r="V1450">
        <v>1</v>
      </c>
      <c r="W1450">
        <v>1</v>
      </c>
      <c r="X1450">
        <v>1</v>
      </c>
      <c r="Y1450">
        <v>1</v>
      </c>
      <c r="Z1450">
        <v>1190.6665310000001</v>
      </c>
    </row>
    <row r="1451" spans="1:26" x14ac:dyDescent="0.25">
      <c r="A1451">
        <v>95578</v>
      </c>
      <c r="B1451" t="s">
        <v>155</v>
      </c>
      <c r="C1451">
        <v>2019</v>
      </c>
      <c r="D1451">
        <v>1</v>
      </c>
      <c r="E1451" t="s">
        <v>415</v>
      </c>
      <c r="F1451" t="s">
        <v>429</v>
      </c>
      <c r="G1451" t="s">
        <v>430</v>
      </c>
      <c r="H1451" t="s">
        <v>84</v>
      </c>
      <c r="I1451" t="s">
        <v>432</v>
      </c>
      <c r="J1451" t="s">
        <v>87</v>
      </c>
      <c r="K1451">
        <v>-17281.930431789999</v>
      </c>
      <c r="L1451" t="s">
        <v>427</v>
      </c>
      <c r="M1451" t="s">
        <v>423</v>
      </c>
      <c r="N1451">
        <v>0.70986919705586005</v>
      </c>
      <c r="O1451">
        <v>12267.910078999999</v>
      </c>
      <c r="P1451" t="s">
        <v>421</v>
      </c>
      <c r="Q1451">
        <v>1</v>
      </c>
      <c r="V1451">
        <v>1</v>
      </c>
      <c r="W1451">
        <v>1</v>
      </c>
      <c r="X1451">
        <v>1</v>
      </c>
      <c r="Y1451">
        <v>1</v>
      </c>
      <c r="Z1451">
        <v>12267.910078999999</v>
      </c>
    </row>
    <row r="1452" spans="1:26" x14ac:dyDescent="0.25">
      <c r="A1452">
        <v>95579</v>
      </c>
      <c r="B1452" t="s">
        <v>155</v>
      </c>
      <c r="C1452">
        <v>2019</v>
      </c>
      <c r="D1452">
        <v>1</v>
      </c>
      <c r="E1452" t="s">
        <v>415</v>
      </c>
      <c r="F1452" t="s">
        <v>429</v>
      </c>
      <c r="G1452" t="s">
        <v>430</v>
      </c>
      <c r="H1452" t="s">
        <v>84</v>
      </c>
      <c r="I1452" t="s">
        <v>432</v>
      </c>
      <c r="J1452" t="s">
        <v>87</v>
      </c>
      <c r="K1452">
        <v>-17281.930431789999</v>
      </c>
      <c r="L1452" t="s">
        <v>427</v>
      </c>
      <c r="M1452" t="s">
        <v>425</v>
      </c>
      <c r="N1452">
        <v>1.4965642882E-3</v>
      </c>
      <c r="O1452">
        <v>25.863520000000001</v>
      </c>
      <c r="P1452" t="s">
        <v>421</v>
      </c>
      <c r="Q1452">
        <v>1</v>
      </c>
      <c r="V1452">
        <v>1</v>
      </c>
      <c r="W1452">
        <v>1</v>
      </c>
      <c r="X1452">
        <v>1</v>
      </c>
      <c r="Y1452">
        <v>1</v>
      </c>
      <c r="Z1452">
        <v>25.863520000000001</v>
      </c>
    </row>
    <row r="1453" spans="1:26" x14ac:dyDescent="0.25">
      <c r="A1453">
        <v>95580</v>
      </c>
      <c r="B1453" t="s">
        <v>155</v>
      </c>
      <c r="C1453">
        <v>2019</v>
      </c>
      <c r="D1453">
        <v>1</v>
      </c>
      <c r="E1453" t="s">
        <v>415</v>
      </c>
      <c r="F1453" t="s">
        <v>429</v>
      </c>
      <c r="G1453" t="s">
        <v>430</v>
      </c>
      <c r="H1453" t="s">
        <v>84</v>
      </c>
      <c r="I1453" t="s">
        <v>433</v>
      </c>
      <c r="J1453" t="s">
        <v>59</v>
      </c>
      <c r="K1453">
        <v>-11037.865301919999</v>
      </c>
      <c r="L1453" t="s">
        <v>89</v>
      </c>
      <c r="M1453" t="s">
        <v>420</v>
      </c>
      <c r="N1453">
        <v>0.26343870574139999</v>
      </c>
      <c r="O1453">
        <v>2907.8009489999999</v>
      </c>
      <c r="P1453" t="s">
        <v>421</v>
      </c>
      <c r="Q1453">
        <v>1</v>
      </c>
      <c r="V1453">
        <v>1</v>
      </c>
      <c r="W1453">
        <v>1</v>
      </c>
      <c r="X1453">
        <v>1</v>
      </c>
      <c r="Y1453">
        <v>1</v>
      </c>
      <c r="Z1453">
        <v>2907.8009489999999</v>
      </c>
    </row>
    <row r="1454" spans="1:26" x14ac:dyDescent="0.25">
      <c r="A1454">
        <v>95581</v>
      </c>
      <c r="B1454" t="s">
        <v>155</v>
      </c>
      <c r="C1454">
        <v>2019</v>
      </c>
      <c r="D1454">
        <v>1</v>
      </c>
      <c r="E1454" t="s">
        <v>415</v>
      </c>
      <c r="F1454" t="s">
        <v>429</v>
      </c>
      <c r="G1454" t="s">
        <v>430</v>
      </c>
      <c r="H1454" t="s">
        <v>84</v>
      </c>
      <c r="I1454" t="s">
        <v>433</v>
      </c>
      <c r="J1454" t="s">
        <v>59</v>
      </c>
      <c r="K1454">
        <v>-11037.865301919999</v>
      </c>
      <c r="L1454" t="s">
        <v>89</v>
      </c>
      <c r="M1454" t="s">
        <v>422</v>
      </c>
      <c r="N1454">
        <v>7.1262429683470005E-2</v>
      </c>
      <c r="O1454">
        <v>786.58510000000001</v>
      </c>
      <c r="P1454" t="s">
        <v>421</v>
      </c>
      <c r="Q1454">
        <v>1</v>
      </c>
      <c r="V1454">
        <v>1</v>
      </c>
      <c r="W1454">
        <v>1</v>
      </c>
      <c r="X1454">
        <v>1</v>
      </c>
      <c r="Y1454">
        <v>1</v>
      </c>
      <c r="Z1454">
        <v>786.58510000000001</v>
      </c>
    </row>
    <row r="1455" spans="1:26" x14ac:dyDescent="0.25">
      <c r="A1455">
        <v>95582</v>
      </c>
      <c r="B1455" t="s">
        <v>155</v>
      </c>
      <c r="C1455">
        <v>2019</v>
      </c>
      <c r="D1455">
        <v>1</v>
      </c>
      <c r="E1455" t="s">
        <v>415</v>
      </c>
      <c r="F1455" t="s">
        <v>429</v>
      </c>
      <c r="G1455" t="s">
        <v>430</v>
      </c>
      <c r="H1455" t="s">
        <v>84</v>
      </c>
      <c r="I1455" t="s">
        <v>433</v>
      </c>
      <c r="J1455" t="s">
        <v>59</v>
      </c>
      <c r="K1455">
        <v>-11037.865301919999</v>
      </c>
      <c r="L1455" t="s">
        <v>89</v>
      </c>
      <c r="M1455" t="s">
        <v>423</v>
      </c>
      <c r="N1455">
        <v>0.74738783869542003</v>
      </c>
      <c r="O1455">
        <v>8249.5662919999995</v>
      </c>
      <c r="P1455" t="s">
        <v>421</v>
      </c>
      <c r="Q1455">
        <v>1</v>
      </c>
      <c r="V1455">
        <v>1</v>
      </c>
      <c r="W1455">
        <v>1</v>
      </c>
      <c r="X1455">
        <v>1</v>
      </c>
      <c r="Y1455">
        <v>1</v>
      </c>
      <c r="Z1455">
        <v>8249.5662919999995</v>
      </c>
    </row>
    <row r="1456" spans="1:26" x14ac:dyDescent="0.25">
      <c r="A1456">
        <v>95583</v>
      </c>
      <c r="B1456" t="s">
        <v>155</v>
      </c>
      <c r="C1456">
        <v>2019</v>
      </c>
      <c r="D1456">
        <v>1</v>
      </c>
      <c r="E1456" t="s">
        <v>415</v>
      </c>
      <c r="F1456" t="s">
        <v>429</v>
      </c>
      <c r="G1456" t="s">
        <v>430</v>
      </c>
      <c r="H1456" t="s">
        <v>84</v>
      </c>
      <c r="I1456" t="s">
        <v>433</v>
      </c>
      <c r="J1456" t="s">
        <v>59</v>
      </c>
      <c r="K1456">
        <v>-11037.865301919999</v>
      </c>
      <c r="L1456" t="s">
        <v>89</v>
      </c>
      <c r="M1456" t="s">
        <v>424</v>
      </c>
      <c r="N1456">
        <v>3.08071516317E-3</v>
      </c>
      <c r="O1456">
        <v>34.004519000000002</v>
      </c>
      <c r="P1456" t="s">
        <v>421</v>
      </c>
      <c r="Q1456">
        <v>1</v>
      </c>
      <c r="V1456">
        <v>1</v>
      </c>
      <c r="W1456">
        <v>1</v>
      </c>
      <c r="X1456">
        <v>1</v>
      </c>
      <c r="Y1456">
        <v>1</v>
      </c>
      <c r="Z1456">
        <v>34.004519000000002</v>
      </c>
    </row>
    <row r="1457" spans="1:26" x14ac:dyDescent="0.25">
      <c r="A1457">
        <v>95584</v>
      </c>
      <c r="B1457" t="s">
        <v>155</v>
      </c>
      <c r="C1457">
        <v>2019</v>
      </c>
      <c r="D1457">
        <v>1</v>
      </c>
      <c r="E1457" t="s">
        <v>415</v>
      </c>
      <c r="F1457" t="s">
        <v>429</v>
      </c>
      <c r="G1457" t="s">
        <v>430</v>
      </c>
      <c r="H1457" t="s">
        <v>84</v>
      </c>
      <c r="I1457" t="s">
        <v>433</v>
      </c>
      <c r="J1457" t="s">
        <v>59</v>
      </c>
      <c r="K1457">
        <v>-11037.865301919999</v>
      </c>
      <c r="L1457" t="s">
        <v>89</v>
      </c>
      <c r="M1457" t="s">
        <v>425</v>
      </c>
      <c r="N1457">
        <v>2.5360775708E-3</v>
      </c>
      <c r="O1457">
        <v>27.992882999999999</v>
      </c>
      <c r="P1457" t="s">
        <v>421</v>
      </c>
      <c r="Q1457">
        <v>1</v>
      </c>
      <c r="V1457">
        <v>1</v>
      </c>
      <c r="W1457">
        <v>1</v>
      </c>
      <c r="X1457">
        <v>1</v>
      </c>
      <c r="Y1457">
        <v>1</v>
      </c>
      <c r="Z1457">
        <v>27.992882999999999</v>
      </c>
    </row>
    <row r="1458" spans="1:26" x14ac:dyDescent="0.25">
      <c r="A1458">
        <v>95585</v>
      </c>
      <c r="B1458" t="s">
        <v>155</v>
      </c>
      <c r="C1458">
        <v>2019</v>
      </c>
      <c r="D1458">
        <v>1</v>
      </c>
      <c r="E1458" t="s">
        <v>415</v>
      </c>
      <c r="F1458" t="s">
        <v>434</v>
      </c>
      <c r="G1458" t="s">
        <v>435</v>
      </c>
      <c r="H1458" t="s">
        <v>84</v>
      </c>
      <c r="I1458" t="s">
        <v>436</v>
      </c>
      <c r="J1458" t="s">
        <v>419</v>
      </c>
      <c r="K1458">
        <v>-20172.307563679999</v>
      </c>
      <c r="L1458" t="s">
        <v>85</v>
      </c>
      <c r="M1458" t="s">
        <v>420</v>
      </c>
      <c r="N1458">
        <v>0.24824931095561001</v>
      </c>
      <c r="O1458">
        <v>5007.7614530000001</v>
      </c>
      <c r="P1458" t="s">
        <v>421</v>
      </c>
      <c r="Q1458">
        <v>1</v>
      </c>
      <c r="V1458">
        <v>1</v>
      </c>
      <c r="W1458">
        <v>1</v>
      </c>
      <c r="X1458">
        <v>1</v>
      </c>
      <c r="Y1458">
        <v>1</v>
      </c>
      <c r="Z1458">
        <v>5007.7614530000001</v>
      </c>
    </row>
    <row r="1459" spans="1:26" x14ac:dyDescent="0.25">
      <c r="A1459">
        <v>95586</v>
      </c>
      <c r="B1459" t="s">
        <v>155</v>
      </c>
      <c r="C1459">
        <v>2019</v>
      </c>
      <c r="D1459">
        <v>1</v>
      </c>
      <c r="E1459" t="s">
        <v>415</v>
      </c>
      <c r="F1459" t="s">
        <v>434</v>
      </c>
      <c r="G1459" t="s">
        <v>435</v>
      </c>
      <c r="H1459" t="s">
        <v>84</v>
      </c>
      <c r="I1459" t="s">
        <v>436</v>
      </c>
      <c r="J1459" t="s">
        <v>419</v>
      </c>
      <c r="K1459">
        <v>-20172.307563679999</v>
      </c>
      <c r="L1459" t="s">
        <v>85</v>
      </c>
      <c r="M1459" t="s">
        <v>422</v>
      </c>
      <c r="N1459">
        <v>7.7540047892240005E-2</v>
      </c>
      <c r="O1459">
        <v>1564.161695</v>
      </c>
      <c r="P1459" t="s">
        <v>421</v>
      </c>
      <c r="Q1459">
        <v>1</v>
      </c>
      <c r="V1459">
        <v>1</v>
      </c>
      <c r="W1459">
        <v>1</v>
      </c>
      <c r="X1459">
        <v>1</v>
      </c>
      <c r="Y1459">
        <v>1</v>
      </c>
      <c r="Z1459">
        <v>1564.161695</v>
      </c>
    </row>
    <row r="1460" spans="1:26" x14ac:dyDescent="0.25">
      <c r="A1460">
        <v>95587</v>
      </c>
      <c r="B1460" t="s">
        <v>155</v>
      </c>
      <c r="C1460">
        <v>2019</v>
      </c>
      <c r="D1460">
        <v>1</v>
      </c>
      <c r="E1460" t="s">
        <v>415</v>
      </c>
      <c r="F1460" t="s">
        <v>434</v>
      </c>
      <c r="G1460" t="s">
        <v>435</v>
      </c>
      <c r="H1460" t="s">
        <v>84</v>
      </c>
      <c r="I1460" t="s">
        <v>436</v>
      </c>
      <c r="J1460" t="s">
        <v>419</v>
      </c>
      <c r="K1460">
        <v>-20172.307563679999</v>
      </c>
      <c r="L1460" t="s">
        <v>85</v>
      </c>
      <c r="M1460" t="s">
        <v>423</v>
      </c>
      <c r="N1460">
        <v>0.73979703899049998</v>
      </c>
      <c r="O1460">
        <v>14923.413404999999</v>
      </c>
      <c r="P1460" t="s">
        <v>421</v>
      </c>
      <c r="Q1460">
        <v>1</v>
      </c>
      <c r="V1460">
        <v>1</v>
      </c>
      <c r="W1460">
        <v>1</v>
      </c>
      <c r="X1460">
        <v>1</v>
      </c>
      <c r="Y1460">
        <v>1</v>
      </c>
      <c r="Z1460">
        <v>14923.413404999999</v>
      </c>
    </row>
    <row r="1461" spans="1:26" x14ac:dyDescent="0.25">
      <c r="A1461">
        <v>95588</v>
      </c>
      <c r="B1461" t="s">
        <v>155</v>
      </c>
      <c r="C1461">
        <v>2019</v>
      </c>
      <c r="D1461">
        <v>1</v>
      </c>
      <c r="E1461" t="s">
        <v>415</v>
      </c>
      <c r="F1461" t="s">
        <v>434</v>
      </c>
      <c r="G1461" t="s">
        <v>435</v>
      </c>
      <c r="H1461" t="s">
        <v>84</v>
      </c>
      <c r="I1461" t="s">
        <v>436</v>
      </c>
      <c r="J1461" t="s">
        <v>419</v>
      </c>
      <c r="K1461">
        <v>-20172.307563679999</v>
      </c>
      <c r="L1461" t="s">
        <v>85</v>
      </c>
      <c r="M1461" t="s">
        <v>424</v>
      </c>
      <c r="N1461">
        <v>2.9085775596699999E-3</v>
      </c>
      <c r="O1461">
        <v>58.672721000000003</v>
      </c>
      <c r="P1461" t="s">
        <v>421</v>
      </c>
      <c r="Q1461">
        <v>1</v>
      </c>
      <c r="V1461">
        <v>1</v>
      </c>
      <c r="W1461">
        <v>1</v>
      </c>
      <c r="X1461">
        <v>1</v>
      </c>
      <c r="Y1461">
        <v>1</v>
      </c>
      <c r="Z1461">
        <v>58.672721000000003</v>
      </c>
    </row>
    <row r="1462" spans="1:26" x14ac:dyDescent="0.25">
      <c r="A1462">
        <v>95589</v>
      </c>
      <c r="B1462" t="s">
        <v>155</v>
      </c>
      <c r="C1462">
        <v>2019</v>
      </c>
      <c r="D1462">
        <v>1</v>
      </c>
      <c r="E1462" t="s">
        <v>415</v>
      </c>
      <c r="F1462" t="s">
        <v>434</v>
      </c>
      <c r="G1462" t="s">
        <v>435</v>
      </c>
      <c r="H1462" t="s">
        <v>84</v>
      </c>
      <c r="I1462" t="s">
        <v>436</v>
      </c>
      <c r="J1462" t="s">
        <v>419</v>
      </c>
      <c r="K1462">
        <v>-20172.307563679999</v>
      </c>
      <c r="L1462" t="s">
        <v>85</v>
      </c>
      <c r="M1462" t="s">
        <v>425</v>
      </c>
      <c r="N1462">
        <v>2.6170694898000001E-3</v>
      </c>
      <c r="O1462">
        <v>52.792330999999997</v>
      </c>
      <c r="P1462" t="s">
        <v>421</v>
      </c>
      <c r="Q1462">
        <v>1</v>
      </c>
      <c r="V1462">
        <v>1</v>
      </c>
      <c r="W1462">
        <v>1</v>
      </c>
      <c r="X1462">
        <v>1</v>
      </c>
      <c r="Y1462">
        <v>1</v>
      </c>
      <c r="Z1462">
        <v>52.792330999999997</v>
      </c>
    </row>
    <row r="1463" spans="1:26" x14ac:dyDescent="0.25">
      <c r="A1463">
        <v>95590</v>
      </c>
      <c r="B1463" t="s">
        <v>155</v>
      </c>
      <c r="C1463">
        <v>2019</v>
      </c>
      <c r="D1463">
        <v>1</v>
      </c>
      <c r="E1463" t="s">
        <v>415</v>
      </c>
      <c r="F1463" t="s">
        <v>434</v>
      </c>
      <c r="G1463" t="s">
        <v>435</v>
      </c>
      <c r="H1463" t="s">
        <v>84</v>
      </c>
      <c r="I1463" t="s">
        <v>437</v>
      </c>
      <c r="J1463" t="s">
        <v>87</v>
      </c>
      <c r="K1463">
        <v>-7240.7283690300001</v>
      </c>
      <c r="L1463" t="s">
        <v>427</v>
      </c>
      <c r="M1463" t="s">
        <v>420</v>
      </c>
      <c r="N1463">
        <v>0.45523813654234002</v>
      </c>
      <c r="O1463">
        <v>3296.25569</v>
      </c>
      <c r="P1463" t="s">
        <v>421</v>
      </c>
      <c r="Q1463">
        <v>1</v>
      </c>
      <c r="V1463">
        <v>1</v>
      </c>
      <c r="W1463">
        <v>1</v>
      </c>
      <c r="X1463">
        <v>1</v>
      </c>
      <c r="Y1463">
        <v>1</v>
      </c>
      <c r="Z1463">
        <v>3296.25569</v>
      </c>
    </row>
    <row r="1464" spans="1:26" x14ac:dyDescent="0.25">
      <c r="A1464">
        <v>95591</v>
      </c>
      <c r="B1464" t="s">
        <v>155</v>
      </c>
      <c r="C1464">
        <v>2019</v>
      </c>
      <c r="D1464">
        <v>1</v>
      </c>
      <c r="E1464" t="s">
        <v>415</v>
      </c>
      <c r="F1464" t="s">
        <v>434</v>
      </c>
      <c r="G1464" t="s">
        <v>435</v>
      </c>
      <c r="H1464" t="s">
        <v>84</v>
      </c>
      <c r="I1464" t="s">
        <v>437</v>
      </c>
      <c r="J1464" t="s">
        <v>87</v>
      </c>
      <c r="K1464">
        <v>-7240.7283690300001</v>
      </c>
      <c r="L1464" t="s">
        <v>427</v>
      </c>
      <c r="M1464" t="s">
        <v>422</v>
      </c>
      <c r="N1464">
        <v>6.8896616392329996E-2</v>
      </c>
      <c r="O1464">
        <v>498.86168500000002</v>
      </c>
      <c r="P1464" t="s">
        <v>421</v>
      </c>
      <c r="Q1464">
        <v>1</v>
      </c>
      <c r="V1464">
        <v>1</v>
      </c>
      <c r="W1464">
        <v>1</v>
      </c>
      <c r="X1464">
        <v>1</v>
      </c>
      <c r="Y1464">
        <v>1</v>
      </c>
      <c r="Z1464">
        <v>498.86168500000002</v>
      </c>
    </row>
    <row r="1465" spans="1:26" x14ac:dyDescent="0.25">
      <c r="A1465">
        <v>95592</v>
      </c>
      <c r="B1465" t="s">
        <v>155</v>
      </c>
      <c r="C1465">
        <v>2019</v>
      </c>
      <c r="D1465">
        <v>1</v>
      </c>
      <c r="E1465" t="s">
        <v>415</v>
      </c>
      <c r="F1465" t="s">
        <v>434</v>
      </c>
      <c r="G1465" t="s">
        <v>435</v>
      </c>
      <c r="H1465" t="s">
        <v>84</v>
      </c>
      <c r="I1465" t="s">
        <v>437</v>
      </c>
      <c r="J1465" t="s">
        <v>87</v>
      </c>
      <c r="K1465">
        <v>-7240.7283690300001</v>
      </c>
      <c r="L1465" t="s">
        <v>427</v>
      </c>
      <c r="M1465" t="s">
        <v>423</v>
      </c>
      <c r="N1465">
        <v>0.70986919705586005</v>
      </c>
      <c r="O1465">
        <v>5139.9700329999996</v>
      </c>
      <c r="P1465" t="s">
        <v>421</v>
      </c>
      <c r="Q1465">
        <v>1</v>
      </c>
      <c r="V1465">
        <v>1</v>
      </c>
      <c r="W1465">
        <v>1</v>
      </c>
      <c r="X1465">
        <v>1</v>
      </c>
      <c r="Y1465">
        <v>1</v>
      </c>
      <c r="Z1465">
        <v>5139.9700329999996</v>
      </c>
    </row>
    <row r="1466" spans="1:26" x14ac:dyDescent="0.25">
      <c r="A1466">
        <v>95593</v>
      </c>
      <c r="B1466" t="s">
        <v>155</v>
      </c>
      <c r="C1466">
        <v>2019</v>
      </c>
      <c r="D1466">
        <v>1</v>
      </c>
      <c r="E1466" t="s">
        <v>415</v>
      </c>
      <c r="F1466" t="s">
        <v>434</v>
      </c>
      <c r="G1466" t="s">
        <v>435</v>
      </c>
      <c r="H1466" t="s">
        <v>84</v>
      </c>
      <c r="I1466" t="s">
        <v>437</v>
      </c>
      <c r="J1466" t="s">
        <v>87</v>
      </c>
      <c r="K1466">
        <v>-7240.7283690300001</v>
      </c>
      <c r="L1466" t="s">
        <v>427</v>
      </c>
      <c r="M1466" t="s">
        <v>425</v>
      </c>
      <c r="N1466">
        <v>1.4965642882E-3</v>
      </c>
      <c r="O1466">
        <v>10.836214999999999</v>
      </c>
      <c r="P1466" t="s">
        <v>421</v>
      </c>
      <c r="Q1466">
        <v>1</v>
      </c>
      <c r="V1466">
        <v>1</v>
      </c>
      <c r="W1466">
        <v>1</v>
      </c>
      <c r="X1466">
        <v>1</v>
      </c>
      <c r="Y1466">
        <v>1</v>
      </c>
      <c r="Z1466">
        <v>10.836214999999999</v>
      </c>
    </row>
    <row r="1467" spans="1:26" x14ac:dyDescent="0.25">
      <c r="A1467">
        <v>95594</v>
      </c>
      <c r="B1467" t="s">
        <v>155</v>
      </c>
      <c r="C1467">
        <v>2019</v>
      </c>
      <c r="D1467">
        <v>1</v>
      </c>
      <c r="E1467" t="s">
        <v>415</v>
      </c>
      <c r="F1467" t="s">
        <v>434</v>
      </c>
      <c r="G1467" t="s">
        <v>435</v>
      </c>
      <c r="H1467" t="s">
        <v>84</v>
      </c>
      <c r="I1467" t="s">
        <v>438</v>
      </c>
      <c r="J1467" t="s">
        <v>59</v>
      </c>
      <c r="K1467">
        <v>-5767.1840532099995</v>
      </c>
      <c r="L1467" t="s">
        <v>89</v>
      </c>
      <c r="M1467" t="s">
        <v>420</v>
      </c>
      <c r="N1467">
        <v>0.26343870574139999</v>
      </c>
      <c r="O1467">
        <v>1519.299503</v>
      </c>
      <c r="P1467" t="s">
        <v>421</v>
      </c>
      <c r="Q1467">
        <v>1</v>
      </c>
      <c r="V1467">
        <v>1</v>
      </c>
      <c r="W1467">
        <v>1</v>
      </c>
      <c r="X1467">
        <v>1</v>
      </c>
      <c r="Y1467">
        <v>1</v>
      </c>
      <c r="Z1467">
        <v>1519.299503</v>
      </c>
    </row>
    <row r="1468" spans="1:26" x14ac:dyDescent="0.25">
      <c r="A1468">
        <v>95595</v>
      </c>
      <c r="B1468" t="s">
        <v>155</v>
      </c>
      <c r="C1468">
        <v>2019</v>
      </c>
      <c r="D1468">
        <v>1</v>
      </c>
      <c r="E1468" t="s">
        <v>415</v>
      </c>
      <c r="F1468" t="s">
        <v>434</v>
      </c>
      <c r="G1468" t="s">
        <v>435</v>
      </c>
      <c r="H1468" t="s">
        <v>84</v>
      </c>
      <c r="I1468" t="s">
        <v>438</v>
      </c>
      <c r="J1468" t="s">
        <v>59</v>
      </c>
      <c r="K1468">
        <v>-5767.1840532099995</v>
      </c>
      <c r="L1468" t="s">
        <v>89</v>
      </c>
      <c r="M1468" t="s">
        <v>422</v>
      </c>
      <c r="N1468">
        <v>7.1262429683470005E-2</v>
      </c>
      <c r="O1468">
        <v>410.98354799999998</v>
      </c>
      <c r="P1468" t="s">
        <v>421</v>
      </c>
      <c r="Q1468">
        <v>1</v>
      </c>
      <c r="V1468">
        <v>1</v>
      </c>
      <c r="W1468">
        <v>1</v>
      </c>
      <c r="X1468">
        <v>1</v>
      </c>
      <c r="Y1468">
        <v>1</v>
      </c>
      <c r="Z1468">
        <v>410.98354799999998</v>
      </c>
    </row>
    <row r="1469" spans="1:26" x14ac:dyDescent="0.25">
      <c r="A1469">
        <v>95596</v>
      </c>
      <c r="B1469" t="s">
        <v>155</v>
      </c>
      <c r="C1469">
        <v>2019</v>
      </c>
      <c r="D1469">
        <v>1</v>
      </c>
      <c r="E1469" t="s">
        <v>415</v>
      </c>
      <c r="F1469" t="s">
        <v>434</v>
      </c>
      <c r="G1469" t="s">
        <v>435</v>
      </c>
      <c r="H1469" t="s">
        <v>84</v>
      </c>
      <c r="I1469" t="s">
        <v>438</v>
      </c>
      <c r="J1469" t="s">
        <v>59</v>
      </c>
      <c r="K1469">
        <v>-5767.1840532099995</v>
      </c>
      <c r="L1469" t="s">
        <v>89</v>
      </c>
      <c r="M1469" t="s">
        <v>423</v>
      </c>
      <c r="N1469">
        <v>0.74738783869542003</v>
      </c>
      <c r="O1469">
        <v>4310.3232250000001</v>
      </c>
      <c r="P1469" t="s">
        <v>421</v>
      </c>
      <c r="Q1469">
        <v>1</v>
      </c>
      <c r="V1469">
        <v>1</v>
      </c>
      <c r="W1469">
        <v>1</v>
      </c>
      <c r="X1469">
        <v>1</v>
      </c>
      <c r="Y1469">
        <v>1</v>
      </c>
      <c r="Z1469">
        <v>4310.3232250000001</v>
      </c>
    </row>
    <row r="1470" spans="1:26" x14ac:dyDescent="0.25">
      <c r="A1470">
        <v>95597</v>
      </c>
      <c r="B1470" t="s">
        <v>155</v>
      </c>
      <c r="C1470">
        <v>2019</v>
      </c>
      <c r="D1470">
        <v>1</v>
      </c>
      <c r="E1470" t="s">
        <v>415</v>
      </c>
      <c r="F1470" t="s">
        <v>434</v>
      </c>
      <c r="G1470" t="s">
        <v>435</v>
      </c>
      <c r="H1470" t="s">
        <v>84</v>
      </c>
      <c r="I1470" t="s">
        <v>438</v>
      </c>
      <c r="J1470" t="s">
        <v>59</v>
      </c>
      <c r="K1470">
        <v>-5767.1840532099995</v>
      </c>
      <c r="L1470" t="s">
        <v>89</v>
      </c>
      <c r="M1470" t="s">
        <v>424</v>
      </c>
      <c r="N1470">
        <v>3.08071516317E-3</v>
      </c>
      <c r="O1470">
        <v>17.767050999999999</v>
      </c>
      <c r="P1470" t="s">
        <v>421</v>
      </c>
      <c r="Q1470">
        <v>1</v>
      </c>
      <c r="V1470">
        <v>1</v>
      </c>
      <c r="W1470">
        <v>1</v>
      </c>
      <c r="X1470">
        <v>1</v>
      </c>
      <c r="Y1470">
        <v>1</v>
      </c>
      <c r="Z1470">
        <v>17.767050999999999</v>
      </c>
    </row>
    <row r="1471" spans="1:26" x14ac:dyDescent="0.25">
      <c r="A1471">
        <v>95598</v>
      </c>
      <c r="B1471" t="s">
        <v>155</v>
      </c>
      <c r="C1471">
        <v>2019</v>
      </c>
      <c r="D1471">
        <v>1</v>
      </c>
      <c r="E1471" t="s">
        <v>415</v>
      </c>
      <c r="F1471" t="s">
        <v>434</v>
      </c>
      <c r="G1471" t="s">
        <v>435</v>
      </c>
      <c r="H1471" t="s">
        <v>84</v>
      </c>
      <c r="I1471" t="s">
        <v>438</v>
      </c>
      <c r="J1471" t="s">
        <v>59</v>
      </c>
      <c r="K1471">
        <v>-5767.1840532099995</v>
      </c>
      <c r="L1471" t="s">
        <v>89</v>
      </c>
      <c r="M1471" t="s">
        <v>425</v>
      </c>
      <c r="N1471">
        <v>2.5360775708E-3</v>
      </c>
      <c r="O1471">
        <v>14.626026</v>
      </c>
      <c r="P1471" t="s">
        <v>421</v>
      </c>
      <c r="Q1471">
        <v>1</v>
      </c>
      <c r="V1471">
        <v>1</v>
      </c>
      <c r="W1471">
        <v>1</v>
      </c>
      <c r="X1471">
        <v>1</v>
      </c>
      <c r="Y1471">
        <v>1</v>
      </c>
      <c r="Z1471">
        <v>14.626026</v>
      </c>
    </row>
    <row r="1472" spans="1:26" x14ac:dyDescent="0.25">
      <c r="A1472">
        <v>150356</v>
      </c>
      <c r="B1472" t="s">
        <v>443</v>
      </c>
      <c r="C1472">
        <v>2020</v>
      </c>
      <c r="D1472">
        <v>1</v>
      </c>
      <c r="E1472" t="s">
        <v>415</v>
      </c>
      <c r="F1472" t="s">
        <v>416</v>
      </c>
      <c r="G1472" t="s">
        <v>417</v>
      </c>
      <c r="H1472" t="s">
        <v>84</v>
      </c>
      <c r="I1472" t="s">
        <v>418</v>
      </c>
      <c r="J1472" t="s">
        <v>419</v>
      </c>
      <c r="K1472">
        <v>-57153.081573240001</v>
      </c>
      <c r="L1472" t="s">
        <v>85</v>
      </c>
      <c r="M1472" t="s">
        <v>420</v>
      </c>
      <c r="N1472">
        <v>0.24824931095561001</v>
      </c>
      <c r="O1472">
        <v>14188.21312</v>
      </c>
      <c r="P1472" t="s">
        <v>421</v>
      </c>
      <c r="Q1472">
        <v>1</v>
      </c>
      <c r="V1472">
        <v>1</v>
      </c>
      <c r="W1472">
        <v>1</v>
      </c>
      <c r="X1472">
        <v>1</v>
      </c>
      <c r="Y1472">
        <v>1</v>
      </c>
      <c r="Z1472">
        <v>14188.21312</v>
      </c>
    </row>
    <row r="1473" spans="1:26" x14ac:dyDescent="0.25">
      <c r="A1473">
        <v>150357</v>
      </c>
      <c r="B1473" t="s">
        <v>443</v>
      </c>
      <c r="C1473">
        <v>2020</v>
      </c>
      <c r="D1473">
        <v>1</v>
      </c>
      <c r="E1473" t="s">
        <v>415</v>
      </c>
      <c r="F1473" t="s">
        <v>416</v>
      </c>
      <c r="G1473" t="s">
        <v>417</v>
      </c>
      <c r="H1473" t="s">
        <v>84</v>
      </c>
      <c r="I1473" t="s">
        <v>418</v>
      </c>
      <c r="J1473" t="s">
        <v>419</v>
      </c>
      <c r="K1473">
        <v>-57153.081573240001</v>
      </c>
      <c r="L1473" t="s">
        <v>85</v>
      </c>
      <c r="M1473" t="s">
        <v>422</v>
      </c>
      <c r="N1473">
        <v>7.7540047892240005E-2</v>
      </c>
      <c r="O1473">
        <v>4431.6526819999999</v>
      </c>
      <c r="P1473" t="s">
        <v>421</v>
      </c>
      <c r="Q1473">
        <v>1</v>
      </c>
      <c r="V1473">
        <v>1</v>
      </c>
      <c r="W1473">
        <v>1</v>
      </c>
      <c r="X1473">
        <v>1</v>
      </c>
      <c r="Y1473">
        <v>1</v>
      </c>
      <c r="Z1473">
        <v>4431.6526819999999</v>
      </c>
    </row>
    <row r="1474" spans="1:26" x14ac:dyDescent="0.25">
      <c r="A1474">
        <v>150358</v>
      </c>
      <c r="B1474" t="s">
        <v>443</v>
      </c>
      <c r="C1474">
        <v>2020</v>
      </c>
      <c r="D1474">
        <v>1</v>
      </c>
      <c r="E1474" t="s">
        <v>415</v>
      </c>
      <c r="F1474" t="s">
        <v>416</v>
      </c>
      <c r="G1474" t="s">
        <v>417</v>
      </c>
      <c r="H1474" t="s">
        <v>84</v>
      </c>
      <c r="I1474" t="s">
        <v>418</v>
      </c>
      <c r="J1474" t="s">
        <v>419</v>
      </c>
      <c r="K1474">
        <v>-57153.081573240001</v>
      </c>
      <c r="L1474" t="s">
        <v>85</v>
      </c>
      <c r="M1474" t="s">
        <v>423</v>
      </c>
      <c r="N1474">
        <v>0.73979703899049998</v>
      </c>
      <c r="O1474">
        <v>42281.680517000001</v>
      </c>
      <c r="P1474" t="s">
        <v>421</v>
      </c>
      <c r="Q1474">
        <v>1</v>
      </c>
      <c r="V1474">
        <v>1</v>
      </c>
      <c r="W1474">
        <v>1</v>
      </c>
      <c r="X1474">
        <v>1</v>
      </c>
      <c r="Y1474">
        <v>1</v>
      </c>
      <c r="Z1474">
        <v>42281.680517000001</v>
      </c>
    </row>
    <row r="1475" spans="1:26" x14ac:dyDescent="0.25">
      <c r="A1475">
        <v>150359</v>
      </c>
      <c r="B1475" t="s">
        <v>443</v>
      </c>
      <c r="C1475">
        <v>2020</v>
      </c>
      <c r="D1475">
        <v>1</v>
      </c>
      <c r="E1475" t="s">
        <v>415</v>
      </c>
      <c r="F1475" t="s">
        <v>416</v>
      </c>
      <c r="G1475" t="s">
        <v>417</v>
      </c>
      <c r="H1475" t="s">
        <v>84</v>
      </c>
      <c r="I1475" t="s">
        <v>418</v>
      </c>
      <c r="J1475" t="s">
        <v>419</v>
      </c>
      <c r="K1475">
        <v>-57153.081573240001</v>
      </c>
      <c r="L1475" t="s">
        <v>85</v>
      </c>
      <c r="M1475" t="s">
        <v>424</v>
      </c>
      <c r="N1475">
        <v>2.9085775596699999E-3</v>
      </c>
      <c r="O1475">
        <v>166.234171</v>
      </c>
      <c r="P1475" t="s">
        <v>421</v>
      </c>
      <c r="Q1475">
        <v>1</v>
      </c>
      <c r="V1475">
        <v>1</v>
      </c>
      <c r="W1475">
        <v>1</v>
      </c>
      <c r="X1475">
        <v>1</v>
      </c>
      <c r="Y1475">
        <v>1</v>
      </c>
      <c r="Z1475">
        <v>166.234171</v>
      </c>
    </row>
    <row r="1476" spans="1:26" x14ac:dyDescent="0.25">
      <c r="A1476">
        <v>150360</v>
      </c>
      <c r="B1476" t="s">
        <v>443</v>
      </c>
      <c r="C1476">
        <v>2020</v>
      </c>
      <c r="D1476">
        <v>1</v>
      </c>
      <c r="E1476" t="s">
        <v>415</v>
      </c>
      <c r="F1476" t="s">
        <v>416</v>
      </c>
      <c r="G1476" t="s">
        <v>417</v>
      </c>
      <c r="H1476" t="s">
        <v>84</v>
      </c>
      <c r="I1476" t="s">
        <v>418</v>
      </c>
      <c r="J1476" t="s">
        <v>419</v>
      </c>
      <c r="K1476">
        <v>-57153.081573240001</v>
      </c>
      <c r="L1476" t="s">
        <v>85</v>
      </c>
      <c r="M1476" t="s">
        <v>425</v>
      </c>
      <c r="N1476">
        <v>2.6170694898000001E-3</v>
      </c>
      <c r="O1476">
        <v>149.57358600000001</v>
      </c>
      <c r="P1476" t="s">
        <v>421</v>
      </c>
      <c r="Q1476">
        <v>1</v>
      </c>
      <c r="V1476">
        <v>1</v>
      </c>
      <c r="W1476">
        <v>1</v>
      </c>
      <c r="X1476">
        <v>1</v>
      </c>
      <c r="Y1476">
        <v>1</v>
      </c>
      <c r="Z1476">
        <v>149.57358600000001</v>
      </c>
    </row>
    <row r="1477" spans="1:26" x14ac:dyDescent="0.25">
      <c r="A1477">
        <v>150361</v>
      </c>
      <c r="B1477" t="s">
        <v>443</v>
      </c>
      <c r="C1477">
        <v>2020</v>
      </c>
      <c r="D1477">
        <v>1</v>
      </c>
      <c r="E1477" t="s">
        <v>415</v>
      </c>
      <c r="F1477" t="s">
        <v>416</v>
      </c>
      <c r="G1477" t="s">
        <v>417</v>
      </c>
      <c r="H1477" t="s">
        <v>84</v>
      </c>
      <c r="I1477" t="s">
        <v>426</v>
      </c>
      <c r="J1477" t="s">
        <v>87</v>
      </c>
      <c r="K1477">
        <v>-14346.22498585</v>
      </c>
      <c r="L1477" t="s">
        <v>427</v>
      </c>
      <c r="M1477" t="s">
        <v>420</v>
      </c>
      <c r="N1477">
        <v>0.45523813654234002</v>
      </c>
      <c r="O1477">
        <v>6530.9487289999997</v>
      </c>
      <c r="P1477" t="s">
        <v>421</v>
      </c>
      <c r="Q1477">
        <v>1</v>
      </c>
      <c r="V1477">
        <v>1</v>
      </c>
      <c r="W1477">
        <v>1</v>
      </c>
      <c r="X1477">
        <v>1</v>
      </c>
      <c r="Y1477">
        <v>1</v>
      </c>
      <c r="Z1477">
        <v>6530.9487289999997</v>
      </c>
    </row>
    <row r="1478" spans="1:26" x14ac:dyDescent="0.25">
      <c r="A1478">
        <v>150362</v>
      </c>
      <c r="B1478" t="s">
        <v>443</v>
      </c>
      <c r="C1478">
        <v>2020</v>
      </c>
      <c r="D1478">
        <v>1</v>
      </c>
      <c r="E1478" t="s">
        <v>415</v>
      </c>
      <c r="F1478" t="s">
        <v>416</v>
      </c>
      <c r="G1478" t="s">
        <v>417</v>
      </c>
      <c r="H1478" t="s">
        <v>84</v>
      </c>
      <c r="I1478" t="s">
        <v>426</v>
      </c>
      <c r="J1478" t="s">
        <v>87</v>
      </c>
      <c r="K1478">
        <v>-14346.22498585</v>
      </c>
      <c r="L1478" t="s">
        <v>427</v>
      </c>
      <c r="M1478" t="s">
        <v>422</v>
      </c>
      <c r="N1478">
        <v>6.8896616392329996E-2</v>
      </c>
      <c r="O1478">
        <v>988.40635999999995</v>
      </c>
      <c r="P1478" t="s">
        <v>421</v>
      </c>
      <c r="Q1478">
        <v>1</v>
      </c>
      <c r="V1478">
        <v>1</v>
      </c>
      <c r="W1478">
        <v>1</v>
      </c>
      <c r="X1478">
        <v>1</v>
      </c>
      <c r="Y1478">
        <v>1</v>
      </c>
      <c r="Z1478">
        <v>988.40635999999995</v>
      </c>
    </row>
    <row r="1479" spans="1:26" x14ac:dyDescent="0.25">
      <c r="A1479">
        <v>150363</v>
      </c>
      <c r="B1479" t="s">
        <v>443</v>
      </c>
      <c r="C1479">
        <v>2020</v>
      </c>
      <c r="D1479">
        <v>1</v>
      </c>
      <c r="E1479" t="s">
        <v>415</v>
      </c>
      <c r="F1479" t="s">
        <v>416</v>
      </c>
      <c r="G1479" t="s">
        <v>417</v>
      </c>
      <c r="H1479" t="s">
        <v>84</v>
      </c>
      <c r="I1479" t="s">
        <v>426</v>
      </c>
      <c r="J1479" t="s">
        <v>87</v>
      </c>
      <c r="K1479">
        <v>-14346.22498585</v>
      </c>
      <c r="L1479" t="s">
        <v>427</v>
      </c>
      <c r="M1479" t="s">
        <v>423</v>
      </c>
      <c r="N1479">
        <v>0.70986919705586005</v>
      </c>
      <c r="O1479">
        <v>10183.943211</v>
      </c>
      <c r="P1479" t="s">
        <v>421</v>
      </c>
      <c r="Q1479">
        <v>1</v>
      </c>
      <c r="V1479">
        <v>1</v>
      </c>
      <c r="W1479">
        <v>1</v>
      </c>
      <c r="X1479">
        <v>1</v>
      </c>
      <c r="Y1479">
        <v>1</v>
      </c>
      <c r="Z1479">
        <v>10183.943211</v>
      </c>
    </row>
    <row r="1480" spans="1:26" x14ac:dyDescent="0.25">
      <c r="A1480">
        <v>150364</v>
      </c>
      <c r="B1480" t="s">
        <v>443</v>
      </c>
      <c r="C1480">
        <v>2020</v>
      </c>
      <c r="D1480">
        <v>1</v>
      </c>
      <c r="E1480" t="s">
        <v>415</v>
      </c>
      <c r="F1480" t="s">
        <v>416</v>
      </c>
      <c r="G1480" t="s">
        <v>417</v>
      </c>
      <c r="H1480" t="s">
        <v>84</v>
      </c>
      <c r="I1480" t="s">
        <v>426</v>
      </c>
      <c r="J1480" t="s">
        <v>87</v>
      </c>
      <c r="K1480">
        <v>-14346.22498585</v>
      </c>
      <c r="L1480" t="s">
        <v>427</v>
      </c>
      <c r="M1480" t="s">
        <v>425</v>
      </c>
      <c r="N1480">
        <v>1.4965642882E-3</v>
      </c>
      <c r="O1480">
        <v>21.470047999999998</v>
      </c>
      <c r="P1480" t="s">
        <v>421</v>
      </c>
      <c r="Q1480">
        <v>1</v>
      </c>
      <c r="V1480">
        <v>1</v>
      </c>
      <c r="W1480">
        <v>1</v>
      </c>
      <c r="X1480">
        <v>1</v>
      </c>
      <c r="Y1480">
        <v>1</v>
      </c>
      <c r="Z1480">
        <v>21.470047999999998</v>
      </c>
    </row>
    <row r="1481" spans="1:26" x14ac:dyDescent="0.25">
      <c r="A1481">
        <v>150365</v>
      </c>
      <c r="B1481" t="s">
        <v>443</v>
      </c>
      <c r="C1481">
        <v>2020</v>
      </c>
      <c r="D1481">
        <v>1</v>
      </c>
      <c r="E1481" t="s">
        <v>415</v>
      </c>
      <c r="F1481" t="s">
        <v>416</v>
      </c>
      <c r="G1481" t="s">
        <v>417</v>
      </c>
      <c r="H1481" t="s">
        <v>84</v>
      </c>
      <c r="I1481" t="s">
        <v>428</v>
      </c>
      <c r="J1481" t="s">
        <v>59</v>
      </c>
      <c r="K1481">
        <v>-24249.51255498</v>
      </c>
      <c r="L1481" t="s">
        <v>89</v>
      </c>
      <c r="M1481" t="s">
        <v>420</v>
      </c>
      <c r="N1481">
        <v>0.26343870574139999</v>
      </c>
      <c r="O1481">
        <v>6388.2602020000004</v>
      </c>
      <c r="P1481" t="s">
        <v>421</v>
      </c>
      <c r="Q1481">
        <v>1</v>
      </c>
      <c r="V1481">
        <v>1</v>
      </c>
      <c r="W1481">
        <v>1</v>
      </c>
      <c r="X1481">
        <v>1</v>
      </c>
      <c r="Y1481">
        <v>1</v>
      </c>
      <c r="Z1481">
        <v>6388.2602020000004</v>
      </c>
    </row>
    <row r="1482" spans="1:26" x14ac:dyDescent="0.25">
      <c r="A1482">
        <v>150366</v>
      </c>
      <c r="B1482" t="s">
        <v>443</v>
      </c>
      <c r="C1482">
        <v>2020</v>
      </c>
      <c r="D1482">
        <v>1</v>
      </c>
      <c r="E1482" t="s">
        <v>415</v>
      </c>
      <c r="F1482" t="s">
        <v>416</v>
      </c>
      <c r="G1482" t="s">
        <v>417</v>
      </c>
      <c r="H1482" t="s">
        <v>84</v>
      </c>
      <c r="I1482" t="s">
        <v>428</v>
      </c>
      <c r="J1482" t="s">
        <v>59</v>
      </c>
      <c r="K1482">
        <v>-24249.51255498</v>
      </c>
      <c r="L1482" t="s">
        <v>89</v>
      </c>
      <c r="M1482" t="s">
        <v>422</v>
      </c>
      <c r="N1482">
        <v>7.1262429683470005E-2</v>
      </c>
      <c r="O1482">
        <v>1728.0791830000001</v>
      </c>
      <c r="P1482" t="s">
        <v>421</v>
      </c>
      <c r="Q1482">
        <v>1</v>
      </c>
      <c r="V1482">
        <v>1</v>
      </c>
      <c r="W1482">
        <v>1</v>
      </c>
      <c r="X1482">
        <v>1</v>
      </c>
      <c r="Y1482">
        <v>1</v>
      </c>
      <c r="Z1482">
        <v>1728.0791830000001</v>
      </c>
    </row>
    <row r="1483" spans="1:26" x14ac:dyDescent="0.25">
      <c r="A1483">
        <v>150367</v>
      </c>
      <c r="B1483" t="s">
        <v>443</v>
      </c>
      <c r="C1483">
        <v>2020</v>
      </c>
      <c r="D1483">
        <v>1</v>
      </c>
      <c r="E1483" t="s">
        <v>415</v>
      </c>
      <c r="F1483" t="s">
        <v>416</v>
      </c>
      <c r="G1483" t="s">
        <v>417</v>
      </c>
      <c r="H1483" t="s">
        <v>84</v>
      </c>
      <c r="I1483" t="s">
        <v>428</v>
      </c>
      <c r="J1483" t="s">
        <v>59</v>
      </c>
      <c r="K1483">
        <v>-24249.51255498</v>
      </c>
      <c r="L1483" t="s">
        <v>89</v>
      </c>
      <c r="M1483" t="s">
        <v>423</v>
      </c>
      <c r="N1483">
        <v>0.74738783869542003</v>
      </c>
      <c r="O1483">
        <v>18123.790777999999</v>
      </c>
      <c r="P1483" t="s">
        <v>421</v>
      </c>
      <c r="Q1483">
        <v>1</v>
      </c>
      <c r="V1483">
        <v>1</v>
      </c>
      <c r="W1483">
        <v>1</v>
      </c>
      <c r="X1483">
        <v>1</v>
      </c>
      <c r="Y1483">
        <v>1</v>
      </c>
      <c r="Z1483">
        <v>18123.790777999999</v>
      </c>
    </row>
    <row r="1484" spans="1:26" x14ac:dyDescent="0.25">
      <c r="A1484">
        <v>150368</v>
      </c>
      <c r="B1484" t="s">
        <v>443</v>
      </c>
      <c r="C1484">
        <v>2020</v>
      </c>
      <c r="D1484">
        <v>1</v>
      </c>
      <c r="E1484" t="s">
        <v>415</v>
      </c>
      <c r="F1484" t="s">
        <v>416</v>
      </c>
      <c r="G1484" t="s">
        <v>417</v>
      </c>
      <c r="H1484" t="s">
        <v>84</v>
      </c>
      <c r="I1484" t="s">
        <v>428</v>
      </c>
      <c r="J1484" t="s">
        <v>59</v>
      </c>
      <c r="K1484">
        <v>-24249.51255498</v>
      </c>
      <c r="L1484" t="s">
        <v>89</v>
      </c>
      <c r="M1484" t="s">
        <v>424</v>
      </c>
      <c r="N1484">
        <v>3.08071516317E-3</v>
      </c>
      <c r="O1484">
        <v>74.705841000000007</v>
      </c>
      <c r="P1484" t="s">
        <v>421</v>
      </c>
      <c r="Q1484">
        <v>1</v>
      </c>
      <c r="V1484">
        <v>1</v>
      </c>
      <c r="W1484">
        <v>1</v>
      </c>
      <c r="X1484">
        <v>1</v>
      </c>
      <c r="Y1484">
        <v>1</v>
      </c>
      <c r="Z1484">
        <v>74.705841000000007</v>
      </c>
    </row>
    <row r="1485" spans="1:26" x14ac:dyDescent="0.25">
      <c r="A1485">
        <v>150369</v>
      </c>
      <c r="B1485" t="s">
        <v>443</v>
      </c>
      <c r="C1485">
        <v>2020</v>
      </c>
      <c r="D1485">
        <v>1</v>
      </c>
      <c r="E1485" t="s">
        <v>415</v>
      </c>
      <c r="F1485" t="s">
        <v>416</v>
      </c>
      <c r="G1485" t="s">
        <v>417</v>
      </c>
      <c r="H1485" t="s">
        <v>84</v>
      </c>
      <c r="I1485" t="s">
        <v>428</v>
      </c>
      <c r="J1485" t="s">
        <v>59</v>
      </c>
      <c r="K1485">
        <v>-24249.51255498</v>
      </c>
      <c r="L1485" t="s">
        <v>89</v>
      </c>
      <c r="M1485" t="s">
        <v>425</v>
      </c>
      <c r="N1485">
        <v>2.5360775708E-3</v>
      </c>
      <c r="O1485">
        <v>61.498645000000003</v>
      </c>
      <c r="P1485" t="s">
        <v>421</v>
      </c>
      <c r="Q1485">
        <v>1</v>
      </c>
      <c r="V1485">
        <v>1</v>
      </c>
      <c r="W1485">
        <v>1</v>
      </c>
      <c r="X1485">
        <v>1</v>
      </c>
      <c r="Y1485">
        <v>1</v>
      </c>
      <c r="Z1485">
        <v>61.498645000000003</v>
      </c>
    </row>
    <row r="1486" spans="1:26" x14ac:dyDescent="0.25">
      <c r="A1486">
        <v>150370</v>
      </c>
      <c r="B1486" t="s">
        <v>443</v>
      </c>
      <c r="C1486">
        <v>2020</v>
      </c>
      <c r="D1486">
        <v>1</v>
      </c>
      <c r="E1486" t="s">
        <v>415</v>
      </c>
      <c r="F1486" t="s">
        <v>429</v>
      </c>
      <c r="G1486" t="s">
        <v>430</v>
      </c>
      <c r="H1486" t="s">
        <v>84</v>
      </c>
      <c r="I1486" t="s">
        <v>431</v>
      </c>
      <c r="J1486" t="s">
        <v>419</v>
      </c>
      <c r="K1486">
        <v>-88663.858673399998</v>
      </c>
      <c r="L1486" t="s">
        <v>85</v>
      </c>
      <c r="M1486" t="s">
        <v>420</v>
      </c>
      <c r="N1486">
        <v>0.24824931095561001</v>
      </c>
      <c r="O1486">
        <v>22010.741822</v>
      </c>
      <c r="P1486" t="s">
        <v>421</v>
      </c>
      <c r="Q1486">
        <v>1</v>
      </c>
      <c r="V1486">
        <v>1</v>
      </c>
      <c r="W1486">
        <v>1</v>
      </c>
      <c r="X1486">
        <v>1</v>
      </c>
      <c r="Y1486">
        <v>1</v>
      </c>
      <c r="Z1486">
        <v>22010.741822</v>
      </c>
    </row>
    <row r="1487" spans="1:26" x14ac:dyDescent="0.25">
      <c r="A1487">
        <v>150371</v>
      </c>
      <c r="B1487" t="s">
        <v>443</v>
      </c>
      <c r="C1487">
        <v>2020</v>
      </c>
      <c r="D1487">
        <v>1</v>
      </c>
      <c r="E1487" t="s">
        <v>415</v>
      </c>
      <c r="F1487" t="s">
        <v>429</v>
      </c>
      <c r="G1487" t="s">
        <v>430</v>
      </c>
      <c r="H1487" t="s">
        <v>84</v>
      </c>
      <c r="I1487" t="s">
        <v>431</v>
      </c>
      <c r="J1487" t="s">
        <v>419</v>
      </c>
      <c r="K1487">
        <v>-88663.858673399998</v>
      </c>
      <c r="L1487" t="s">
        <v>85</v>
      </c>
      <c r="M1487" t="s">
        <v>422</v>
      </c>
      <c r="N1487">
        <v>7.7540047892240005E-2</v>
      </c>
      <c r="O1487">
        <v>6874.9998480000004</v>
      </c>
      <c r="P1487" t="s">
        <v>421</v>
      </c>
      <c r="Q1487">
        <v>1</v>
      </c>
      <c r="V1487">
        <v>1</v>
      </c>
      <c r="W1487">
        <v>1</v>
      </c>
      <c r="X1487">
        <v>1</v>
      </c>
      <c r="Y1487">
        <v>1</v>
      </c>
      <c r="Z1487">
        <v>6874.9998480000004</v>
      </c>
    </row>
    <row r="1488" spans="1:26" x14ac:dyDescent="0.25">
      <c r="A1488">
        <v>150372</v>
      </c>
      <c r="B1488" t="s">
        <v>443</v>
      </c>
      <c r="C1488">
        <v>2020</v>
      </c>
      <c r="D1488">
        <v>1</v>
      </c>
      <c r="E1488" t="s">
        <v>415</v>
      </c>
      <c r="F1488" t="s">
        <v>429</v>
      </c>
      <c r="G1488" t="s">
        <v>430</v>
      </c>
      <c r="H1488" t="s">
        <v>84</v>
      </c>
      <c r="I1488" t="s">
        <v>431</v>
      </c>
      <c r="J1488" t="s">
        <v>419</v>
      </c>
      <c r="K1488">
        <v>-88663.858673399998</v>
      </c>
      <c r="L1488" t="s">
        <v>85</v>
      </c>
      <c r="M1488" t="s">
        <v>423</v>
      </c>
      <c r="N1488">
        <v>0.73979703899049998</v>
      </c>
      <c r="O1488">
        <v>65593.260112000004</v>
      </c>
      <c r="P1488" t="s">
        <v>421</v>
      </c>
      <c r="Q1488">
        <v>1</v>
      </c>
      <c r="V1488">
        <v>1</v>
      </c>
      <c r="W1488">
        <v>1</v>
      </c>
      <c r="X1488">
        <v>1</v>
      </c>
      <c r="Y1488">
        <v>1</v>
      </c>
      <c r="Z1488">
        <v>65593.260112000004</v>
      </c>
    </row>
    <row r="1489" spans="1:26" x14ac:dyDescent="0.25">
      <c r="A1489">
        <v>150373</v>
      </c>
      <c r="B1489" t="s">
        <v>443</v>
      </c>
      <c r="C1489">
        <v>2020</v>
      </c>
      <c r="D1489">
        <v>1</v>
      </c>
      <c r="E1489" t="s">
        <v>415</v>
      </c>
      <c r="F1489" t="s">
        <v>429</v>
      </c>
      <c r="G1489" t="s">
        <v>430</v>
      </c>
      <c r="H1489" t="s">
        <v>84</v>
      </c>
      <c r="I1489" t="s">
        <v>431</v>
      </c>
      <c r="J1489" t="s">
        <v>419</v>
      </c>
      <c r="K1489">
        <v>-88663.858673399998</v>
      </c>
      <c r="L1489" t="s">
        <v>85</v>
      </c>
      <c r="M1489" t="s">
        <v>424</v>
      </c>
      <c r="N1489">
        <v>2.9085775596699999E-3</v>
      </c>
      <c r="O1489">
        <v>257.88571000000002</v>
      </c>
      <c r="P1489" t="s">
        <v>421</v>
      </c>
      <c r="Q1489">
        <v>1</v>
      </c>
      <c r="V1489">
        <v>1</v>
      </c>
      <c r="W1489">
        <v>1</v>
      </c>
      <c r="X1489">
        <v>1</v>
      </c>
      <c r="Y1489">
        <v>1</v>
      </c>
      <c r="Z1489">
        <v>257.88571000000002</v>
      </c>
    </row>
    <row r="1490" spans="1:26" x14ac:dyDescent="0.25">
      <c r="A1490">
        <v>150374</v>
      </c>
      <c r="B1490" t="s">
        <v>443</v>
      </c>
      <c r="C1490">
        <v>2020</v>
      </c>
      <c r="D1490">
        <v>1</v>
      </c>
      <c r="E1490" t="s">
        <v>415</v>
      </c>
      <c r="F1490" t="s">
        <v>429</v>
      </c>
      <c r="G1490" t="s">
        <v>430</v>
      </c>
      <c r="H1490" t="s">
        <v>84</v>
      </c>
      <c r="I1490" t="s">
        <v>431</v>
      </c>
      <c r="J1490" t="s">
        <v>419</v>
      </c>
      <c r="K1490">
        <v>-88663.858673399998</v>
      </c>
      <c r="L1490" t="s">
        <v>85</v>
      </c>
      <c r="M1490" t="s">
        <v>425</v>
      </c>
      <c r="N1490">
        <v>2.6170694898000001E-3</v>
      </c>
      <c r="O1490">
        <v>232.039479</v>
      </c>
      <c r="P1490" t="s">
        <v>421</v>
      </c>
      <c r="Q1490">
        <v>1</v>
      </c>
      <c r="V1490">
        <v>1</v>
      </c>
      <c r="W1490">
        <v>1</v>
      </c>
      <c r="X1490">
        <v>1</v>
      </c>
      <c r="Y1490">
        <v>1</v>
      </c>
      <c r="Z1490">
        <v>232.039479</v>
      </c>
    </row>
    <row r="1491" spans="1:26" x14ac:dyDescent="0.25">
      <c r="A1491">
        <v>150375</v>
      </c>
      <c r="B1491" t="s">
        <v>443</v>
      </c>
      <c r="C1491">
        <v>2020</v>
      </c>
      <c r="D1491">
        <v>1</v>
      </c>
      <c r="E1491" t="s">
        <v>415</v>
      </c>
      <c r="F1491" t="s">
        <v>429</v>
      </c>
      <c r="G1491" t="s">
        <v>430</v>
      </c>
      <c r="H1491" t="s">
        <v>84</v>
      </c>
      <c r="I1491" t="s">
        <v>432</v>
      </c>
      <c r="J1491" t="s">
        <v>87</v>
      </c>
      <c r="K1491">
        <v>-22703.95560945</v>
      </c>
      <c r="L1491" t="s">
        <v>427</v>
      </c>
      <c r="M1491" t="s">
        <v>420</v>
      </c>
      <c r="N1491">
        <v>0.45523813654234002</v>
      </c>
      <c r="O1491">
        <v>10335.706443999999</v>
      </c>
      <c r="P1491" t="s">
        <v>421</v>
      </c>
      <c r="Q1491">
        <v>1</v>
      </c>
      <c r="V1491">
        <v>1</v>
      </c>
      <c r="W1491">
        <v>1</v>
      </c>
      <c r="X1491">
        <v>1</v>
      </c>
      <c r="Y1491">
        <v>1</v>
      </c>
      <c r="Z1491">
        <v>10335.706443999999</v>
      </c>
    </row>
    <row r="1492" spans="1:26" x14ac:dyDescent="0.25">
      <c r="A1492">
        <v>150376</v>
      </c>
      <c r="B1492" t="s">
        <v>443</v>
      </c>
      <c r="C1492">
        <v>2020</v>
      </c>
      <c r="D1492">
        <v>1</v>
      </c>
      <c r="E1492" t="s">
        <v>415</v>
      </c>
      <c r="F1492" t="s">
        <v>429</v>
      </c>
      <c r="G1492" t="s">
        <v>430</v>
      </c>
      <c r="H1492" t="s">
        <v>84</v>
      </c>
      <c r="I1492" t="s">
        <v>432</v>
      </c>
      <c r="J1492" t="s">
        <v>87</v>
      </c>
      <c r="K1492">
        <v>-22703.95560945</v>
      </c>
      <c r="L1492" t="s">
        <v>427</v>
      </c>
      <c r="M1492" t="s">
        <v>422</v>
      </c>
      <c r="N1492">
        <v>6.8896616392329996E-2</v>
      </c>
      <c r="O1492">
        <v>1564.2257199999999</v>
      </c>
      <c r="P1492" t="s">
        <v>421</v>
      </c>
      <c r="Q1492">
        <v>1</v>
      </c>
      <c r="V1492">
        <v>1</v>
      </c>
      <c r="W1492">
        <v>1</v>
      </c>
      <c r="X1492">
        <v>1</v>
      </c>
      <c r="Y1492">
        <v>1</v>
      </c>
      <c r="Z1492">
        <v>1564.2257199999999</v>
      </c>
    </row>
    <row r="1493" spans="1:26" x14ac:dyDescent="0.25">
      <c r="A1493">
        <v>150377</v>
      </c>
      <c r="B1493" t="s">
        <v>443</v>
      </c>
      <c r="C1493">
        <v>2020</v>
      </c>
      <c r="D1493">
        <v>1</v>
      </c>
      <c r="E1493" t="s">
        <v>415</v>
      </c>
      <c r="F1493" t="s">
        <v>429</v>
      </c>
      <c r="G1493" t="s">
        <v>430</v>
      </c>
      <c r="H1493" t="s">
        <v>84</v>
      </c>
      <c r="I1493" t="s">
        <v>432</v>
      </c>
      <c r="J1493" t="s">
        <v>87</v>
      </c>
      <c r="K1493">
        <v>-22703.95560945</v>
      </c>
      <c r="L1493" t="s">
        <v>427</v>
      </c>
      <c r="M1493" t="s">
        <v>423</v>
      </c>
      <c r="N1493">
        <v>0.70986919705586005</v>
      </c>
      <c r="O1493">
        <v>16116.838738</v>
      </c>
      <c r="P1493" t="s">
        <v>421</v>
      </c>
      <c r="Q1493">
        <v>1</v>
      </c>
      <c r="V1493">
        <v>1</v>
      </c>
      <c r="W1493">
        <v>1</v>
      </c>
      <c r="X1493">
        <v>1</v>
      </c>
      <c r="Y1493">
        <v>1</v>
      </c>
      <c r="Z1493">
        <v>16116.838738</v>
      </c>
    </row>
    <row r="1494" spans="1:26" x14ac:dyDescent="0.25">
      <c r="A1494">
        <v>150378</v>
      </c>
      <c r="B1494" t="s">
        <v>443</v>
      </c>
      <c r="C1494">
        <v>2020</v>
      </c>
      <c r="D1494">
        <v>1</v>
      </c>
      <c r="E1494" t="s">
        <v>415</v>
      </c>
      <c r="F1494" t="s">
        <v>429</v>
      </c>
      <c r="G1494" t="s">
        <v>430</v>
      </c>
      <c r="H1494" t="s">
        <v>84</v>
      </c>
      <c r="I1494" t="s">
        <v>432</v>
      </c>
      <c r="J1494" t="s">
        <v>87</v>
      </c>
      <c r="K1494">
        <v>-22703.95560945</v>
      </c>
      <c r="L1494" t="s">
        <v>427</v>
      </c>
      <c r="M1494" t="s">
        <v>425</v>
      </c>
      <c r="N1494">
        <v>1.4965642882E-3</v>
      </c>
      <c r="O1494">
        <v>33.977929000000003</v>
      </c>
      <c r="P1494" t="s">
        <v>421</v>
      </c>
      <c r="Q1494">
        <v>1</v>
      </c>
      <c r="V1494">
        <v>1</v>
      </c>
      <c r="W1494">
        <v>1</v>
      </c>
      <c r="X1494">
        <v>1</v>
      </c>
      <c r="Y1494">
        <v>1</v>
      </c>
      <c r="Z1494">
        <v>33.977929000000003</v>
      </c>
    </row>
    <row r="1495" spans="1:26" x14ac:dyDescent="0.25">
      <c r="A1495">
        <v>150379</v>
      </c>
      <c r="B1495" t="s">
        <v>443</v>
      </c>
      <c r="C1495">
        <v>2020</v>
      </c>
      <c r="D1495">
        <v>1</v>
      </c>
      <c r="E1495" t="s">
        <v>415</v>
      </c>
      <c r="F1495" t="s">
        <v>429</v>
      </c>
      <c r="G1495" t="s">
        <v>430</v>
      </c>
      <c r="H1495" t="s">
        <v>84</v>
      </c>
      <c r="I1495" t="s">
        <v>433</v>
      </c>
      <c r="J1495" t="s">
        <v>59</v>
      </c>
      <c r="K1495">
        <v>-35967.027368579998</v>
      </c>
      <c r="L1495" t="s">
        <v>89</v>
      </c>
      <c r="M1495" t="s">
        <v>420</v>
      </c>
      <c r="N1495">
        <v>0.26343870574139999</v>
      </c>
      <c r="O1495">
        <v>9475.1071389999997</v>
      </c>
      <c r="P1495" t="s">
        <v>421</v>
      </c>
      <c r="Q1495">
        <v>1</v>
      </c>
      <c r="V1495">
        <v>1</v>
      </c>
      <c r="W1495">
        <v>1</v>
      </c>
      <c r="X1495">
        <v>1</v>
      </c>
      <c r="Y1495">
        <v>1</v>
      </c>
      <c r="Z1495">
        <v>9475.1071389999997</v>
      </c>
    </row>
    <row r="1496" spans="1:26" x14ac:dyDescent="0.25">
      <c r="A1496">
        <v>150380</v>
      </c>
      <c r="B1496" t="s">
        <v>443</v>
      </c>
      <c r="C1496">
        <v>2020</v>
      </c>
      <c r="D1496">
        <v>1</v>
      </c>
      <c r="E1496" t="s">
        <v>415</v>
      </c>
      <c r="F1496" t="s">
        <v>429</v>
      </c>
      <c r="G1496" t="s">
        <v>430</v>
      </c>
      <c r="H1496" t="s">
        <v>84</v>
      </c>
      <c r="I1496" t="s">
        <v>433</v>
      </c>
      <c r="J1496" t="s">
        <v>59</v>
      </c>
      <c r="K1496">
        <v>-35967.027368579998</v>
      </c>
      <c r="L1496" t="s">
        <v>89</v>
      </c>
      <c r="M1496" t="s">
        <v>422</v>
      </c>
      <c r="N1496">
        <v>7.1262429683470005E-2</v>
      </c>
      <c r="O1496">
        <v>2563.0977590000002</v>
      </c>
      <c r="P1496" t="s">
        <v>421</v>
      </c>
      <c r="Q1496">
        <v>1</v>
      </c>
      <c r="V1496">
        <v>1</v>
      </c>
      <c r="W1496">
        <v>1</v>
      </c>
      <c r="X1496">
        <v>1</v>
      </c>
      <c r="Y1496">
        <v>1</v>
      </c>
      <c r="Z1496">
        <v>2563.0977590000002</v>
      </c>
    </row>
    <row r="1497" spans="1:26" x14ac:dyDescent="0.25">
      <c r="A1497">
        <v>150381</v>
      </c>
      <c r="B1497" t="s">
        <v>443</v>
      </c>
      <c r="C1497">
        <v>2020</v>
      </c>
      <c r="D1497">
        <v>1</v>
      </c>
      <c r="E1497" t="s">
        <v>415</v>
      </c>
      <c r="F1497" t="s">
        <v>429</v>
      </c>
      <c r="G1497" t="s">
        <v>430</v>
      </c>
      <c r="H1497" t="s">
        <v>84</v>
      </c>
      <c r="I1497" t="s">
        <v>433</v>
      </c>
      <c r="J1497" t="s">
        <v>59</v>
      </c>
      <c r="K1497">
        <v>-35967.027368579998</v>
      </c>
      <c r="L1497" t="s">
        <v>89</v>
      </c>
      <c r="M1497" t="s">
        <v>423</v>
      </c>
      <c r="N1497">
        <v>0.74738783869542003</v>
      </c>
      <c r="O1497">
        <v>26881.318848999999</v>
      </c>
      <c r="P1497" t="s">
        <v>421</v>
      </c>
      <c r="Q1497">
        <v>1</v>
      </c>
      <c r="V1497">
        <v>1</v>
      </c>
      <c r="W1497">
        <v>1</v>
      </c>
      <c r="X1497">
        <v>1</v>
      </c>
      <c r="Y1497">
        <v>1</v>
      </c>
      <c r="Z1497">
        <v>26881.318848999999</v>
      </c>
    </row>
    <row r="1498" spans="1:26" x14ac:dyDescent="0.25">
      <c r="A1498">
        <v>150382</v>
      </c>
      <c r="B1498" t="s">
        <v>443</v>
      </c>
      <c r="C1498">
        <v>2020</v>
      </c>
      <c r="D1498">
        <v>1</v>
      </c>
      <c r="E1498" t="s">
        <v>415</v>
      </c>
      <c r="F1498" t="s">
        <v>429</v>
      </c>
      <c r="G1498" t="s">
        <v>430</v>
      </c>
      <c r="H1498" t="s">
        <v>84</v>
      </c>
      <c r="I1498" t="s">
        <v>433</v>
      </c>
      <c r="J1498" t="s">
        <v>59</v>
      </c>
      <c r="K1498">
        <v>-35967.027368579998</v>
      </c>
      <c r="L1498" t="s">
        <v>89</v>
      </c>
      <c r="M1498" t="s">
        <v>424</v>
      </c>
      <c r="N1498">
        <v>3.08071516317E-3</v>
      </c>
      <c r="O1498">
        <v>110.80416700000001</v>
      </c>
      <c r="P1498" t="s">
        <v>421</v>
      </c>
      <c r="Q1498">
        <v>1</v>
      </c>
      <c r="V1498">
        <v>1</v>
      </c>
      <c r="W1498">
        <v>1</v>
      </c>
      <c r="X1498">
        <v>1</v>
      </c>
      <c r="Y1498">
        <v>1</v>
      </c>
      <c r="Z1498">
        <v>110.80416700000001</v>
      </c>
    </row>
    <row r="1499" spans="1:26" x14ac:dyDescent="0.25">
      <c r="A1499">
        <v>150383</v>
      </c>
      <c r="B1499" t="s">
        <v>443</v>
      </c>
      <c r="C1499">
        <v>2020</v>
      </c>
      <c r="D1499">
        <v>1</v>
      </c>
      <c r="E1499" t="s">
        <v>415</v>
      </c>
      <c r="F1499" t="s">
        <v>429</v>
      </c>
      <c r="G1499" t="s">
        <v>430</v>
      </c>
      <c r="H1499" t="s">
        <v>84</v>
      </c>
      <c r="I1499" t="s">
        <v>433</v>
      </c>
      <c r="J1499" t="s">
        <v>59</v>
      </c>
      <c r="K1499">
        <v>-35967.027368579998</v>
      </c>
      <c r="L1499" t="s">
        <v>89</v>
      </c>
      <c r="M1499" t="s">
        <v>425</v>
      </c>
      <c r="N1499">
        <v>2.5360775708E-3</v>
      </c>
      <c r="O1499">
        <v>91.215170999999998</v>
      </c>
      <c r="P1499" t="s">
        <v>421</v>
      </c>
      <c r="Q1499">
        <v>1</v>
      </c>
      <c r="V1499">
        <v>1</v>
      </c>
      <c r="W1499">
        <v>1</v>
      </c>
      <c r="X1499">
        <v>1</v>
      </c>
      <c r="Y1499">
        <v>1</v>
      </c>
      <c r="Z1499">
        <v>91.215170999999998</v>
      </c>
    </row>
    <row r="1500" spans="1:26" x14ac:dyDescent="0.25">
      <c r="A1500">
        <v>150384</v>
      </c>
      <c r="B1500" t="s">
        <v>443</v>
      </c>
      <c r="C1500">
        <v>2020</v>
      </c>
      <c r="D1500">
        <v>1</v>
      </c>
      <c r="E1500" t="s">
        <v>415</v>
      </c>
      <c r="F1500" t="s">
        <v>434</v>
      </c>
      <c r="G1500" t="s">
        <v>435</v>
      </c>
      <c r="H1500" t="s">
        <v>84</v>
      </c>
      <c r="I1500" t="s">
        <v>436</v>
      </c>
      <c r="J1500" t="s">
        <v>419</v>
      </c>
      <c r="K1500">
        <v>-46059.705815319998</v>
      </c>
      <c r="L1500" t="s">
        <v>85</v>
      </c>
      <c r="M1500" t="s">
        <v>420</v>
      </c>
      <c r="N1500">
        <v>0.24824931095561001</v>
      </c>
      <c r="O1500">
        <v>11434.290231000001</v>
      </c>
      <c r="P1500" t="s">
        <v>421</v>
      </c>
      <c r="Q1500">
        <v>1</v>
      </c>
      <c r="V1500">
        <v>1</v>
      </c>
      <c r="W1500">
        <v>1</v>
      </c>
      <c r="X1500">
        <v>1</v>
      </c>
      <c r="Y1500">
        <v>1</v>
      </c>
      <c r="Z1500">
        <v>11434.290231000001</v>
      </c>
    </row>
    <row r="1501" spans="1:26" x14ac:dyDescent="0.25">
      <c r="A1501">
        <v>150385</v>
      </c>
      <c r="B1501" t="s">
        <v>443</v>
      </c>
      <c r="C1501">
        <v>2020</v>
      </c>
      <c r="D1501">
        <v>1</v>
      </c>
      <c r="E1501" t="s">
        <v>415</v>
      </c>
      <c r="F1501" t="s">
        <v>434</v>
      </c>
      <c r="G1501" t="s">
        <v>435</v>
      </c>
      <c r="H1501" t="s">
        <v>84</v>
      </c>
      <c r="I1501" t="s">
        <v>436</v>
      </c>
      <c r="J1501" t="s">
        <v>419</v>
      </c>
      <c r="K1501">
        <v>-46059.705815319998</v>
      </c>
      <c r="L1501" t="s">
        <v>85</v>
      </c>
      <c r="M1501" t="s">
        <v>422</v>
      </c>
      <c r="N1501">
        <v>7.7540047892240005E-2</v>
      </c>
      <c r="O1501">
        <v>3571.4717949999999</v>
      </c>
      <c r="P1501" t="s">
        <v>421</v>
      </c>
      <c r="Q1501">
        <v>1</v>
      </c>
      <c r="V1501">
        <v>1</v>
      </c>
      <c r="W1501">
        <v>1</v>
      </c>
      <c r="X1501">
        <v>1</v>
      </c>
      <c r="Y1501">
        <v>1</v>
      </c>
      <c r="Z1501">
        <v>3571.4717949999999</v>
      </c>
    </row>
    <row r="1502" spans="1:26" x14ac:dyDescent="0.25">
      <c r="A1502">
        <v>150386</v>
      </c>
      <c r="B1502" t="s">
        <v>443</v>
      </c>
      <c r="C1502">
        <v>2020</v>
      </c>
      <c r="D1502">
        <v>1</v>
      </c>
      <c r="E1502" t="s">
        <v>415</v>
      </c>
      <c r="F1502" t="s">
        <v>434</v>
      </c>
      <c r="G1502" t="s">
        <v>435</v>
      </c>
      <c r="H1502" t="s">
        <v>84</v>
      </c>
      <c r="I1502" t="s">
        <v>436</v>
      </c>
      <c r="J1502" t="s">
        <v>419</v>
      </c>
      <c r="K1502">
        <v>-46059.705815319998</v>
      </c>
      <c r="L1502" t="s">
        <v>85</v>
      </c>
      <c r="M1502" t="s">
        <v>423</v>
      </c>
      <c r="N1502">
        <v>0.73979703899049998</v>
      </c>
      <c r="O1502">
        <v>34074.833979000003</v>
      </c>
      <c r="P1502" t="s">
        <v>421</v>
      </c>
      <c r="Q1502">
        <v>1</v>
      </c>
      <c r="V1502">
        <v>1</v>
      </c>
      <c r="W1502">
        <v>1</v>
      </c>
      <c r="X1502">
        <v>1</v>
      </c>
      <c r="Y1502">
        <v>1</v>
      </c>
      <c r="Z1502">
        <v>34074.833979000003</v>
      </c>
    </row>
    <row r="1503" spans="1:26" x14ac:dyDescent="0.25">
      <c r="A1503">
        <v>150387</v>
      </c>
      <c r="B1503" t="s">
        <v>443</v>
      </c>
      <c r="C1503">
        <v>2020</v>
      </c>
      <c r="D1503">
        <v>1</v>
      </c>
      <c r="E1503" t="s">
        <v>415</v>
      </c>
      <c r="F1503" t="s">
        <v>434</v>
      </c>
      <c r="G1503" t="s">
        <v>435</v>
      </c>
      <c r="H1503" t="s">
        <v>84</v>
      </c>
      <c r="I1503" t="s">
        <v>436</v>
      </c>
      <c r="J1503" t="s">
        <v>419</v>
      </c>
      <c r="K1503">
        <v>-46059.705815319998</v>
      </c>
      <c r="L1503" t="s">
        <v>85</v>
      </c>
      <c r="M1503" t="s">
        <v>424</v>
      </c>
      <c r="N1503">
        <v>2.9085775596699999E-3</v>
      </c>
      <c r="O1503">
        <v>133.96822700000001</v>
      </c>
      <c r="P1503" t="s">
        <v>421</v>
      </c>
      <c r="Q1503">
        <v>1</v>
      </c>
      <c r="V1503">
        <v>1</v>
      </c>
      <c r="W1503">
        <v>1</v>
      </c>
      <c r="X1503">
        <v>1</v>
      </c>
      <c r="Y1503">
        <v>1</v>
      </c>
      <c r="Z1503">
        <v>133.96822700000001</v>
      </c>
    </row>
    <row r="1504" spans="1:26" x14ac:dyDescent="0.25">
      <c r="A1504">
        <v>150388</v>
      </c>
      <c r="B1504" t="s">
        <v>443</v>
      </c>
      <c r="C1504">
        <v>2020</v>
      </c>
      <c r="D1504">
        <v>1</v>
      </c>
      <c r="E1504" t="s">
        <v>415</v>
      </c>
      <c r="F1504" t="s">
        <v>434</v>
      </c>
      <c r="G1504" t="s">
        <v>435</v>
      </c>
      <c r="H1504" t="s">
        <v>84</v>
      </c>
      <c r="I1504" t="s">
        <v>436</v>
      </c>
      <c r="J1504" t="s">
        <v>419</v>
      </c>
      <c r="K1504">
        <v>-46059.705815319998</v>
      </c>
      <c r="L1504" t="s">
        <v>85</v>
      </c>
      <c r="M1504" t="s">
        <v>425</v>
      </c>
      <c r="N1504">
        <v>2.6170694898000001E-3</v>
      </c>
      <c r="O1504">
        <v>120.541451</v>
      </c>
      <c r="P1504" t="s">
        <v>421</v>
      </c>
      <c r="Q1504">
        <v>1</v>
      </c>
      <c r="V1504">
        <v>1</v>
      </c>
      <c r="W1504">
        <v>1</v>
      </c>
      <c r="X1504">
        <v>1</v>
      </c>
      <c r="Y1504">
        <v>1</v>
      </c>
      <c r="Z1504">
        <v>120.541451</v>
      </c>
    </row>
    <row r="1505" spans="1:26" x14ac:dyDescent="0.25">
      <c r="A1505">
        <v>150389</v>
      </c>
      <c r="B1505" t="s">
        <v>443</v>
      </c>
      <c r="C1505">
        <v>2020</v>
      </c>
      <c r="D1505">
        <v>1</v>
      </c>
      <c r="E1505" t="s">
        <v>415</v>
      </c>
      <c r="F1505" t="s">
        <v>434</v>
      </c>
      <c r="G1505" t="s">
        <v>435</v>
      </c>
      <c r="H1505" t="s">
        <v>84</v>
      </c>
      <c r="I1505" t="s">
        <v>437</v>
      </c>
      <c r="J1505" t="s">
        <v>87</v>
      </c>
      <c r="K1505">
        <v>-10968.073763079999</v>
      </c>
      <c r="L1505" t="s">
        <v>427</v>
      </c>
      <c r="M1505" t="s">
        <v>420</v>
      </c>
      <c r="N1505">
        <v>0.45523813654234002</v>
      </c>
      <c r="O1505">
        <v>4993.0854609999997</v>
      </c>
      <c r="P1505" t="s">
        <v>421</v>
      </c>
      <c r="Q1505">
        <v>1</v>
      </c>
      <c r="V1505">
        <v>1</v>
      </c>
      <c r="W1505">
        <v>1</v>
      </c>
      <c r="X1505">
        <v>1</v>
      </c>
      <c r="Y1505">
        <v>1</v>
      </c>
      <c r="Z1505">
        <v>4993.0854609999997</v>
      </c>
    </row>
    <row r="1506" spans="1:26" x14ac:dyDescent="0.25">
      <c r="A1506">
        <v>150390</v>
      </c>
      <c r="B1506" t="s">
        <v>443</v>
      </c>
      <c r="C1506">
        <v>2020</v>
      </c>
      <c r="D1506">
        <v>1</v>
      </c>
      <c r="E1506" t="s">
        <v>415</v>
      </c>
      <c r="F1506" t="s">
        <v>434</v>
      </c>
      <c r="G1506" t="s">
        <v>435</v>
      </c>
      <c r="H1506" t="s">
        <v>84</v>
      </c>
      <c r="I1506" t="s">
        <v>437</v>
      </c>
      <c r="J1506" t="s">
        <v>87</v>
      </c>
      <c r="K1506">
        <v>-10968.073763079999</v>
      </c>
      <c r="L1506" t="s">
        <v>427</v>
      </c>
      <c r="M1506" t="s">
        <v>422</v>
      </c>
      <c r="N1506">
        <v>6.8896616392329996E-2</v>
      </c>
      <c r="O1506">
        <v>755.66317100000003</v>
      </c>
      <c r="P1506" t="s">
        <v>421</v>
      </c>
      <c r="Q1506">
        <v>1</v>
      </c>
      <c r="V1506">
        <v>1</v>
      </c>
      <c r="W1506">
        <v>1</v>
      </c>
      <c r="X1506">
        <v>1</v>
      </c>
      <c r="Y1506">
        <v>1</v>
      </c>
      <c r="Z1506">
        <v>755.66317100000003</v>
      </c>
    </row>
    <row r="1507" spans="1:26" x14ac:dyDescent="0.25">
      <c r="A1507">
        <v>150391</v>
      </c>
      <c r="B1507" t="s">
        <v>443</v>
      </c>
      <c r="C1507">
        <v>2020</v>
      </c>
      <c r="D1507">
        <v>1</v>
      </c>
      <c r="E1507" t="s">
        <v>415</v>
      </c>
      <c r="F1507" t="s">
        <v>434</v>
      </c>
      <c r="G1507" t="s">
        <v>435</v>
      </c>
      <c r="H1507" t="s">
        <v>84</v>
      </c>
      <c r="I1507" t="s">
        <v>437</v>
      </c>
      <c r="J1507" t="s">
        <v>87</v>
      </c>
      <c r="K1507">
        <v>-10968.073763079999</v>
      </c>
      <c r="L1507" t="s">
        <v>427</v>
      </c>
      <c r="M1507" t="s">
        <v>423</v>
      </c>
      <c r="N1507">
        <v>0.70986919705586005</v>
      </c>
      <c r="O1507">
        <v>7785.8977150000001</v>
      </c>
      <c r="P1507" t="s">
        <v>421</v>
      </c>
      <c r="Q1507">
        <v>1</v>
      </c>
      <c r="V1507">
        <v>1</v>
      </c>
      <c r="W1507">
        <v>1</v>
      </c>
      <c r="X1507">
        <v>1</v>
      </c>
      <c r="Y1507">
        <v>1</v>
      </c>
      <c r="Z1507">
        <v>7785.8977150000001</v>
      </c>
    </row>
    <row r="1508" spans="1:26" x14ac:dyDescent="0.25">
      <c r="A1508">
        <v>150392</v>
      </c>
      <c r="B1508" t="s">
        <v>443</v>
      </c>
      <c r="C1508">
        <v>2020</v>
      </c>
      <c r="D1508">
        <v>1</v>
      </c>
      <c r="E1508" t="s">
        <v>415</v>
      </c>
      <c r="F1508" t="s">
        <v>434</v>
      </c>
      <c r="G1508" t="s">
        <v>435</v>
      </c>
      <c r="H1508" t="s">
        <v>84</v>
      </c>
      <c r="I1508" t="s">
        <v>437</v>
      </c>
      <c r="J1508" t="s">
        <v>87</v>
      </c>
      <c r="K1508">
        <v>-10968.073763079999</v>
      </c>
      <c r="L1508" t="s">
        <v>427</v>
      </c>
      <c r="M1508" t="s">
        <v>425</v>
      </c>
      <c r="N1508">
        <v>1.4965642882E-3</v>
      </c>
      <c r="O1508">
        <v>16.414428000000001</v>
      </c>
      <c r="P1508" t="s">
        <v>421</v>
      </c>
      <c r="Q1508">
        <v>1</v>
      </c>
      <c r="V1508">
        <v>1</v>
      </c>
      <c r="W1508">
        <v>1</v>
      </c>
      <c r="X1508">
        <v>1</v>
      </c>
      <c r="Y1508">
        <v>1</v>
      </c>
      <c r="Z1508">
        <v>16.414428000000001</v>
      </c>
    </row>
    <row r="1509" spans="1:26" x14ac:dyDescent="0.25">
      <c r="A1509">
        <v>150393</v>
      </c>
      <c r="B1509" t="s">
        <v>443</v>
      </c>
      <c r="C1509">
        <v>2020</v>
      </c>
      <c r="D1509">
        <v>1</v>
      </c>
      <c r="E1509" t="s">
        <v>415</v>
      </c>
      <c r="F1509" t="s">
        <v>434</v>
      </c>
      <c r="G1509" t="s">
        <v>435</v>
      </c>
      <c r="H1509" t="s">
        <v>84</v>
      </c>
      <c r="I1509" t="s">
        <v>438</v>
      </c>
      <c r="J1509" t="s">
        <v>59</v>
      </c>
      <c r="K1509">
        <v>-16682.601017789999</v>
      </c>
      <c r="L1509" t="s">
        <v>89</v>
      </c>
      <c r="M1509" t="s">
        <v>420</v>
      </c>
      <c r="N1509">
        <v>0.26343870574139999</v>
      </c>
      <c r="O1509">
        <v>4394.8428210000002</v>
      </c>
      <c r="P1509" t="s">
        <v>421</v>
      </c>
      <c r="Q1509">
        <v>1</v>
      </c>
      <c r="V1509">
        <v>1</v>
      </c>
      <c r="W1509">
        <v>1</v>
      </c>
      <c r="X1509">
        <v>1</v>
      </c>
      <c r="Y1509">
        <v>1</v>
      </c>
      <c r="Z1509">
        <v>4394.8428210000002</v>
      </c>
    </row>
    <row r="1510" spans="1:26" x14ac:dyDescent="0.25">
      <c r="A1510">
        <v>150394</v>
      </c>
      <c r="B1510" t="s">
        <v>443</v>
      </c>
      <c r="C1510">
        <v>2020</v>
      </c>
      <c r="D1510">
        <v>1</v>
      </c>
      <c r="E1510" t="s">
        <v>415</v>
      </c>
      <c r="F1510" t="s">
        <v>434</v>
      </c>
      <c r="G1510" t="s">
        <v>435</v>
      </c>
      <c r="H1510" t="s">
        <v>84</v>
      </c>
      <c r="I1510" t="s">
        <v>438</v>
      </c>
      <c r="J1510" t="s">
        <v>59</v>
      </c>
      <c r="K1510">
        <v>-16682.601017789999</v>
      </c>
      <c r="L1510" t="s">
        <v>89</v>
      </c>
      <c r="M1510" t="s">
        <v>422</v>
      </c>
      <c r="N1510">
        <v>7.1262429683470005E-2</v>
      </c>
      <c r="O1510">
        <v>1188.842682</v>
      </c>
      <c r="P1510" t="s">
        <v>421</v>
      </c>
      <c r="Q1510">
        <v>1</v>
      </c>
      <c r="V1510">
        <v>1</v>
      </c>
      <c r="W1510">
        <v>1</v>
      </c>
      <c r="X1510">
        <v>1</v>
      </c>
      <c r="Y1510">
        <v>1</v>
      </c>
      <c r="Z1510">
        <v>1188.842682</v>
      </c>
    </row>
    <row r="1511" spans="1:26" x14ac:dyDescent="0.25">
      <c r="A1511">
        <v>150395</v>
      </c>
      <c r="B1511" t="s">
        <v>443</v>
      </c>
      <c r="C1511">
        <v>2020</v>
      </c>
      <c r="D1511">
        <v>1</v>
      </c>
      <c r="E1511" t="s">
        <v>415</v>
      </c>
      <c r="F1511" t="s">
        <v>434</v>
      </c>
      <c r="G1511" t="s">
        <v>435</v>
      </c>
      <c r="H1511" t="s">
        <v>84</v>
      </c>
      <c r="I1511" t="s">
        <v>438</v>
      </c>
      <c r="J1511" t="s">
        <v>59</v>
      </c>
      <c r="K1511">
        <v>-16682.601017789999</v>
      </c>
      <c r="L1511" t="s">
        <v>89</v>
      </c>
      <c r="M1511" t="s">
        <v>423</v>
      </c>
      <c r="N1511">
        <v>0.74738783869542003</v>
      </c>
      <c r="O1511">
        <v>12468.373119</v>
      </c>
      <c r="P1511" t="s">
        <v>421</v>
      </c>
      <c r="Q1511">
        <v>1</v>
      </c>
      <c r="V1511">
        <v>1</v>
      </c>
      <c r="W1511">
        <v>1</v>
      </c>
      <c r="X1511">
        <v>1</v>
      </c>
      <c r="Y1511">
        <v>1</v>
      </c>
      <c r="Z1511">
        <v>12468.373119</v>
      </c>
    </row>
    <row r="1512" spans="1:26" x14ac:dyDescent="0.25">
      <c r="A1512">
        <v>150396</v>
      </c>
      <c r="B1512" t="s">
        <v>443</v>
      </c>
      <c r="C1512">
        <v>2020</v>
      </c>
      <c r="D1512">
        <v>1</v>
      </c>
      <c r="E1512" t="s">
        <v>415</v>
      </c>
      <c r="F1512" t="s">
        <v>434</v>
      </c>
      <c r="G1512" t="s">
        <v>435</v>
      </c>
      <c r="H1512" t="s">
        <v>84</v>
      </c>
      <c r="I1512" t="s">
        <v>438</v>
      </c>
      <c r="J1512" t="s">
        <v>59</v>
      </c>
      <c r="K1512">
        <v>-16682.601017789999</v>
      </c>
      <c r="L1512" t="s">
        <v>89</v>
      </c>
      <c r="M1512" t="s">
        <v>424</v>
      </c>
      <c r="N1512">
        <v>3.08071516317E-3</v>
      </c>
      <c r="O1512">
        <v>51.394342000000002</v>
      </c>
      <c r="P1512" t="s">
        <v>421</v>
      </c>
      <c r="Q1512">
        <v>1</v>
      </c>
      <c r="V1512">
        <v>1</v>
      </c>
      <c r="W1512">
        <v>1</v>
      </c>
      <c r="X1512">
        <v>1</v>
      </c>
      <c r="Y1512">
        <v>1</v>
      </c>
      <c r="Z1512">
        <v>51.394342000000002</v>
      </c>
    </row>
    <row r="1513" spans="1:26" x14ac:dyDescent="0.25">
      <c r="A1513">
        <v>150397</v>
      </c>
      <c r="B1513" t="s">
        <v>443</v>
      </c>
      <c r="C1513">
        <v>2020</v>
      </c>
      <c r="D1513">
        <v>1</v>
      </c>
      <c r="E1513" t="s">
        <v>415</v>
      </c>
      <c r="F1513" t="s">
        <v>434</v>
      </c>
      <c r="G1513" t="s">
        <v>435</v>
      </c>
      <c r="H1513" t="s">
        <v>84</v>
      </c>
      <c r="I1513" t="s">
        <v>438</v>
      </c>
      <c r="J1513" t="s">
        <v>59</v>
      </c>
      <c r="K1513">
        <v>-16682.601017789999</v>
      </c>
      <c r="L1513" t="s">
        <v>89</v>
      </c>
      <c r="M1513" t="s">
        <v>425</v>
      </c>
      <c r="N1513">
        <v>2.5360775708E-3</v>
      </c>
      <c r="O1513">
        <v>42.308369999999996</v>
      </c>
      <c r="P1513" t="s">
        <v>421</v>
      </c>
      <c r="Q1513">
        <v>1</v>
      </c>
      <c r="V1513">
        <v>1</v>
      </c>
      <c r="W1513">
        <v>1</v>
      </c>
      <c r="X1513">
        <v>1</v>
      </c>
      <c r="Y1513">
        <v>1</v>
      </c>
      <c r="Z1513">
        <v>42.308369999999996</v>
      </c>
    </row>
    <row r="1514" spans="1:26" x14ac:dyDescent="0.25">
      <c r="A1514">
        <v>45799</v>
      </c>
      <c r="B1514" t="s">
        <v>116</v>
      </c>
      <c r="C1514">
        <v>2018</v>
      </c>
      <c r="D1514">
        <v>1</v>
      </c>
      <c r="E1514" t="s">
        <v>415</v>
      </c>
      <c r="F1514" t="s">
        <v>416</v>
      </c>
      <c r="G1514" t="s">
        <v>417</v>
      </c>
      <c r="H1514" t="s">
        <v>84</v>
      </c>
      <c r="I1514" t="s">
        <v>418</v>
      </c>
      <c r="J1514" t="s">
        <v>419</v>
      </c>
      <c r="K1514">
        <v>-18247.85089134</v>
      </c>
      <c r="L1514" t="s">
        <v>85</v>
      </c>
      <c r="M1514" t="s">
        <v>420</v>
      </c>
      <c r="N1514">
        <v>0.24824931095561001</v>
      </c>
      <c r="O1514">
        <v>4530.0164100000002</v>
      </c>
      <c r="P1514" t="s">
        <v>421</v>
      </c>
      <c r="Q1514">
        <v>1</v>
      </c>
      <c r="V1514">
        <v>1</v>
      </c>
      <c r="W1514">
        <v>1</v>
      </c>
      <c r="X1514">
        <v>1</v>
      </c>
      <c r="Y1514">
        <v>1</v>
      </c>
      <c r="Z1514">
        <v>4530.0164100000002</v>
      </c>
    </row>
    <row r="1515" spans="1:26" x14ac:dyDescent="0.25">
      <c r="A1515">
        <v>45800</v>
      </c>
      <c r="B1515" t="s">
        <v>116</v>
      </c>
      <c r="C1515">
        <v>2018</v>
      </c>
      <c r="D1515">
        <v>1</v>
      </c>
      <c r="E1515" t="s">
        <v>415</v>
      </c>
      <c r="F1515" t="s">
        <v>416</v>
      </c>
      <c r="G1515" t="s">
        <v>417</v>
      </c>
      <c r="H1515" t="s">
        <v>84</v>
      </c>
      <c r="I1515" t="s">
        <v>418</v>
      </c>
      <c r="J1515" t="s">
        <v>419</v>
      </c>
      <c r="K1515">
        <v>-18247.85089134</v>
      </c>
      <c r="L1515" t="s">
        <v>85</v>
      </c>
      <c r="M1515" t="s">
        <v>422</v>
      </c>
      <c r="N1515">
        <v>7.7540047892240005E-2</v>
      </c>
      <c r="O1515">
        <v>1414.9392319999999</v>
      </c>
      <c r="P1515" t="s">
        <v>421</v>
      </c>
      <c r="Q1515">
        <v>1</v>
      </c>
      <c r="V1515">
        <v>1</v>
      </c>
      <c r="W1515">
        <v>1</v>
      </c>
      <c r="X1515">
        <v>1</v>
      </c>
      <c r="Y1515">
        <v>1</v>
      </c>
      <c r="Z1515">
        <v>1414.9392319999999</v>
      </c>
    </row>
    <row r="1516" spans="1:26" x14ac:dyDescent="0.25">
      <c r="A1516">
        <v>45801</v>
      </c>
      <c r="B1516" t="s">
        <v>116</v>
      </c>
      <c r="C1516">
        <v>2018</v>
      </c>
      <c r="D1516">
        <v>1</v>
      </c>
      <c r="E1516" t="s">
        <v>415</v>
      </c>
      <c r="F1516" t="s">
        <v>416</v>
      </c>
      <c r="G1516" t="s">
        <v>417</v>
      </c>
      <c r="H1516" t="s">
        <v>84</v>
      </c>
      <c r="I1516" t="s">
        <v>418</v>
      </c>
      <c r="J1516" t="s">
        <v>419</v>
      </c>
      <c r="K1516">
        <v>-18247.85089134</v>
      </c>
      <c r="L1516" t="s">
        <v>85</v>
      </c>
      <c r="M1516" t="s">
        <v>423</v>
      </c>
      <c r="N1516">
        <v>0.73979703899049998</v>
      </c>
      <c r="O1516">
        <v>13499.706056999999</v>
      </c>
      <c r="P1516" t="s">
        <v>421</v>
      </c>
      <c r="Q1516">
        <v>1</v>
      </c>
      <c r="V1516">
        <v>1</v>
      </c>
      <c r="W1516">
        <v>1</v>
      </c>
      <c r="X1516">
        <v>1</v>
      </c>
      <c r="Y1516">
        <v>1</v>
      </c>
      <c r="Z1516">
        <v>13499.706056999999</v>
      </c>
    </row>
    <row r="1517" spans="1:26" x14ac:dyDescent="0.25">
      <c r="A1517">
        <v>45802</v>
      </c>
      <c r="B1517" t="s">
        <v>116</v>
      </c>
      <c r="C1517">
        <v>2018</v>
      </c>
      <c r="D1517">
        <v>1</v>
      </c>
      <c r="E1517" t="s">
        <v>415</v>
      </c>
      <c r="F1517" t="s">
        <v>416</v>
      </c>
      <c r="G1517" t="s">
        <v>417</v>
      </c>
      <c r="H1517" t="s">
        <v>84</v>
      </c>
      <c r="I1517" t="s">
        <v>418</v>
      </c>
      <c r="J1517" t="s">
        <v>419</v>
      </c>
      <c r="K1517">
        <v>-18247.85089134</v>
      </c>
      <c r="L1517" t="s">
        <v>85</v>
      </c>
      <c r="M1517" t="s">
        <v>424</v>
      </c>
      <c r="N1517">
        <v>2.9085775596699999E-3</v>
      </c>
      <c r="O1517">
        <v>53.075290000000003</v>
      </c>
      <c r="P1517" t="s">
        <v>421</v>
      </c>
      <c r="Q1517">
        <v>1</v>
      </c>
      <c r="V1517">
        <v>1</v>
      </c>
      <c r="W1517">
        <v>1</v>
      </c>
      <c r="X1517">
        <v>1</v>
      </c>
      <c r="Y1517">
        <v>1</v>
      </c>
      <c r="Z1517">
        <v>53.075290000000003</v>
      </c>
    </row>
    <row r="1518" spans="1:26" x14ac:dyDescent="0.25">
      <c r="A1518">
        <v>45803</v>
      </c>
      <c r="B1518" t="s">
        <v>116</v>
      </c>
      <c r="C1518">
        <v>2018</v>
      </c>
      <c r="D1518">
        <v>1</v>
      </c>
      <c r="E1518" t="s">
        <v>415</v>
      </c>
      <c r="F1518" t="s">
        <v>416</v>
      </c>
      <c r="G1518" t="s">
        <v>417</v>
      </c>
      <c r="H1518" t="s">
        <v>84</v>
      </c>
      <c r="I1518" t="s">
        <v>418</v>
      </c>
      <c r="J1518" t="s">
        <v>419</v>
      </c>
      <c r="K1518">
        <v>-18247.85089134</v>
      </c>
      <c r="L1518" t="s">
        <v>85</v>
      </c>
      <c r="M1518" t="s">
        <v>425</v>
      </c>
      <c r="N1518">
        <v>2.6170694898000001E-3</v>
      </c>
      <c r="O1518">
        <v>47.755893999999998</v>
      </c>
      <c r="P1518" t="s">
        <v>421</v>
      </c>
      <c r="Q1518">
        <v>1</v>
      </c>
      <c r="V1518">
        <v>1</v>
      </c>
      <c r="W1518">
        <v>1</v>
      </c>
      <c r="X1518">
        <v>1</v>
      </c>
      <c r="Y1518">
        <v>1</v>
      </c>
      <c r="Z1518">
        <v>47.755893999999998</v>
      </c>
    </row>
    <row r="1519" spans="1:26" x14ac:dyDescent="0.25">
      <c r="A1519">
        <v>45804</v>
      </c>
      <c r="B1519" t="s">
        <v>116</v>
      </c>
      <c r="C1519">
        <v>2018</v>
      </c>
      <c r="D1519">
        <v>1</v>
      </c>
      <c r="E1519" t="s">
        <v>415</v>
      </c>
      <c r="F1519" t="s">
        <v>416</v>
      </c>
      <c r="G1519" t="s">
        <v>417</v>
      </c>
      <c r="H1519" t="s">
        <v>84</v>
      </c>
      <c r="I1519" t="s">
        <v>426</v>
      </c>
      <c r="J1519" t="s">
        <v>87</v>
      </c>
      <c r="K1519">
        <v>-4949.6956029399998</v>
      </c>
      <c r="L1519" t="s">
        <v>427</v>
      </c>
      <c r="M1519" t="s">
        <v>420</v>
      </c>
      <c r="N1519">
        <v>0.45523813654234002</v>
      </c>
      <c r="O1519">
        <v>2253.290203</v>
      </c>
      <c r="P1519" t="s">
        <v>421</v>
      </c>
      <c r="Q1519">
        <v>1</v>
      </c>
      <c r="V1519">
        <v>1</v>
      </c>
      <c r="W1519">
        <v>1</v>
      </c>
      <c r="X1519">
        <v>1</v>
      </c>
      <c r="Y1519">
        <v>1</v>
      </c>
      <c r="Z1519">
        <v>2253.290203</v>
      </c>
    </row>
    <row r="1520" spans="1:26" x14ac:dyDescent="0.25">
      <c r="A1520">
        <v>45805</v>
      </c>
      <c r="B1520" t="s">
        <v>116</v>
      </c>
      <c r="C1520">
        <v>2018</v>
      </c>
      <c r="D1520">
        <v>1</v>
      </c>
      <c r="E1520" t="s">
        <v>415</v>
      </c>
      <c r="F1520" t="s">
        <v>416</v>
      </c>
      <c r="G1520" t="s">
        <v>417</v>
      </c>
      <c r="H1520" t="s">
        <v>84</v>
      </c>
      <c r="I1520" t="s">
        <v>426</v>
      </c>
      <c r="J1520" t="s">
        <v>87</v>
      </c>
      <c r="K1520">
        <v>-4949.6956029399998</v>
      </c>
      <c r="L1520" t="s">
        <v>427</v>
      </c>
      <c r="M1520" t="s">
        <v>422</v>
      </c>
      <c r="N1520">
        <v>6.8896616392329996E-2</v>
      </c>
      <c r="O1520">
        <v>341.01727899999997</v>
      </c>
      <c r="P1520" t="s">
        <v>421</v>
      </c>
      <c r="Q1520">
        <v>1</v>
      </c>
      <c r="V1520">
        <v>1</v>
      </c>
      <c r="W1520">
        <v>1</v>
      </c>
      <c r="X1520">
        <v>1</v>
      </c>
      <c r="Y1520">
        <v>1</v>
      </c>
      <c r="Z1520">
        <v>341.01727899999997</v>
      </c>
    </row>
    <row r="1521" spans="1:26" x14ac:dyDescent="0.25">
      <c r="A1521">
        <v>45806</v>
      </c>
      <c r="B1521" t="s">
        <v>116</v>
      </c>
      <c r="C1521">
        <v>2018</v>
      </c>
      <c r="D1521">
        <v>1</v>
      </c>
      <c r="E1521" t="s">
        <v>415</v>
      </c>
      <c r="F1521" t="s">
        <v>416</v>
      </c>
      <c r="G1521" t="s">
        <v>417</v>
      </c>
      <c r="H1521" t="s">
        <v>84</v>
      </c>
      <c r="I1521" t="s">
        <v>426</v>
      </c>
      <c r="J1521" t="s">
        <v>87</v>
      </c>
      <c r="K1521">
        <v>-4949.6956029399998</v>
      </c>
      <c r="L1521" t="s">
        <v>427</v>
      </c>
      <c r="M1521" t="s">
        <v>423</v>
      </c>
      <c r="N1521">
        <v>0.70986919705586005</v>
      </c>
      <c r="O1521">
        <v>3513.6364429999999</v>
      </c>
      <c r="P1521" t="s">
        <v>421</v>
      </c>
      <c r="Q1521">
        <v>1</v>
      </c>
      <c r="V1521">
        <v>1</v>
      </c>
      <c r="W1521">
        <v>1</v>
      </c>
      <c r="X1521">
        <v>1</v>
      </c>
      <c r="Y1521">
        <v>1</v>
      </c>
      <c r="Z1521">
        <v>3513.6364429999999</v>
      </c>
    </row>
    <row r="1522" spans="1:26" x14ac:dyDescent="0.25">
      <c r="A1522">
        <v>45807</v>
      </c>
      <c r="B1522" t="s">
        <v>116</v>
      </c>
      <c r="C1522">
        <v>2018</v>
      </c>
      <c r="D1522">
        <v>1</v>
      </c>
      <c r="E1522" t="s">
        <v>415</v>
      </c>
      <c r="F1522" t="s">
        <v>416</v>
      </c>
      <c r="G1522" t="s">
        <v>417</v>
      </c>
      <c r="H1522" t="s">
        <v>84</v>
      </c>
      <c r="I1522" t="s">
        <v>426</v>
      </c>
      <c r="J1522" t="s">
        <v>87</v>
      </c>
      <c r="K1522">
        <v>-4949.6956029399998</v>
      </c>
      <c r="L1522" t="s">
        <v>427</v>
      </c>
      <c r="M1522" t="s">
        <v>425</v>
      </c>
      <c r="N1522">
        <v>1.4965642882E-3</v>
      </c>
      <c r="O1522">
        <v>7.4075379999999997</v>
      </c>
      <c r="P1522" t="s">
        <v>421</v>
      </c>
      <c r="Q1522">
        <v>1</v>
      </c>
      <c r="V1522">
        <v>1</v>
      </c>
      <c r="W1522">
        <v>1</v>
      </c>
      <c r="X1522">
        <v>1</v>
      </c>
      <c r="Y1522">
        <v>1</v>
      </c>
      <c r="Z1522">
        <v>7.4075379999999997</v>
      </c>
    </row>
    <row r="1523" spans="1:26" x14ac:dyDescent="0.25">
      <c r="A1523">
        <v>45808</v>
      </c>
      <c r="B1523" t="s">
        <v>116</v>
      </c>
      <c r="C1523">
        <v>2018</v>
      </c>
      <c r="D1523">
        <v>1</v>
      </c>
      <c r="E1523" t="s">
        <v>415</v>
      </c>
      <c r="F1523" t="s">
        <v>416</v>
      </c>
      <c r="G1523" t="s">
        <v>417</v>
      </c>
      <c r="H1523" t="s">
        <v>84</v>
      </c>
      <c r="I1523" t="s">
        <v>428</v>
      </c>
      <c r="J1523" t="s">
        <v>59</v>
      </c>
      <c r="K1523">
        <v>-6920.8794868599998</v>
      </c>
      <c r="L1523" t="s">
        <v>89</v>
      </c>
      <c r="M1523" t="s">
        <v>420</v>
      </c>
      <c r="N1523">
        <v>0.26343870574139999</v>
      </c>
      <c r="O1523">
        <v>1823.227535</v>
      </c>
      <c r="P1523" t="s">
        <v>421</v>
      </c>
      <c r="Q1523">
        <v>1</v>
      </c>
      <c r="V1523">
        <v>1</v>
      </c>
      <c r="W1523">
        <v>1</v>
      </c>
      <c r="X1523">
        <v>1</v>
      </c>
      <c r="Y1523">
        <v>1</v>
      </c>
      <c r="Z1523">
        <v>1823.227535</v>
      </c>
    </row>
    <row r="1524" spans="1:26" x14ac:dyDescent="0.25">
      <c r="A1524">
        <v>45809</v>
      </c>
      <c r="B1524" t="s">
        <v>116</v>
      </c>
      <c r="C1524">
        <v>2018</v>
      </c>
      <c r="D1524">
        <v>1</v>
      </c>
      <c r="E1524" t="s">
        <v>415</v>
      </c>
      <c r="F1524" t="s">
        <v>416</v>
      </c>
      <c r="G1524" t="s">
        <v>417</v>
      </c>
      <c r="H1524" t="s">
        <v>84</v>
      </c>
      <c r="I1524" t="s">
        <v>428</v>
      </c>
      <c r="J1524" t="s">
        <v>59</v>
      </c>
      <c r="K1524">
        <v>-6920.8794868599998</v>
      </c>
      <c r="L1524" t="s">
        <v>89</v>
      </c>
      <c r="M1524" t="s">
        <v>422</v>
      </c>
      <c r="N1524">
        <v>7.1262429683470005E-2</v>
      </c>
      <c r="O1524">
        <v>493.198688</v>
      </c>
      <c r="P1524" t="s">
        <v>421</v>
      </c>
      <c r="Q1524">
        <v>1</v>
      </c>
      <c r="V1524">
        <v>1</v>
      </c>
      <c r="W1524">
        <v>1</v>
      </c>
      <c r="X1524">
        <v>1</v>
      </c>
      <c r="Y1524">
        <v>1</v>
      </c>
      <c r="Z1524">
        <v>493.198688</v>
      </c>
    </row>
    <row r="1525" spans="1:26" x14ac:dyDescent="0.25">
      <c r="A1525">
        <v>45810</v>
      </c>
      <c r="B1525" t="s">
        <v>116</v>
      </c>
      <c r="C1525">
        <v>2018</v>
      </c>
      <c r="D1525">
        <v>1</v>
      </c>
      <c r="E1525" t="s">
        <v>415</v>
      </c>
      <c r="F1525" t="s">
        <v>416</v>
      </c>
      <c r="G1525" t="s">
        <v>417</v>
      </c>
      <c r="H1525" t="s">
        <v>84</v>
      </c>
      <c r="I1525" t="s">
        <v>428</v>
      </c>
      <c r="J1525" t="s">
        <v>59</v>
      </c>
      <c r="K1525">
        <v>-6920.8794868599998</v>
      </c>
      <c r="L1525" t="s">
        <v>89</v>
      </c>
      <c r="M1525" t="s">
        <v>423</v>
      </c>
      <c r="N1525">
        <v>0.74738783869542003</v>
      </c>
      <c r="O1525">
        <v>5172.5811620000004</v>
      </c>
      <c r="P1525" t="s">
        <v>421</v>
      </c>
      <c r="Q1525">
        <v>1</v>
      </c>
      <c r="V1525">
        <v>1</v>
      </c>
      <c r="W1525">
        <v>1</v>
      </c>
      <c r="X1525">
        <v>1</v>
      </c>
      <c r="Y1525">
        <v>1</v>
      </c>
      <c r="Z1525">
        <v>5172.5811620000004</v>
      </c>
    </row>
    <row r="1526" spans="1:26" x14ac:dyDescent="0.25">
      <c r="A1526">
        <v>45811</v>
      </c>
      <c r="B1526" t="s">
        <v>116</v>
      </c>
      <c r="C1526">
        <v>2018</v>
      </c>
      <c r="D1526">
        <v>1</v>
      </c>
      <c r="E1526" t="s">
        <v>415</v>
      </c>
      <c r="F1526" t="s">
        <v>416</v>
      </c>
      <c r="G1526" t="s">
        <v>417</v>
      </c>
      <c r="H1526" t="s">
        <v>84</v>
      </c>
      <c r="I1526" t="s">
        <v>428</v>
      </c>
      <c r="J1526" t="s">
        <v>59</v>
      </c>
      <c r="K1526">
        <v>-6920.8794868599998</v>
      </c>
      <c r="L1526" t="s">
        <v>89</v>
      </c>
      <c r="M1526" t="s">
        <v>424</v>
      </c>
      <c r="N1526">
        <v>3.08071516317E-3</v>
      </c>
      <c r="O1526">
        <v>21.321258</v>
      </c>
      <c r="P1526" t="s">
        <v>421</v>
      </c>
      <c r="Q1526">
        <v>1</v>
      </c>
      <c r="V1526">
        <v>1</v>
      </c>
      <c r="W1526">
        <v>1</v>
      </c>
      <c r="X1526">
        <v>1</v>
      </c>
      <c r="Y1526">
        <v>1</v>
      </c>
      <c r="Z1526">
        <v>21.321258</v>
      </c>
    </row>
    <row r="1527" spans="1:26" x14ac:dyDescent="0.25">
      <c r="A1527">
        <v>45812</v>
      </c>
      <c r="B1527" t="s">
        <v>116</v>
      </c>
      <c r="C1527">
        <v>2018</v>
      </c>
      <c r="D1527">
        <v>1</v>
      </c>
      <c r="E1527" t="s">
        <v>415</v>
      </c>
      <c r="F1527" t="s">
        <v>416</v>
      </c>
      <c r="G1527" t="s">
        <v>417</v>
      </c>
      <c r="H1527" t="s">
        <v>84</v>
      </c>
      <c r="I1527" t="s">
        <v>428</v>
      </c>
      <c r="J1527" t="s">
        <v>59</v>
      </c>
      <c r="K1527">
        <v>-6920.8794868599998</v>
      </c>
      <c r="L1527" t="s">
        <v>89</v>
      </c>
      <c r="M1527" t="s">
        <v>425</v>
      </c>
      <c r="N1527">
        <v>2.5360775708E-3</v>
      </c>
      <c r="O1527">
        <v>17.551887000000001</v>
      </c>
      <c r="P1527" t="s">
        <v>421</v>
      </c>
      <c r="Q1527">
        <v>1</v>
      </c>
      <c r="V1527">
        <v>1</v>
      </c>
      <c r="W1527">
        <v>1</v>
      </c>
      <c r="X1527">
        <v>1</v>
      </c>
      <c r="Y1527">
        <v>1</v>
      </c>
      <c r="Z1527">
        <v>17.551887000000001</v>
      </c>
    </row>
    <row r="1528" spans="1:26" x14ac:dyDescent="0.25">
      <c r="A1528">
        <v>45813</v>
      </c>
      <c r="B1528" t="s">
        <v>116</v>
      </c>
      <c r="C1528">
        <v>2018</v>
      </c>
      <c r="D1528">
        <v>1</v>
      </c>
      <c r="E1528" t="s">
        <v>415</v>
      </c>
      <c r="F1528" t="s">
        <v>429</v>
      </c>
      <c r="G1528" t="s">
        <v>430</v>
      </c>
      <c r="H1528" t="s">
        <v>84</v>
      </c>
      <c r="I1528" t="s">
        <v>431</v>
      </c>
      <c r="J1528" t="s">
        <v>419</v>
      </c>
      <c r="K1528">
        <v>-26207.069045939999</v>
      </c>
      <c r="L1528" t="s">
        <v>85</v>
      </c>
      <c r="M1528" t="s">
        <v>420</v>
      </c>
      <c r="N1528">
        <v>0.24824931095561001</v>
      </c>
      <c r="O1528">
        <v>6505.8868329999996</v>
      </c>
      <c r="P1528" t="s">
        <v>421</v>
      </c>
      <c r="Q1528">
        <v>1</v>
      </c>
      <c r="V1528">
        <v>1</v>
      </c>
      <c r="W1528">
        <v>1</v>
      </c>
      <c r="X1528">
        <v>1</v>
      </c>
      <c r="Y1528">
        <v>1</v>
      </c>
      <c r="Z1528">
        <v>6505.8868329999996</v>
      </c>
    </row>
    <row r="1529" spans="1:26" x14ac:dyDescent="0.25">
      <c r="A1529">
        <v>45814</v>
      </c>
      <c r="B1529" t="s">
        <v>116</v>
      </c>
      <c r="C1529">
        <v>2018</v>
      </c>
      <c r="D1529">
        <v>1</v>
      </c>
      <c r="E1529" t="s">
        <v>415</v>
      </c>
      <c r="F1529" t="s">
        <v>429</v>
      </c>
      <c r="G1529" t="s">
        <v>430</v>
      </c>
      <c r="H1529" t="s">
        <v>84</v>
      </c>
      <c r="I1529" t="s">
        <v>431</v>
      </c>
      <c r="J1529" t="s">
        <v>419</v>
      </c>
      <c r="K1529">
        <v>-26207.069045939999</v>
      </c>
      <c r="L1529" t="s">
        <v>85</v>
      </c>
      <c r="M1529" t="s">
        <v>422</v>
      </c>
      <c r="N1529">
        <v>7.7540047892240005E-2</v>
      </c>
      <c r="O1529">
        <v>2032.097389</v>
      </c>
      <c r="P1529" t="s">
        <v>421</v>
      </c>
      <c r="Q1529">
        <v>1</v>
      </c>
      <c r="V1529">
        <v>1</v>
      </c>
      <c r="W1529">
        <v>1</v>
      </c>
      <c r="X1529">
        <v>1</v>
      </c>
      <c r="Y1529">
        <v>1</v>
      </c>
      <c r="Z1529">
        <v>2032.097389</v>
      </c>
    </row>
    <row r="1530" spans="1:26" x14ac:dyDescent="0.25">
      <c r="A1530">
        <v>45815</v>
      </c>
      <c r="B1530" t="s">
        <v>116</v>
      </c>
      <c r="C1530">
        <v>2018</v>
      </c>
      <c r="D1530">
        <v>1</v>
      </c>
      <c r="E1530" t="s">
        <v>415</v>
      </c>
      <c r="F1530" t="s">
        <v>429</v>
      </c>
      <c r="G1530" t="s">
        <v>430</v>
      </c>
      <c r="H1530" t="s">
        <v>84</v>
      </c>
      <c r="I1530" t="s">
        <v>431</v>
      </c>
      <c r="J1530" t="s">
        <v>419</v>
      </c>
      <c r="K1530">
        <v>-26207.069045939999</v>
      </c>
      <c r="L1530" t="s">
        <v>85</v>
      </c>
      <c r="M1530" t="s">
        <v>423</v>
      </c>
      <c r="N1530">
        <v>0.73979703899049998</v>
      </c>
      <c r="O1530">
        <v>19387.912080999999</v>
      </c>
      <c r="P1530" t="s">
        <v>421</v>
      </c>
      <c r="Q1530">
        <v>1</v>
      </c>
      <c r="V1530">
        <v>1</v>
      </c>
      <c r="W1530">
        <v>1</v>
      </c>
      <c r="X1530">
        <v>1</v>
      </c>
      <c r="Y1530">
        <v>1</v>
      </c>
      <c r="Z1530">
        <v>19387.912080999999</v>
      </c>
    </row>
    <row r="1531" spans="1:26" x14ac:dyDescent="0.25">
      <c r="A1531">
        <v>45816</v>
      </c>
      <c r="B1531" t="s">
        <v>116</v>
      </c>
      <c r="C1531">
        <v>2018</v>
      </c>
      <c r="D1531">
        <v>1</v>
      </c>
      <c r="E1531" t="s">
        <v>415</v>
      </c>
      <c r="F1531" t="s">
        <v>429</v>
      </c>
      <c r="G1531" t="s">
        <v>430</v>
      </c>
      <c r="H1531" t="s">
        <v>84</v>
      </c>
      <c r="I1531" t="s">
        <v>431</v>
      </c>
      <c r="J1531" t="s">
        <v>419</v>
      </c>
      <c r="K1531">
        <v>-26207.069045939999</v>
      </c>
      <c r="L1531" t="s">
        <v>85</v>
      </c>
      <c r="M1531" t="s">
        <v>424</v>
      </c>
      <c r="N1531">
        <v>2.9085775596699999E-3</v>
      </c>
      <c r="O1531">
        <v>76.225292999999994</v>
      </c>
      <c r="P1531" t="s">
        <v>421</v>
      </c>
      <c r="Q1531">
        <v>1</v>
      </c>
      <c r="V1531">
        <v>1</v>
      </c>
      <c r="W1531">
        <v>1</v>
      </c>
      <c r="X1531">
        <v>1</v>
      </c>
      <c r="Y1531">
        <v>1</v>
      </c>
      <c r="Z1531">
        <v>76.225292999999994</v>
      </c>
    </row>
    <row r="1532" spans="1:26" x14ac:dyDescent="0.25">
      <c r="A1532">
        <v>45817</v>
      </c>
      <c r="B1532" t="s">
        <v>116</v>
      </c>
      <c r="C1532">
        <v>2018</v>
      </c>
      <c r="D1532">
        <v>1</v>
      </c>
      <c r="E1532" t="s">
        <v>415</v>
      </c>
      <c r="F1532" t="s">
        <v>429</v>
      </c>
      <c r="G1532" t="s">
        <v>430</v>
      </c>
      <c r="H1532" t="s">
        <v>84</v>
      </c>
      <c r="I1532" t="s">
        <v>431</v>
      </c>
      <c r="J1532" t="s">
        <v>419</v>
      </c>
      <c r="K1532">
        <v>-26207.069045939999</v>
      </c>
      <c r="L1532" t="s">
        <v>85</v>
      </c>
      <c r="M1532" t="s">
        <v>425</v>
      </c>
      <c r="N1532">
        <v>2.6170694898000001E-3</v>
      </c>
      <c r="O1532">
        <v>68.585721000000007</v>
      </c>
      <c r="P1532" t="s">
        <v>421</v>
      </c>
      <c r="Q1532">
        <v>1</v>
      </c>
      <c r="V1532">
        <v>1</v>
      </c>
      <c r="W1532">
        <v>1</v>
      </c>
      <c r="X1532">
        <v>1</v>
      </c>
      <c r="Y1532">
        <v>1</v>
      </c>
      <c r="Z1532">
        <v>68.585721000000007</v>
      </c>
    </row>
    <row r="1533" spans="1:26" x14ac:dyDescent="0.25">
      <c r="A1533">
        <v>45818</v>
      </c>
      <c r="B1533" t="s">
        <v>116</v>
      </c>
      <c r="C1533">
        <v>2018</v>
      </c>
      <c r="D1533">
        <v>1</v>
      </c>
      <c r="E1533" t="s">
        <v>415</v>
      </c>
      <c r="F1533" t="s">
        <v>429</v>
      </c>
      <c r="G1533" t="s">
        <v>430</v>
      </c>
      <c r="H1533" t="s">
        <v>84</v>
      </c>
      <c r="I1533" t="s">
        <v>432</v>
      </c>
      <c r="J1533" t="s">
        <v>87</v>
      </c>
      <c r="K1533">
        <v>-7096.3808950299999</v>
      </c>
      <c r="L1533" t="s">
        <v>427</v>
      </c>
      <c r="M1533" t="s">
        <v>420</v>
      </c>
      <c r="N1533">
        <v>0.45523813654234002</v>
      </c>
      <c r="O1533">
        <v>3230.5432150000001</v>
      </c>
      <c r="P1533" t="s">
        <v>421</v>
      </c>
      <c r="Q1533">
        <v>1</v>
      </c>
      <c r="V1533">
        <v>1</v>
      </c>
      <c r="W1533">
        <v>1</v>
      </c>
      <c r="X1533">
        <v>1</v>
      </c>
      <c r="Y1533">
        <v>1</v>
      </c>
      <c r="Z1533">
        <v>3230.5432150000001</v>
      </c>
    </row>
    <row r="1534" spans="1:26" x14ac:dyDescent="0.25">
      <c r="A1534">
        <v>45819</v>
      </c>
      <c r="B1534" t="s">
        <v>116</v>
      </c>
      <c r="C1534">
        <v>2018</v>
      </c>
      <c r="D1534">
        <v>1</v>
      </c>
      <c r="E1534" t="s">
        <v>415</v>
      </c>
      <c r="F1534" t="s">
        <v>429</v>
      </c>
      <c r="G1534" t="s">
        <v>430</v>
      </c>
      <c r="H1534" t="s">
        <v>84</v>
      </c>
      <c r="I1534" t="s">
        <v>432</v>
      </c>
      <c r="J1534" t="s">
        <v>87</v>
      </c>
      <c r="K1534">
        <v>-7096.3808950299999</v>
      </c>
      <c r="L1534" t="s">
        <v>427</v>
      </c>
      <c r="M1534" t="s">
        <v>422</v>
      </c>
      <c r="N1534">
        <v>6.8896616392329996E-2</v>
      </c>
      <c r="O1534">
        <v>488.91663199999999</v>
      </c>
      <c r="P1534" t="s">
        <v>421</v>
      </c>
      <c r="Q1534">
        <v>1</v>
      </c>
      <c r="V1534">
        <v>1</v>
      </c>
      <c r="W1534">
        <v>1</v>
      </c>
      <c r="X1534">
        <v>1</v>
      </c>
      <c r="Y1534">
        <v>1</v>
      </c>
      <c r="Z1534">
        <v>488.91663199999999</v>
      </c>
    </row>
    <row r="1535" spans="1:26" x14ac:dyDescent="0.25">
      <c r="A1535">
        <v>45820</v>
      </c>
      <c r="B1535" t="s">
        <v>116</v>
      </c>
      <c r="C1535">
        <v>2018</v>
      </c>
      <c r="D1535">
        <v>1</v>
      </c>
      <c r="E1535" t="s">
        <v>415</v>
      </c>
      <c r="F1535" t="s">
        <v>429</v>
      </c>
      <c r="G1535" t="s">
        <v>430</v>
      </c>
      <c r="H1535" t="s">
        <v>84</v>
      </c>
      <c r="I1535" t="s">
        <v>432</v>
      </c>
      <c r="J1535" t="s">
        <v>87</v>
      </c>
      <c r="K1535">
        <v>-7096.3808950299999</v>
      </c>
      <c r="L1535" t="s">
        <v>427</v>
      </c>
      <c r="M1535" t="s">
        <v>423</v>
      </c>
      <c r="N1535">
        <v>0.70986919705586005</v>
      </c>
      <c r="O1535">
        <v>5037.5022079999999</v>
      </c>
      <c r="P1535" t="s">
        <v>421</v>
      </c>
      <c r="Q1535">
        <v>1</v>
      </c>
      <c r="V1535">
        <v>1</v>
      </c>
      <c r="W1535">
        <v>1</v>
      </c>
      <c r="X1535">
        <v>1</v>
      </c>
      <c r="Y1535">
        <v>1</v>
      </c>
      <c r="Z1535">
        <v>5037.5022079999999</v>
      </c>
    </row>
    <row r="1536" spans="1:26" x14ac:dyDescent="0.25">
      <c r="A1536">
        <v>45821</v>
      </c>
      <c r="B1536" t="s">
        <v>116</v>
      </c>
      <c r="C1536">
        <v>2018</v>
      </c>
      <c r="D1536">
        <v>1</v>
      </c>
      <c r="E1536" t="s">
        <v>415</v>
      </c>
      <c r="F1536" t="s">
        <v>429</v>
      </c>
      <c r="G1536" t="s">
        <v>430</v>
      </c>
      <c r="H1536" t="s">
        <v>84</v>
      </c>
      <c r="I1536" t="s">
        <v>432</v>
      </c>
      <c r="J1536" t="s">
        <v>87</v>
      </c>
      <c r="K1536">
        <v>-7096.3808950299999</v>
      </c>
      <c r="L1536" t="s">
        <v>427</v>
      </c>
      <c r="M1536" t="s">
        <v>425</v>
      </c>
      <c r="N1536">
        <v>1.4965642882E-3</v>
      </c>
      <c r="O1536">
        <v>10.620189999999999</v>
      </c>
      <c r="P1536" t="s">
        <v>421</v>
      </c>
      <c r="Q1536">
        <v>1</v>
      </c>
      <c r="V1536">
        <v>1</v>
      </c>
      <c r="W1536">
        <v>1</v>
      </c>
      <c r="X1536">
        <v>1</v>
      </c>
      <c r="Y1536">
        <v>1</v>
      </c>
      <c r="Z1536">
        <v>10.620189999999999</v>
      </c>
    </row>
    <row r="1537" spans="1:26" x14ac:dyDescent="0.25">
      <c r="A1537">
        <v>45822</v>
      </c>
      <c r="B1537" t="s">
        <v>116</v>
      </c>
      <c r="C1537">
        <v>2018</v>
      </c>
      <c r="D1537">
        <v>1</v>
      </c>
      <c r="E1537" t="s">
        <v>415</v>
      </c>
      <c r="F1537" t="s">
        <v>429</v>
      </c>
      <c r="G1537" t="s">
        <v>430</v>
      </c>
      <c r="H1537" t="s">
        <v>84</v>
      </c>
      <c r="I1537" t="s">
        <v>433</v>
      </c>
      <c r="J1537" t="s">
        <v>59</v>
      </c>
      <c r="K1537">
        <v>-9564.8664028799994</v>
      </c>
      <c r="L1537" t="s">
        <v>89</v>
      </c>
      <c r="M1537" t="s">
        <v>420</v>
      </c>
      <c r="N1537">
        <v>0.26343870574139999</v>
      </c>
      <c r="O1537">
        <v>2519.756026</v>
      </c>
      <c r="P1537" t="s">
        <v>421</v>
      </c>
      <c r="Q1537">
        <v>1</v>
      </c>
      <c r="V1537">
        <v>1</v>
      </c>
      <c r="W1537">
        <v>1</v>
      </c>
      <c r="X1537">
        <v>1</v>
      </c>
      <c r="Y1537">
        <v>1</v>
      </c>
      <c r="Z1537">
        <v>2519.756026</v>
      </c>
    </row>
    <row r="1538" spans="1:26" x14ac:dyDescent="0.25">
      <c r="A1538">
        <v>45823</v>
      </c>
      <c r="B1538" t="s">
        <v>116</v>
      </c>
      <c r="C1538">
        <v>2018</v>
      </c>
      <c r="D1538">
        <v>1</v>
      </c>
      <c r="E1538" t="s">
        <v>415</v>
      </c>
      <c r="F1538" t="s">
        <v>429</v>
      </c>
      <c r="G1538" t="s">
        <v>430</v>
      </c>
      <c r="H1538" t="s">
        <v>84</v>
      </c>
      <c r="I1538" t="s">
        <v>433</v>
      </c>
      <c r="J1538" t="s">
        <v>59</v>
      </c>
      <c r="K1538">
        <v>-9564.8664028799994</v>
      </c>
      <c r="L1538" t="s">
        <v>89</v>
      </c>
      <c r="M1538" t="s">
        <v>422</v>
      </c>
      <c r="N1538">
        <v>7.1262429683470005E-2</v>
      </c>
      <c r="O1538">
        <v>681.61561900000004</v>
      </c>
      <c r="P1538" t="s">
        <v>421</v>
      </c>
      <c r="Q1538">
        <v>1</v>
      </c>
      <c r="V1538">
        <v>1</v>
      </c>
      <c r="W1538">
        <v>1</v>
      </c>
      <c r="X1538">
        <v>1</v>
      </c>
      <c r="Y1538">
        <v>1</v>
      </c>
      <c r="Z1538">
        <v>681.61561900000004</v>
      </c>
    </row>
    <row r="1539" spans="1:26" x14ac:dyDescent="0.25">
      <c r="A1539">
        <v>45824</v>
      </c>
      <c r="B1539" t="s">
        <v>116</v>
      </c>
      <c r="C1539">
        <v>2018</v>
      </c>
      <c r="D1539">
        <v>1</v>
      </c>
      <c r="E1539" t="s">
        <v>415</v>
      </c>
      <c r="F1539" t="s">
        <v>429</v>
      </c>
      <c r="G1539" t="s">
        <v>430</v>
      </c>
      <c r="H1539" t="s">
        <v>84</v>
      </c>
      <c r="I1539" t="s">
        <v>433</v>
      </c>
      <c r="J1539" t="s">
        <v>59</v>
      </c>
      <c r="K1539">
        <v>-9564.8664028799994</v>
      </c>
      <c r="L1539" t="s">
        <v>89</v>
      </c>
      <c r="M1539" t="s">
        <v>423</v>
      </c>
      <c r="N1539">
        <v>0.74738783869542003</v>
      </c>
      <c r="O1539">
        <v>7148.6648279999999</v>
      </c>
      <c r="P1539" t="s">
        <v>421</v>
      </c>
      <c r="Q1539">
        <v>1</v>
      </c>
      <c r="V1539">
        <v>1</v>
      </c>
      <c r="W1539">
        <v>1</v>
      </c>
      <c r="X1539">
        <v>1</v>
      </c>
      <c r="Y1539">
        <v>1</v>
      </c>
      <c r="Z1539">
        <v>7148.6648279999999</v>
      </c>
    </row>
    <row r="1540" spans="1:26" x14ac:dyDescent="0.25">
      <c r="A1540">
        <v>45825</v>
      </c>
      <c r="B1540" t="s">
        <v>116</v>
      </c>
      <c r="C1540">
        <v>2018</v>
      </c>
      <c r="D1540">
        <v>1</v>
      </c>
      <c r="E1540" t="s">
        <v>415</v>
      </c>
      <c r="F1540" t="s">
        <v>429</v>
      </c>
      <c r="G1540" t="s">
        <v>430</v>
      </c>
      <c r="H1540" t="s">
        <v>84</v>
      </c>
      <c r="I1540" t="s">
        <v>433</v>
      </c>
      <c r="J1540" t="s">
        <v>59</v>
      </c>
      <c r="K1540">
        <v>-9564.8664028799994</v>
      </c>
      <c r="L1540" t="s">
        <v>89</v>
      </c>
      <c r="M1540" t="s">
        <v>424</v>
      </c>
      <c r="N1540">
        <v>3.08071516317E-3</v>
      </c>
      <c r="O1540">
        <v>29.466629000000001</v>
      </c>
      <c r="P1540" t="s">
        <v>421</v>
      </c>
      <c r="Q1540">
        <v>1</v>
      </c>
      <c r="V1540">
        <v>1</v>
      </c>
      <c r="W1540">
        <v>1</v>
      </c>
      <c r="X1540">
        <v>1</v>
      </c>
      <c r="Y1540">
        <v>1</v>
      </c>
      <c r="Z1540">
        <v>29.466629000000001</v>
      </c>
    </row>
    <row r="1541" spans="1:26" x14ac:dyDescent="0.25">
      <c r="A1541">
        <v>45826</v>
      </c>
      <c r="B1541" t="s">
        <v>116</v>
      </c>
      <c r="C1541">
        <v>2018</v>
      </c>
      <c r="D1541">
        <v>1</v>
      </c>
      <c r="E1541" t="s">
        <v>415</v>
      </c>
      <c r="F1541" t="s">
        <v>429</v>
      </c>
      <c r="G1541" t="s">
        <v>430</v>
      </c>
      <c r="H1541" t="s">
        <v>84</v>
      </c>
      <c r="I1541" t="s">
        <v>433</v>
      </c>
      <c r="J1541" t="s">
        <v>59</v>
      </c>
      <c r="K1541">
        <v>-9564.8664028799994</v>
      </c>
      <c r="L1541" t="s">
        <v>89</v>
      </c>
      <c r="M1541" t="s">
        <v>425</v>
      </c>
      <c r="N1541">
        <v>2.5360775708E-3</v>
      </c>
      <c r="O1541">
        <v>24.257242999999999</v>
      </c>
      <c r="P1541" t="s">
        <v>421</v>
      </c>
      <c r="Q1541">
        <v>1</v>
      </c>
      <c r="V1541">
        <v>1</v>
      </c>
      <c r="W1541">
        <v>1</v>
      </c>
      <c r="X1541">
        <v>1</v>
      </c>
      <c r="Y1541">
        <v>1</v>
      </c>
      <c r="Z1541">
        <v>24.257242999999999</v>
      </c>
    </row>
    <row r="1542" spans="1:26" x14ac:dyDescent="0.25">
      <c r="A1542">
        <v>45827</v>
      </c>
      <c r="B1542" t="s">
        <v>116</v>
      </c>
      <c r="C1542">
        <v>2018</v>
      </c>
      <c r="D1542">
        <v>1</v>
      </c>
      <c r="E1542" t="s">
        <v>415</v>
      </c>
      <c r="F1542" t="s">
        <v>434</v>
      </c>
      <c r="G1542" t="s">
        <v>435</v>
      </c>
      <c r="H1542" t="s">
        <v>84</v>
      </c>
      <c r="I1542" t="s">
        <v>436</v>
      </c>
      <c r="J1542" t="s">
        <v>419</v>
      </c>
      <c r="K1542">
        <v>-13211.495401210001</v>
      </c>
      <c r="L1542" t="s">
        <v>85</v>
      </c>
      <c r="M1542" t="s">
        <v>420</v>
      </c>
      <c r="N1542">
        <v>0.24824931095561001</v>
      </c>
      <c r="O1542">
        <v>3279.7446300000001</v>
      </c>
      <c r="P1542" t="s">
        <v>421</v>
      </c>
      <c r="Q1542">
        <v>1</v>
      </c>
      <c r="V1542">
        <v>1</v>
      </c>
      <c r="W1542">
        <v>1</v>
      </c>
      <c r="X1542">
        <v>1</v>
      </c>
      <c r="Y1542">
        <v>1</v>
      </c>
      <c r="Z1542">
        <v>3279.7446300000001</v>
      </c>
    </row>
    <row r="1543" spans="1:26" x14ac:dyDescent="0.25">
      <c r="A1543">
        <v>45828</v>
      </c>
      <c r="B1543" t="s">
        <v>116</v>
      </c>
      <c r="C1543">
        <v>2018</v>
      </c>
      <c r="D1543">
        <v>1</v>
      </c>
      <c r="E1543" t="s">
        <v>415</v>
      </c>
      <c r="F1543" t="s">
        <v>434</v>
      </c>
      <c r="G1543" t="s">
        <v>435</v>
      </c>
      <c r="H1543" t="s">
        <v>84</v>
      </c>
      <c r="I1543" t="s">
        <v>436</v>
      </c>
      <c r="J1543" t="s">
        <v>419</v>
      </c>
      <c r="K1543">
        <v>-13211.495401210001</v>
      </c>
      <c r="L1543" t="s">
        <v>85</v>
      </c>
      <c r="M1543" t="s">
        <v>422</v>
      </c>
      <c r="N1543">
        <v>7.7540047892240005E-2</v>
      </c>
      <c r="O1543">
        <v>1024.4199860000001</v>
      </c>
      <c r="P1543" t="s">
        <v>421</v>
      </c>
      <c r="Q1543">
        <v>1</v>
      </c>
      <c r="V1543">
        <v>1</v>
      </c>
      <c r="W1543">
        <v>1</v>
      </c>
      <c r="X1543">
        <v>1</v>
      </c>
      <c r="Y1543">
        <v>1</v>
      </c>
      <c r="Z1543">
        <v>1024.4199860000001</v>
      </c>
    </row>
    <row r="1544" spans="1:26" x14ac:dyDescent="0.25">
      <c r="A1544">
        <v>45829</v>
      </c>
      <c r="B1544" t="s">
        <v>116</v>
      </c>
      <c r="C1544">
        <v>2018</v>
      </c>
      <c r="D1544">
        <v>1</v>
      </c>
      <c r="E1544" t="s">
        <v>415</v>
      </c>
      <c r="F1544" t="s">
        <v>434</v>
      </c>
      <c r="G1544" t="s">
        <v>435</v>
      </c>
      <c r="H1544" t="s">
        <v>84</v>
      </c>
      <c r="I1544" t="s">
        <v>436</v>
      </c>
      <c r="J1544" t="s">
        <v>419</v>
      </c>
      <c r="K1544">
        <v>-13211.495401210001</v>
      </c>
      <c r="L1544" t="s">
        <v>85</v>
      </c>
      <c r="M1544" t="s">
        <v>423</v>
      </c>
      <c r="N1544">
        <v>0.73979703899049998</v>
      </c>
      <c r="O1544">
        <v>9773.8251779999991</v>
      </c>
      <c r="P1544" t="s">
        <v>421</v>
      </c>
      <c r="Q1544">
        <v>1</v>
      </c>
      <c r="V1544">
        <v>1</v>
      </c>
      <c r="W1544">
        <v>1</v>
      </c>
      <c r="X1544">
        <v>1</v>
      </c>
      <c r="Y1544">
        <v>1</v>
      </c>
      <c r="Z1544">
        <v>9773.8251779999991</v>
      </c>
    </row>
    <row r="1545" spans="1:26" x14ac:dyDescent="0.25">
      <c r="A1545">
        <v>45830</v>
      </c>
      <c r="B1545" t="s">
        <v>116</v>
      </c>
      <c r="C1545">
        <v>2018</v>
      </c>
      <c r="D1545">
        <v>1</v>
      </c>
      <c r="E1545" t="s">
        <v>415</v>
      </c>
      <c r="F1545" t="s">
        <v>434</v>
      </c>
      <c r="G1545" t="s">
        <v>435</v>
      </c>
      <c r="H1545" t="s">
        <v>84</v>
      </c>
      <c r="I1545" t="s">
        <v>436</v>
      </c>
      <c r="J1545" t="s">
        <v>419</v>
      </c>
      <c r="K1545">
        <v>-13211.495401210001</v>
      </c>
      <c r="L1545" t="s">
        <v>85</v>
      </c>
      <c r="M1545" t="s">
        <v>424</v>
      </c>
      <c r="N1545">
        <v>2.9085775596699999E-3</v>
      </c>
      <c r="O1545">
        <v>38.426659000000001</v>
      </c>
      <c r="P1545" t="s">
        <v>421</v>
      </c>
      <c r="Q1545">
        <v>1</v>
      </c>
      <c r="V1545">
        <v>1</v>
      </c>
      <c r="W1545">
        <v>1</v>
      </c>
      <c r="X1545">
        <v>1</v>
      </c>
      <c r="Y1545">
        <v>1</v>
      </c>
      <c r="Z1545">
        <v>38.426659000000001</v>
      </c>
    </row>
    <row r="1546" spans="1:26" x14ac:dyDescent="0.25">
      <c r="A1546">
        <v>45831</v>
      </c>
      <c r="B1546" t="s">
        <v>116</v>
      </c>
      <c r="C1546">
        <v>2018</v>
      </c>
      <c r="D1546">
        <v>1</v>
      </c>
      <c r="E1546" t="s">
        <v>415</v>
      </c>
      <c r="F1546" t="s">
        <v>434</v>
      </c>
      <c r="G1546" t="s">
        <v>435</v>
      </c>
      <c r="H1546" t="s">
        <v>84</v>
      </c>
      <c r="I1546" t="s">
        <v>436</v>
      </c>
      <c r="J1546" t="s">
        <v>419</v>
      </c>
      <c r="K1546">
        <v>-13211.495401210001</v>
      </c>
      <c r="L1546" t="s">
        <v>85</v>
      </c>
      <c r="M1546" t="s">
        <v>425</v>
      </c>
      <c r="N1546">
        <v>2.6170694898000001E-3</v>
      </c>
      <c r="O1546">
        <v>34.575401999999997</v>
      </c>
      <c r="P1546" t="s">
        <v>421</v>
      </c>
      <c r="Q1546">
        <v>1</v>
      </c>
      <c r="V1546">
        <v>1</v>
      </c>
      <c r="W1546">
        <v>1</v>
      </c>
      <c r="X1546">
        <v>1</v>
      </c>
      <c r="Y1546">
        <v>1</v>
      </c>
      <c r="Z1546">
        <v>34.575401999999997</v>
      </c>
    </row>
    <row r="1547" spans="1:26" x14ac:dyDescent="0.25">
      <c r="A1547">
        <v>45832</v>
      </c>
      <c r="B1547" t="s">
        <v>116</v>
      </c>
      <c r="C1547">
        <v>2018</v>
      </c>
      <c r="D1547">
        <v>1</v>
      </c>
      <c r="E1547" t="s">
        <v>415</v>
      </c>
      <c r="F1547" t="s">
        <v>434</v>
      </c>
      <c r="G1547" t="s">
        <v>435</v>
      </c>
      <c r="H1547" t="s">
        <v>84</v>
      </c>
      <c r="I1547" t="s">
        <v>437</v>
      </c>
      <c r="J1547" t="s">
        <v>87</v>
      </c>
      <c r="K1547">
        <v>-3367.0517400499998</v>
      </c>
      <c r="L1547" t="s">
        <v>427</v>
      </c>
      <c r="M1547" t="s">
        <v>420</v>
      </c>
      <c r="N1547">
        <v>0.45523813654234002</v>
      </c>
      <c r="O1547">
        <v>1532.8103599999999</v>
      </c>
      <c r="P1547" t="s">
        <v>421</v>
      </c>
      <c r="Q1547">
        <v>1</v>
      </c>
      <c r="V1547">
        <v>1</v>
      </c>
      <c r="W1547">
        <v>1</v>
      </c>
      <c r="X1547">
        <v>1</v>
      </c>
      <c r="Y1547">
        <v>1</v>
      </c>
      <c r="Z1547">
        <v>1532.8103599999999</v>
      </c>
    </row>
    <row r="1548" spans="1:26" x14ac:dyDescent="0.25">
      <c r="A1548">
        <v>45833</v>
      </c>
      <c r="B1548" t="s">
        <v>116</v>
      </c>
      <c r="C1548">
        <v>2018</v>
      </c>
      <c r="D1548">
        <v>1</v>
      </c>
      <c r="E1548" t="s">
        <v>415</v>
      </c>
      <c r="F1548" t="s">
        <v>434</v>
      </c>
      <c r="G1548" t="s">
        <v>435</v>
      </c>
      <c r="H1548" t="s">
        <v>84</v>
      </c>
      <c r="I1548" t="s">
        <v>437</v>
      </c>
      <c r="J1548" t="s">
        <v>87</v>
      </c>
      <c r="K1548">
        <v>-3367.0517400499998</v>
      </c>
      <c r="L1548" t="s">
        <v>427</v>
      </c>
      <c r="M1548" t="s">
        <v>422</v>
      </c>
      <c r="N1548">
        <v>6.8896616392329996E-2</v>
      </c>
      <c r="O1548">
        <v>231.97847200000001</v>
      </c>
      <c r="P1548" t="s">
        <v>421</v>
      </c>
      <c r="Q1548">
        <v>1</v>
      </c>
      <c r="V1548">
        <v>1</v>
      </c>
      <c r="W1548">
        <v>1</v>
      </c>
      <c r="X1548">
        <v>1</v>
      </c>
      <c r="Y1548">
        <v>1</v>
      </c>
      <c r="Z1548">
        <v>231.97847200000001</v>
      </c>
    </row>
    <row r="1549" spans="1:26" x14ac:dyDescent="0.25">
      <c r="A1549">
        <v>45834</v>
      </c>
      <c r="B1549" t="s">
        <v>116</v>
      </c>
      <c r="C1549">
        <v>2018</v>
      </c>
      <c r="D1549">
        <v>1</v>
      </c>
      <c r="E1549" t="s">
        <v>415</v>
      </c>
      <c r="F1549" t="s">
        <v>434</v>
      </c>
      <c r="G1549" t="s">
        <v>435</v>
      </c>
      <c r="H1549" t="s">
        <v>84</v>
      </c>
      <c r="I1549" t="s">
        <v>437</v>
      </c>
      <c r="J1549" t="s">
        <v>87</v>
      </c>
      <c r="K1549">
        <v>-3367.0517400499998</v>
      </c>
      <c r="L1549" t="s">
        <v>427</v>
      </c>
      <c r="M1549" t="s">
        <v>423</v>
      </c>
      <c r="N1549">
        <v>0.70986919705586005</v>
      </c>
      <c r="O1549">
        <v>2390.1663149999999</v>
      </c>
      <c r="P1549" t="s">
        <v>421</v>
      </c>
      <c r="Q1549">
        <v>1</v>
      </c>
      <c r="V1549">
        <v>1</v>
      </c>
      <c r="W1549">
        <v>1</v>
      </c>
      <c r="X1549">
        <v>1</v>
      </c>
      <c r="Y1549">
        <v>1</v>
      </c>
      <c r="Z1549">
        <v>2390.1663149999999</v>
      </c>
    </row>
    <row r="1550" spans="1:26" x14ac:dyDescent="0.25">
      <c r="A1550">
        <v>45835</v>
      </c>
      <c r="B1550" t="s">
        <v>116</v>
      </c>
      <c r="C1550">
        <v>2018</v>
      </c>
      <c r="D1550">
        <v>1</v>
      </c>
      <c r="E1550" t="s">
        <v>415</v>
      </c>
      <c r="F1550" t="s">
        <v>434</v>
      </c>
      <c r="G1550" t="s">
        <v>435</v>
      </c>
      <c r="H1550" t="s">
        <v>84</v>
      </c>
      <c r="I1550" t="s">
        <v>437</v>
      </c>
      <c r="J1550" t="s">
        <v>87</v>
      </c>
      <c r="K1550">
        <v>-3367.0517400499998</v>
      </c>
      <c r="L1550" t="s">
        <v>427</v>
      </c>
      <c r="M1550" t="s">
        <v>425</v>
      </c>
      <c r="N1550">
        <v>1.4965642882E-3</v>
      </c>
      <c r="O1550">
        <v>5.0390090000000001</v>
      </c>
      <c r="P1550" t="s">
        <v>421</v>
      </c>
      <c r="Q1550">
        <v>1</v>
      </c>
      <c r="V1550">
        <v>1</v>
      </c>
      <c r="W1550">
        <v>1</v>
      </c>
      <c r="X1550">
        <v>1</v>
      </c>
      <c r="Y1550">
        <v>1</v>
      </c>
      <c r="Z1550">
        <v>5.0390090000000001</v>
      </c>
    </row>
    <row r="1551" spans="1:26" x14ac:dyDescent="0.25">
      <c r="A1551">
        <v>45836</v>
      </c>
      <c r="B1551" t="s">
        <v>116</v>
      </c>
      <c r="C1551">
        <v>2018</v>
      </c>
      <c r="D1551">
        <v>1</v>
      </c>
      <c r="E1551" t="s">
        <v>415</v>
      </c>
      <c r="F1551" t="s">
        <v>434</v>
      </c>
      <c r="G1551" t="s">
        <v>435</v>
      </c>
      <c r="H1551" t="s">
        <v>84</v>
      </c>
      <c r="I1551" t="s">
        <v>438</v>
      </c>
      <c r="J1551" t="s">
        <v>59</v>
      </c>
      <c r="K1551">
        <v>-4925.8733204500004</v>
      </c>
      <c r="L1551" t="s">
        <v>89</v>
      </c>
      <c r="M1551" t="s">
        <v>420</v>
      </c>
      <c r="N1551">
        <v>0.26343870574139999</v>
      </c>
      <c r="O1551">
        <v>1297.665692</v>
      </c>
      <c r="P1551" t="s">
        <v>421</v>
      </c>
      <c r="Q1551">
        <v>1</v>
      </c>
      <c r="V1551">
        <v>1</v>
      </c>
      <c r="W1551">
        <v>1</v>
      </c>
      <c r="X1551">
        <v>1</v>
      </c>
      <c r="Y1551">
        <v>1</v>
      </c>
      <c r="Z1551">
        <v>1297.665692</v>
      </c>
    </row>
    <row r="1552" spans="1:26" x14ac:dyDescent="0.25">
      <c r="A1552">
        <v>45837</v>
      </c>
      <c r="B1552" t="s">
        <v>116</v>
      </c>
      <c r="C1552">
        <v>2018</v>
      </c>
      <c r="D1552">
        <v>1</v>
      </c>
      <c r="E1552" t="s">
        <v>415</v>
      </c>
      <c r="F1552" t="s">
        <v>434</v>
      </c>
      <c r="G1552" t="s">
        <v>435</v>
      </c>
      <c r="H1552" t="s">
        <v>84</v>
      </c>
      <c r="I1552" t="s">
        <v>438</v>
      </c>
      <c r="J1552" t="s">
        <v>59</v>
      </c>
      <c r="K1552">
        <v>-4925.8733204500004</v>
      </c>
      <c r="L1552" t="s">
        <v>89</v>
      </c>
      <c r="M1552" t="s">
        <v>422</v>
      </c>
      <c r="N1552">
        <v>7.1262429683470005E-2</v>
      </c>
      <c r="O1552">
        <v>351.02970099999999</v>
      </c>
      <c r="P1552" t="s">
        <v>421</v>
      </c>
      <c r="Q1552">
        <v>1</v>
      </c>
      <c r="V1552">
        <v>1</v>
      </c>
      <c r="W1552">
        <v>1</v>
      </c>
      <c r="X1552">
        <v>1</v>
      </c>
      <c r="Y1552">
        <v>1</v>
      </c>
      <c r="Z1552">
        <v>351.02970099999999</v>
      </c>
    </row>
    <row r="1553" spans="1:26" x14ac:dyDescent="0.25">
      <c r="A1553">
        <v>45838</v>
      </c>
      <c r="B1553" t="s">
        <v>116</v>
      </c>
      <c r="C1553">
        <v>2018</v>
      </c>
      <c r="D1553">
        <v>1</v>
      </c>
      <c r="E1553" t="s">
        <v>415</v>
      </c>
      <c r="F1553" t="s">
        <v>434</v>
      </c>
      <c r="G1553" t="s">
        <v>435</v>
      </c>
      <c r="H1553" t="s">
        <v>84</v>
      </c>
      <c r="I1553" t="s">
        <v>438</v>
      </c>
      <c r="J1553" t="s">
        <v>59</v>
      </c>
      <c r="K1553">
        <v>-4925.8733204500004</v>
      </c>
      <c r="L1553" t="s">
        <v>89</v>
      </c>
      <c r="M1553" t="s">
        <v>423</v>
      </c>
      <c r="N1553">
        <v>0.74738783869542003</v>
      </c>
      <c r="O1553">
        <v>3681.5378150000001</v>
      </c>
      <c r="P1553" t="s">
        <v>421</v>
      </c>
      <c r="Q1553">
        <v>1</v>
      </c>
      <c r="V1553">
        <v>1</v>
      </c>
      <c r="W1553">
        <v>1</v>
      </c>
      <c r="X1553">
        <v>1</v>
      </c>
      <c r="Y1553">
        <v>1</v>
      </c>
      <c r="Z1553">
        <v>3681.5378150000001</v>
      </c>
    </row>
    <row r="1554" spans="1:26" x14ac:dyDescent="0.25">
      <c r="A1554">
        <v>45839</v>
      </c>
      <c r="B1554" t="s">
        <v>116</v>
      </c>
      <c r="C1554">
        <v>2018</v>
      </c>
      <c r="D1554">
        <v>1</v>
      </c>
      <c r="E1554" t="s">
        <v>415</v>
      </c>
      <c r="F1554" t="s">
        <v>434</v>
      </c>
      <c r="G1554" t="s">
        <v>435</v>
      </c>
      <c r="H1554" t="s">
        <v>84</v>
      </c>
      <c r="I1554" t="s">
        <v>438</v>
      </c>
      <c r="J1554" t="s">
        <v>59</v>
      </c>
      <c r="K1554">
        <v>-4925.8733204500004</v>
      </c>
      <c r="L1554" t="s">
        <v>89</v>
      </c>
      <c r="M1554" t="s">
        <v>424</v>
      </c>
      <c r="N1554">
        <v>3.08071516317E-3</v>
      </c>
      <c r="O1554">
        <v>15.175212999999999</v>
      </c>
      <c r="P1554" t="s">
        <v>421</v>
      </c>
      <c r="Q1554">
        <v>1</v>
      </c>
      <c r="V1554">
        <v>1</v>
      </c>
      <c r="W1554">
        <v>1</v>
      </c>
      <c r="X1554">
        <v>1</v>
      </c>
      <c r="Y1554">
        <v>1</v>
      </c>
      <c r="Z1554">
        <v>15.175212999999999</v>
      </c>
    </row>
    <row r="1555" spans="1:26" x14ac:dyDescent="0.25">
      <c r="A1555">
        <v>45840</v>
      </c>
      <c r="B1555" t="s">
        <v>116</v>
      </c>
      <c r="C1555">
        <v>2018</v>
      </c>
      <c r="D1555">
        <v>1</v>
      </c>
      <c r="E1555" t="s">
        <v>415</v>
      </c>
      <c r="F1555" t="s">
        <v>434</v>
      </c>
      <c r="G1555" t="s">
        <v>435</v>
      </c>
      <c r="H1555" t="s">
        <v>84</v>
      </c>
      <c r="I1555" t="s">
        <v>438</v>
      </c>
      <c r="J1555" t="s">
        <v>59</v>
      </c>
      <c r="K1555">
        <v>-4925.8733204500004</v>
      </c>
      <c r="L1555" t="s">
        <v>89</v>
      </c>
      <c r="M1555" t="s">
        <v>425</v>
      </c>
      <c r="N1555">
        <v>2.5360775708E-3</v>
      </c>
      <c r="O1555">
        <v>12.492397</v>
      </c>
      <c r="P1555" t="s">
        <v>421</v>
      </c>
      <c r="Q1555">
        <v>1</v>
      </c>
      <c r="V1555">
        <v>1</v>
      </c>
      <c r="W1555">
        <v>1</v>
      </c>
      <c r="X1555">
        <v>1</v>
      </c>
      <c r="Y1555">
        <v>1</v>
      </c>
      <c r="Z1555">
        <v>12.492397</v>
      </c>
    </row>
    <row r="1556" spans="1:26" x14ac:dyDescent="0.25">
      <c r="A1556">
        <v>100102</v>
      </c>
      <c r="B1556" t="s">
        <v>148</v>
      </c>
      <c r="C1556">
        <v>2019</v>
      </c>
      <c r="D1556">
        <v>1</v>
      </c>
      <c r="E1556" t="s">
        <v>415</v>
      </c>
      <c r="F1556" t="s">
        <v>416</v>
      </c>
      <c r="G1556" t="s">
        <v>417</v>
      </c>
      <c r="H1556" t="s">
        <v>84</v>
      </c>
      <c r="I1556" t="s">
        <v>418</v>
      </c>
      <c r="J1556" t="s">
        <v>419</v>
      </c>
      <c r="K1556">
        <v>-32226.799867779999</v>
      </c>
      <c r="L1556" t="s">
        <v>85</v>
      </c>
      <c r="M1556" t="s">
        <v>420</v>
      </c>
      <c r="N1556">
        <v>0.24824931095561001</v>
      </c>
      <c r="O1556">
        <v>8000.2808610000002</v>
      </c>
      <c r="P1556" t="s">
        <v>421</v>
      </c>
      <c r="Q1556">
        <v>1</v>
      </c>
      <c r="V1556">
        <v>1</v>
      </c>
      <c r="W1556">
        <v>1</v>
      </c>
      <c r="X1556">
        <v>1</v>
      </c>
      <c r="Y1556">
        <v>1</v>
      </c>
      <c r="Z1556">
        <v>8000.2808610000002</v>
      </c>
    </row>
    <row r="1557" spans="1:26" x14ac:dyDescent="0.25">
      <c r="A1557">
        <v>100103</v>
      </c>
      <c r="B1557" t="s">
        <v>148</v>
      </c>
      <c r="C1557">
        <v>2019</v>
      </c>
      <c r="D1557">
        <v>1</v>
      </c>
      <c r="E1557" t="s">
        <v>415</v>
      </c>
      <c r="F1557" t="s">
        <v>416</v>
      </c>
      <c r="G1557" t="s">
        <v>417</v>
      </c>
      <c r="H1557" t="s">
        <v>84</v>
      </c>
      <c r="I1557" t="s">
        <v>418</v>
      </c>
      <c r="J1557" t="s">
        <v>419</v>
      </c>
      <c r="K1557">
        <v>-32226.799867779999</v>
      </c>
      <c r="L1557" t="s">
        <v>85</v>
      </c>
      <c r="M1557" t="s">
        <v>422</v>
      </c>
      <c r="N1557">
        <v>7.7540047892240005E-2</v>
      </c>
      <c r="O1557">
        <v>2498.8676049999999</v>
      </c>
      <c r="P1557" t="s">
        <v>421</v>
      </c>
      <c r="Q1557">
        <v>1</v>
      </c>
      <c r="V1557">
        <v>1</v>
      </c>
      <c r="W1557">
        <v>1</v>
      </c>
      <c r="X1557">
        <v>1</v>
      </c>
      <c r="Y1557">
        <v>1</v>
      </c>
      <c r="Z1557">
        <v>2498.8676049999999</v>
      </c>
    </row>
    <row r="1558" spans="1:26" x14ac:dyDescent="0.25">
      <c r="A1558">
        <v>100104</v>
      </c>
      <c r="B1558" t="s">
        <v>148</v>
      </c>
      <c r="C1558">
        <v>2019</v>
      </c>
      <c r="D1558">
        <v>1</v>
      </c>
      <c r="E1558" t="s">
        <v>415</v>
      </c>
      <c r="F1558" t="s">
        <v>416</v>
      </c>
      <c r="G1558" t="s">
        <v>417</v>
      </c>
      <c r="H1558" t="s">
        <v>84</v>
      </c>
      <c r="I1558" t="s">
        <v>418</v>
      </c>
      <c r="J1558" t="s">
        <v>419</v>
      </c>
      <c r="K1558">
        <v>-32226.799867779999</v>
      </c>
      <c r="L1558" t="s">
        <v>85</v>
      </c>
      <c r="M1558" t="s">
        <v>423</v>
      </c>
      <c r="N1558">
        <v>0.73979703899049998</v>
      </c>
      <c r="O1558">
        <v>23841.291118000001</v>
      </c>
      <c r="P1558" t="s">
        <v>421</v>
      </c>
      <c r="Q1558">
        <v>1</v>
      </c>
      <c r="V1558">
        <v>1</v>
      </c>
      <c r="W1558">
        <v>1</v>
      </c>
      <c r="X1558">
        <v>1</v>
      </c>
      <c r="Y1558">
        <v>1</v>
      </c>
      <c r="Z1558">
        <v>23841.291118000001</v>
      </c>
    </row>
    <row r="1559" spans="1:26" x14ac:dyDescent="0.25">
      <c r="A1559">
        <v>100105</v>
      </c>
      <c r="B1559" t="s">
        <v>148</v>
      </c>
      <c r="C1559">
        <v>2019</v>
      </c>
      <c r="D1559">
        <v>1</v>
      </c>
      <c r="E1559" t="s">
        <v>415</v>
      </c>
      <c r="F1559" t="s">
        <v>416</v>
      </c>
      <c r="G1559" t="s">
        <v>417</v>
      </c>
      <c r="H1559" t="s">
        <v>84</v>
      </c>
      <c r="I1559" t="s">
        <v>418</v>
      </c>
      <c r="J1559" t="s">
        <v>419</v>
      </c>
      <c r="K1559">
        <v>-32226.799867779999</v>
      </c>
      <c r="L1559" t="s">
        <v>85</v>
      </c>
      <c r="M1559" t="s">
        <v>424</v>
      </c>
      <c r="N1559">
        <v>2.9085775596699999E-3</v>
      </c>
      <c r="O1559">
        <v>93.734146999999993</v>
      </c>
      <c r="P1559" t="s">
        <v>421</v>
      </c>
      <c r="Q1559">
        <v>1</v>
      </c>
      <c r="V1559">
        <v>1</v>
      </c>
      <c r="W1559">
        <v>1</v>
      </c>
      <c r="X1559">
        <v>1</v>
      </c>
      <c r="Y1559">
        <v>1</v>
      </c>
      <c r="Z1559">
        <v>93.734146999999993</v>
      </c>
    </row>
    <row r="1560" spans="1:26" x14ac:dyDescent="0.25">
      <c r="A1560">
        <v>100106</v>
      </c>
      <c r="B1560" t="s">
        <v>148</v>
      </c>
      <c r="C1560">
        <v>2019</v>
      </c>
      <c r="D1560">
        <v>1</v>
      </c>
      <c r="E1560" t="s">
        <v>415</v>
      </c>
      <c r="F1560" t="s">
        <v>416</v>
      </c>
      <c r="G1560" t="s">
        <v>417</v>
      </c>
      <c r="H1560" t="s">
        <v>84</v>
      </c>
      <c r="I1560" t="s">
        <v>418</v>
      </c>
      <c r="J1560" t="s">
        <v>419</v>
      </c>
      <c r="K1560">
        <v>-32226.799867779999</v>
      </c>
      <c r="L1560" t="s">
        <v>85</v>
      </c>
      <c r="M1560" t="s">
        <v>425</v>
      </c>
      <c r="N1560">
        <v>2.6170694898000001E-3</v>
      </c>
      <c r="O1560">
        <v>84.339775000000003</v>
      </c>
      <c r="P1560" t="s">
        <v>421</v>
      </c>
      <c r="Q1560">
        <v>1</v>
      </c>
      <c r="V1560">
        <v>1</v>
      </c>
      <c r="W1560">
        <v>1</v>
      </c>
      <c r="X1560">
        <v>1</v>
      </c>
      <c r="Y1560">
        <v>1</v>
      </c>
      <c r="Z1560">
        <v>84.339775000000003</v>
      </c>
    </row>
    <row r="1561" spans="1:26" x14ac:dyDescent="0.25">
      <c r="A1561">
        <v>100107</v>
      </c>
      <c r="B1561" t="s">
        <v>148</v>
      </c>
      <c r="C1561">
        <v>2019</v>
      </c>
      <c r="D1561">
        <v>1</v>
      </c>
      <c r="E1561" t="s">
        <v>415</v>
      </c>
      <c r="F1561" t="s">
        <v>416</v>
      </c>
      <c r="G1561" t="s">
        <v>417</v>
      </c>
      <c r="H1561" t="s">
        <v>84</v>
      </c>
      <c r="I1561" t="s">
        <v>426</v>
      </c>
      <c r="J1561" t="s">
        <v>87</v>
      </c>
      <c r="K1561">
        <v>-17469.784780459999</v>
      </c>
      <c r="L1561" t="s">
        <v>427</v>
      </c>
      <c r="M1561" t="s">
        <v>420</v>
      </c>
      <c r="N1561">
        <v>0.45523813654234002</v>
      </c>
      <c r="O1561">
        <v>7952.9122690000004</v>
      </c>
      <c r="P1561" t="s">
        <v>421</v>
      </c>
      <c r="Q1561">
        <v>1</v>
      </c>
      <c r="V1561">
        <v>1</v>
      </c>
      <c r="W1561">
        <v>1</v>
      </c>
      <c r="X1561">
        <v>1</v>
      </c>
      <c r="Y1561">
        <v>1</v>
      </c>
      <c r="Z1561">
        <v>7952.9122690000004</v>
      </c>
    </row>
    <row r="1562" spans="1:26" x14ac:dyDescent="0.25">
      <c r="A1562">
        <v>100108</v>
      </c>
      <c r="B1562" t="s">
        <v>148</v>
      </c>
      <c r="C1562">
        <v>2019</v>
      </c>
      <c r="D1562">
        <v>1</v>
      </c>
      <c r="E1562" t="s">
        <v>415</v>
      </c>
      <c r="F1562" t="s">
        <v>416</v>
      </c>
      <c r="G1562" t="s">
        <v>417</v>
      </c>
      <c r="H1562" t="s">
        <v>84</v>
      </c>
      <c r="I1562" t="s">
        <v>426</v>
      </c>
      <c r="J1562" t="s">
        <v>87</v>
      </c>
      <c r="K1562">
        <v>-17469.784780459999</v>
      </c>
      <c r="L1562" t="s">
        <v>427</v>
      </c>
      <c r="M1562" t="s">
        <v>422</v>
      </c>
      <c r="N1562">
        <v>6.8896616392329996E-2</v>
      </c>
      <c r="O1562">
        <v>1203.60906</v>
      </c>
      <c r="P1562" t="s">
        <v>421</v>
      </c>
      <c r="Q1562">
        <v>1</v>
      </c>
      <c r="V1562">
        <v>1</v>
      </c>
      <c r="W1562">
        <v>1</v>
      </c>
      <c r="X1562">
        <v>1</v>
      </c>
      <c r="Y1562">
        <v>1</v>
      </c>
      <c r="Z1562">
        <v>1203.60906</v>
      </c>
    </row>
    <row r="1563" spans="1:26" x14ac:dyDescent="0.25">
      <c r="A1563">
        <v>100109</v>
      </c>
      <c r="B1563" t="s">
        <v>148</v>
      </c>
      <c r="C1563">
        <v>2019</v>
      </c>
      <c r="D1563">
        <v>1</v>
      </c>
      <c r="E1563" t="s">
        <v>415</v>
      </c>
      <c r="F1563" t="s">
        <v>416</v>
      </c>
      <c r="G1563" t="s">
        <v>417</v>
      </c>
      <c r="H1563" t="s">
        <v>84</v>
      </c>
      <c r="I1563" t="s">
        <v>426</v>
      </c>
      <c r="J1563" t="s">
        <v>87</v>
      </c>
      <c r="K1563">
        <v>-17469.784780459999</v>
      </c>
      <c r="L1563" t="s">
        <v>427</v>
      </c>
      <c r="M1563" t="s">
        <v>423</v>
      </c>
      <c r="N1563">
        <v>0.70986919705586005</v>
      </c>
      <c r="O1563">
        <v>12401.262095</v>
      </c>
      <c r="P1563" t="s">
        <v>421</v>
      </c>
      <c r="Q1563">
        <v>1</v>
      </c>
      <c r="V1563">
        <v>1</v>
      </c>
      <c r="W1563">
        <v>1</v>
      </c>
      <c r="X1563">
        <v>1</v>
      </c>
      <c r="Y1563">
        <v>1</v>
      </c>
      <c r="Z1563">
        <v>12401.262095</v>
      </c>
    </row>
    <row r="1564" spans="1:26" x14ac:dyDescent="0.25">
      <c r="A1564">
        <v>100110</v>
      </c>
      <c r="B1564" t="s">
        <v>148</v>
      </c>
      <c r="C1564">
        <v>2019</v>
      </c>
      <c r="D1564">
        <v>1</v>
      </c>
      <c r="E1564" t="s">
        <v>415</v>
      </c>
      <c r="F1564" t="s">
        <v>416</v>
      </c>
      <c r="G1564" t="s">
        <v>417</v>
      </c>
      <c r="H1564" t="s">
        <v>84</v>
      </c>
      <c r="I1564" t="s">
        <v>426</v>
      </c>
      <c r="J1564" t="s">
        <v>87</v>
      </c>
      <c r="K1564">
        <v>-17469.784780459999</v>
      </c>
      <c r="L1564" t="s">
        <v>427</v>
      </c>
      <c r="M1564" t="s">
        <v>425</v>
      </c>
      <c r="N1564">
        <v>1.4965642882E-3</v>
      </c>
      <c r="O1564">
        <v>26.144656000000001</v>
      </c>
      <c r="P1564" t="s">
        <v>421</v>
      </c>
      <c r="Q1564">
        <v>1</v>
      </c>
      <c r="V1564">
        <v>1</v>
      </c>
      <c r="W1564">
        <v>1</v>
      </c>
      <c r="X1564">
        <v>1</v>
      </c>
      <c r="Y1564">
        <v>1</v>
      </c>
      <c r="Z1564">
        <v>26.144656000000001</v>
      </c>
    </row>
    <row r="1565" spans="1:26" x14ac:dyDescent="0.25">
      <c r="A1565">
        <v>100111</v>
      </c>
      <c r="B1565" t="s">
        <v>148</v>
      </c>
      <c r="C1565">
        <v>2019</v>
      </c>
      <c r="D1565">
        <v>1</v>
      </c>
      <c r="E1565" t="s">
        <v>415</v>
      </c>
      <c r="F1565" t="s">
        <v>416</v>
      </c>
      <c r="G1565" t="s">
        <v>417</v>
      </c>
      <c r="H1565" t="s">
        <v>84</v>
      </c>
      <c r="I1565" t="s">
        <v>428</v>
      </c>
      <c r="J1565" t="s">
        <v>59</v>
      </c>
      <c r="K1565">
        <v>-7343.8590494700002</v>
      </c>
      <c r="L1565" t="s">
        <v>89</v>
      </c>
      <c r="M1565" t="s">
        <v>420</v>
      </c>
      <c r="N1565">
        <v>0.26343870574139999</v>
      </c>
      <c r="O1565">
        <v>1934.6567230000001</v>
      </c>
      <c r="P1565" t="s">
        <v>421</v>
      </c>
      <c r="Q1565">
        <v>1</v>
      </c>
      <c r="V1565">
        <v>1</v>
      </c>
      <c r="W1565">
        <v>1</v>
      </c>
      <c r="X1565">
        <v>1</v>
      </c>
      <c r="Y1565">
        <v>1</v>
      </c>
      <c r="Z1565">
        <v>1934.6567230000001</v>
      </c>
    </row>
    <row r="1566" spans="1:26" x14ac:dyDescent="0.25">
      <c r="A1566">
        <v>100112</v>
      </c>
      <c r="B1566" t="s">
        <v>148</v>
      </c>
      <c r="C1566">
        <v>2019</v>
      </c>
      <c r="D1566">
        <v>1</v>
      </c>
      <c r="E1566" t="s">
        <v>415</v>
      </c>
      <c r="F1566" t="s">
        <v>416</v>
      </c>
      <c r="G1566" t="s">
        <v>417</v>
      </c>
      <c r="H1566" t="s">
        <v>84</v>
      </c>
      <c r="I1566" t="s">
        <v>428</v>
      </c>
      <c r="J1566" t="s">
        <v>59</v>
      </c>
      <c r="K1566">
        <v>-7343.8590494700002</v>
      </c>
      <c r="L1566" t="s">
        <v>89</v>
      </c>
      <c r="M1566" t="s">
        <v>422</v>
      </c>
      <c r="N1566">
        <v>7.1262429683470005E-2</v>
      </c>
      <c r="O1566">
        <v>523.34123899999997</v>
      </c>
      <c r="P1566" t="s">
        <v>421</v>
      </c>
      <c r="Q1566">
        <v>1</v>
      </c>
      <c r="V1566">
        <v>1</v>
      </c>
      <c r="W1566">
        <v>1</v>
      </c>
      <c r="X1566">
        <v>1</v>
      </c>
      <c r="Y1566">
        <v>1</v>
      </c>
      <c r="Z1566">
        <v>523.34123899999997</v>
      </c>
    </row>
    <row r="1567" spans="1:26" x14ac:dyDescent="0.25">
      <c r="A1567">
        <v>100113</v>
      </c>
      <c r="B1567" t="s">
        <v>148</v>
      </c>
      <c r="C1567">
        <v>2019</v>
      </c>
      <c r="D1567">
        <v>1</v>
      </c>
      <c r="E1567" t="s">
        <v>415</v>
      </c>
      <c r="F1567" t="s">
        <v>416</v>
      </c>
      <c r="G1567" t="s">
        <v>417</v>
      </c>
      <c r="H1567" t="s">
        <v>84</v>
      </c>
      <c r="I1567" t="s">
        <v>428</v>
      </c>
      <c r="J1567" t="s">
        <v>59</v>
      </c>
      <c r="K1567">
        <v>-7343.8590494700002</v>
      </c>
      <c r="L1567" t="s">
        <v>89</v>
      </c>
      <c r="M1567" t="s">
        <v>423</v>
      </c>
      <c r="N1567">
        <v>0.74738783869542003</v>
      </c>
      <c r="O1567">
        <v>5488.710943</v>
      </c>
      <c r="P1567" t="s">
        <v>421</v>
      </c>
      <c r="Q1567">
        <v>1</v>
      </c>
      <c r="V1567">
        <v>1</v>
      </c>
      <c r="W1567">
        <v>1</v>
      </c>
      <c r="X1567">
        <v>1</v>
      </c>
      <c r="Y1567">
        <v>1</v>
      </c>
      <c r="Z1567">
        <v>5488.710943</v>
      </c>
    </row>
    <row r="1568" spans="1:26" x14ac:dyDescent="0.25">
      <c r="A1568">
        <v>100114</v>
      </c>
      <c r="B1568" t="s">
        <v>148</v>
      </c>
      <c r="C1568">
        <v>2019</v>
      </c>
      <c r="D1568">
        <v>1</v>
      </c>
      <c r="E1568" t="s">
        <v>415</v>
      </c>
      <c r="F1568" t="s">
        <v>416</v>
      </c>
      <c r="G1568" t="s">
        <v>417</v>
      </c>
      <c r="H1568" t="s">
        <v>84</v>
      </c>
      <c r="I1568" t="s">
        <v>428</v>
      </c>
      <c r="J1568" t="s">
        <v>59</v>
      </c>
      <c r="K1568">
        <v>-7343.8590494700002</v>
      </c>
      <c r="L1568" t="s">
        <v>89</v>
      </c>
      <c r="M1568" t="s">
        <v>424</v>
      </c>
      <c r="N1568">
        <v>3.08071516317E-3</v>
      </c>
      <c r="O1568">
        <v>22.624338000000002</v>
      </c>
      <c r="P1568" t="s">
        <v>421</v>
      </c>
      <c r="Q1568">
        <v>1</v>
      </c>
      <c r="V1568">
        <v>1</v>
      </c>
      <c r="W1568">
        <v>1</v>
      </c>
      <c r="X1568">
        <v>1</v>
      </c>
      <c r="Y1568">
        <v>1</v>
      </c>
      <c r="Z1568">
        <v>22.624338000000002</v>
      </c>
    </row>
    <row r="1569" spans="1:26" x14ac:dyDescent="0.25">
      <c r="A1569">
        <v>100115</v>
      </c>
      <c r="B1569" t="s">
        <v>148</v>
      </c>
      <c r="C1569">
        <v>2019</v>
      </c>
      <c r="D1569">
        <v>1</v>
      </c>
      <c r="E1569" t="s">
        <v>415</v>
      </c>
      <c r="F1569" t="s">
        <v>416</v>
      </c>
      <c r="G1569" t="s">
        <v>417</v>
      </c>
      <c r="H1569" t="s">
        <v>84</v>
      </c>
      <c r="I1569" t="s">
        <v>428</v>
      </c>
      <c r="J1569" t="s">
        <v>59</v>
      </c>
      <c r="K1569">
        <v>-7343.8590494700002</v>
      </c>
      <c r="L1569" t="s">
        <v>89</v>
      </c>
      <c r="M1569" t="s">
        <v>425</v>
      </c>
      <c r="N1569">
        <v>2.5360775708E-3</v>
      </c>
      <c r="O1569">
        <v>18.624596</v>
      </c>
      <c r="P1569" t="s">
        <v>421</v>
      </c>
      <c r="Q1569">
        <v>1</v>
      </c>
      <c r="V1569">
        <v>1</v>
      </c>
      <c r="W1569">
        <v>1</v>
      </c>
      <c r="X1569">
        <v>1</v>
      </c>
      <c r="Y1569">
        <v>1</v>
      </c>
      <c r="Z1569">
        <v>18.624596</v>
      </c>
    </row>
    <row r="1570" spans="1:26" x14ac:dyDescent="0.25">
      <c r="A1570">
        <v>100116</v>
      </c>
      <c r="B1570" t="s">
        <v>148</v>
      </c>
      <c r="C1570">
        <v>2019</v>
      </c>
      <c r="D1570">
        <v>1</v>
      </c>
      <c r="E1570" t="s">
        <v>415</v>
      </c>
      <c r="F1570" t="s">
        <v>429</v>
      </c>
      <c r="G1570" t="s">
        <v>430</v>
      </c>
      <c r="H1570" t="s">
        <v>84</v>
      </c>
      <c r="I1570" t="s">
        <v>431</v>
      </c>
      <c r="J1570" t="s">
        <v>419</v>
      </c>
      <c r="K1570">
        <v>-47760.758183029997</v>
      </c>
      <c r="L1570" t="s">
        <v>85</v>
      </c>
      <c r="M1570" t="s">
        <v>420</v>
      </c>
      <c r="N1570">
        <v>0.24824931095561001</v>
      </c>
      <c r="O1570">
        <v>11856.57531</v>
      </c>
      <c r="P1570" t="s">
        <v>421</v>
      </c>
      <c r="Q1570">
        <v>1</v>
      </c>
      <c r="V1570">
        <v>1</v>
      </c>
      <c r="W1570">
        <v>1</v>
      </c>
      <c r="X1570">
        <v>1</v>
      </c>
      <c r="Y1570">
        <v>1</v>
      </c>
      <c r="Z1570">
        <v>11856.57531</v>
      </c>
    </row>
    <row r="1571" spans="1:26" x14ac:dyDescent="0.25">
      <c r="A1571">
        <v>100117</v>
      </c>
      <c r="B1571" t="s">
        <v>148</v>
      </c>
      <c r="C1571">
        <v>2019</v>
      </c>
      <c r="D1571">
        <v>1</v>
      </c>
      <c r="E1571" t="s">
        <v>415</v>
      </c>
      <c r="F1571" t="s">
        <v>429</v>
      </c>
      <c r="G1571" t="s">
        <v>430</v>
      </c>
      <c r="H1571" t="s">
        <v>84</v>
      </c>
      <c r="I1571" t="s">
        <v>431</v>
      </c>
      <c r="J1571" t="s">
        <v>419</v>
      </c>
      <c r="K1571">
        <v>-47760.758183029997</v>
      </c>
      <c r="L1571" t="s">
        <v>85</v>
      </c>
      <c r="M1571" t="s">
        <v>422</v>
      </c>
      <c r="N1571">
        <v>7.7540047892240005E-2</v>
      </c>
      <c r="O1571">
        <v>3703.3714770000001</v>
      </c>
      <c r="P1571" t="s">
        <v>421</v>
      </c>
      <c r="Q1571">
        <v>1</v>
      </c>
      <c r="V1571">
        <v>1</v>
      </c>
      <c r="W1571">
        <v>1</v>
      </c>
      <c r="X1571">
        <v>1</v>
      </c>
      <c r="Y1571">
        <v>1</v>
      </c>
      <c r="Z1571">
        <v>3703.3714770000001</v>
      </c>
    </row>
    <row r="1572" spans="1:26" x14ac:dyDescent="0.25">
      <c r="A1572">
        <v>100118</v>
      </c>
      <c r="B1572" t="s">
        <v>148</v>
      </c>
      <c r="C1572">
        <v>2019</v>
      </c>
      <c r="D1572">
        <v>1</v>
      </c>
      <c r="E1572" t="s">
        <v>415</v>
      </c>
      <c r="F1572" t="s">
        <v>429</v>
      </c>
      <c r="G1572" t="s">
        <v>430</v>
      </c>
      <c r="H1572" t="s">
        <v>84</v>
      </c>
      <c r="I1572" t="s">
        <v>431</v>
      </c>
      <c r="J1572" t="s">
        <v>419</v>
      </c>
      <c r="K1572">
        <v>-47760.758183029997</v>
      </c>
      <c r="L1572" t="s">
        <v>85</v>
      </c>
      <c r="M1572" t="s">
        <v>423</v>
      </c>
      <c r="N1572">
        <v>0.73979703899049998</v>
      </c>
      <c r="O1572">
        <v>35333.267484000004</v>
      </c>
      <c r="P1572" t="s">
        <v>421</v>
      </c>
      <c r="Q1572">
        <v>1</v>
      </c>
      <c r="V1572">
        <v>1</v>
      </c>
      <c r="W1572">
        <v>1</v>
      </c>
      <c r="X1572">
        <v>1</v>
      </c>
      <c r="Y1572">
        <v>1</v>
      </c>
      <c r="Z1572">
        <v>35333.267484000004</v>
      </c>
    </row>
    <row r="1573" spans="1:26" x14ac:dyDescent="0.25">
      <c r="A1573">
        <v>100119</v>
      </c>
      <c r="B1573" t="s">
        <v>148</v>
      </c>
      <c r="C1573">
        <v>2019</v>
      </c>
      <c r="D1573">
        <v>1</v>
      </c>
      <c r="E1573" t="s">
        <v>415</v>
      </c>
      <c r="F1573" t="s">
        <v>429</v>
      </c>
      <c r="G1573" t="s">
        <v>430</v>
      </c>
      <c r="H1573" t="s">
        <v>84</v>
      </c>
      <c r="I1573" t="s">
        <v>431</v>
      </c>
      <c r="J1573" t="s">
        <v>419</v>
      </c>
      <c r="K1573">
        <v>-47760.758183029997</v>
      </c>
      <c r="L1573" t="s">
        <v>85</v>
      </c>
      <c r="M1573" t="s">
        <v>424</v>
      </c>
      <c r="N1573">
        <v>2.9085775596699999E-3</v>
      </c>
      <c r="O1573">
        <v>138.91586899999999</v>
      </c>
      <c r="P1573" t="s">
        <v>421</v>
      </c>
      <c r="Q1573">
        <v>1</v>
      </c>
      <c r="V1573">
        <v>1</v>
      </c>
      <c r="W1573">
        <v>1</v>
      </c>
      <c r="X1573">
        <v>1</v>
      </c>
      <c r="Y1573">
        <v>1</v>
      </c>
      <c r="Z1573">
        <v>138.91586899999999</v>
      </c>
    </row>
    <row r="1574" spans="1:26" x14ac:dyDescent="0.25">
      <c r="A1574">
        <v>100120</v>
      </c>
      <c r="B1574" t="s">
        <v>148</v>
      </c>
      <c r="C1574">
        <v>2019</v>
      </c>
      <c r="D1574">
        <v>1</v>
      </c>
      <c r="E1574" t="s">
        <v>415</v>
      </c>
      <c r="F1574" t="s">
        <v>429</v>
      </c>
      <c r="G1574" t="s">
        <v>430</v>
      </c>
      <c r="H1574" t="s">
        <v>84</v>
      </c>
      <c r="I1574" t="s">
        <v>431</v>
      </c>
      <c r="J1574" t="s">
        <v>419</v>
      </c>
      <c r="K1574">
        <v>-47760.758183029997</v>
      </c>
      <c r="L1574" t="s">
        <v>85</v>
      </c>
      <c r="M1574" t="s">
        <v>425</v>
      </c>
      <c r="N1574">
        <v>2.6170694898000001E-3</v>
      </c>
      <c r="O1574">
        <v>124.993223</v>
      </c>
      <c r="P1574" t="s">
        <v>421</v>
      </c>
      <c r="Q1574">
        <v>1</v>
      </c>
      <c r="V1574">
        <v>1</v>
      </c>
      <c r="W1574">
        <v>1</v>
      </c>
      <c r="X1574">
        <v>1</v>
      </c>
      <c r="Y1574">
        <v>1</v>
      </c>
      <c r="Z1574">
        <v>124.993223</v>
      </c>
    </row>
    <row r="1575" spans="1:26" x14ac:dyDescent="0.25">
      <c r="A1575">
        <v>100121</v>
      </c>
      <c r="B1575" t="s">
        <v>148</v>
      </c>
      <c r="C1575">
        <v>2019</v>
      </c>
      <c r="D1575">
        <v>1</v>
      </c>
      <c r="E1575" t="s">
        <v>415</v>
      </c>
      <c r="F1575" t="s">
        <v>429</v>
      </c>
      <c r="G1575" t="s">
        <v>430</v>
      </c>
      <c r="H1575" t="s">
        <v>84</v>
      </c>
      <c r="I1575" t="s">
        <v>432</v>
      </c>
      <c r="J1575" t="s">
        <v>87</v>
      </c>
      <c r="K1575">
        <v>-26982.195142410001</v>
      </c>
      <c r="L1575" t="s">
        <v>427</v>
      </c>
      <c r="M1575" t="s">
        <v>420</v>
      </c>
      <c r="N1575">
        <v>0.45523813654234002</v>
      </c>
      <c r="O1575">
        <v>12283.324236</v>
      </c>
      <c r="P1575" t="s">
        <v>421</v>
      </c>
      <c r="Q1575">
        <v>1</v>
      </c>
      <c r="V1575">
        <v>1</v>
      </c>
      <c r="W1575">
        <v>1</v>
      </c>
      <c r="X1575">
        <v>1</v>
      </c>
      <c r="Y1575">
        <v>1</v>
      </c>
      <c r="Z1575">
        <v>12283.324236</v>
      </c>
    </row>
    <row r="1576" spans="1:26" x14ac:dyDescent="0.25">
      <c r="A1576">
        <v>100122</v>
      </c>
      <c r="B1576" t="s">
        <v>148</v>
      </c>
      <c r="C1576">
        <v>2019</v>
      </c>
      <c r="D1576">
        <v>1</v>
      </c>
      <c r="E1576" t="s">
        <v>415</v>
      </c>
      <c r="F1576" t="s">
        <v>429</v>
      </c>
      <c r="G1576" t="s">
        <v>430</v>
      </c>
      <c r="H1576" t="s">
        <v>84</v>
      </c>
      <c r="I1576" t="s">
        <v>432</v>
      </c>
      <c r="J1576" t="s">
        <v>87</v>
      </c>
      <c r="K1576">
        <v>-26982.195142410001</v>
      </c>
      <c r="L1576" t="s">
        <v>427</v>
      </c>
      <c r="M1576" t="s">
        <v>422</v>
      </c>
      <c r="N1576">
        <v>6.8896616392329996E-2</v>
      </c>
      <c r="O1576">
        <v>1858.9819480000001</v>
      </c>
      <c r="P1576" t="s">
        <v>421</v>
      </c>
      <c r="Q1576">
        <v>1</v>
      </c>
      <c r="V1576">
        <v>1</v>
      </c>
      <c r="W1576">
        <v>1</v>
      </c>
      <c r="X1576">
        <v>1</v>
      </c>
      <c r="Y1576">
        <v>1</v>
      </c>
      <c r="Z1576">
        <v>1858.9819480000001</v>
      </c>
    </row>
    <row r="1577" spans="1:26" x14ac:dyDescent="0.25">
      <c r="A1577">
        <v>100123</v>
      </c>
      <c r="B1577" t="s">
        <v>148</v>
      </c>
      <c r="C1577">
        <v>2019</v>
      </c>
      <c r="D1577">
        <v>1</v>
      </c>
      <c r="E1577" t="s">
        <v>415</v>
      </c>
      <c r="F1577" t="s">
        <v>429</v>
      </c>
      <c r="G1577" t="s">
        <v>430</v>
      </c>
      <c r="H1577" t="s">
        <v>84</v>
      </c>
      <c r="I1577" t="s">
        <v>432</v>
      </c>
      <c r="J1577" t="s">
        <v>87</v>
      </c>
      <c r="K1577">
        <v>-26982.195142410001</v>
      </c>
      <c r="L1577" t="s">
        <v>427</v>
      </c>
      <c r="M1577" t="s">
        <v>423</v>
      </c>
      <c r="N1577">
        <v>0.70986919705586005</v>
      </c>
      <c r="O1577">
        <v>19153.829201</v>
      </c>
      <c r="P1577" t="s">
        <v>421</v>
      </c>
      <c r="Q1577">
        <v>1</v>
      </c>
      <c r="V1577">
        <v>1</v>
      </c>
      <c r="W1577">
        <v>1</v>
      </c>
      <c r="X1577">
        <v>1</v>
      </c>
      <c r="Y1577">
        <v>1</v>
      </c>
      <c r="Z1577">
        <v>19153.829201</v>
      </c>
    </row>
    <row r="1578" spans="1:26" x14ac:dyDescent="0.25">
      <c r="A1578">
        <v>100124</v>
      </c>
      <c r="B1578" t="s">
        <v>148</v>
      </c>
      <c r="C1578">
        <v>2019</v>
      </c>
      <c r="D1578">
        <v>1</v>
      </c>
      <c r="E1578" t="s">
        <v>415</v>
      </c>
      <c r="F1578" t="s">
        <v>429</v>
      </c>
      <c r="G1578" t="s">
        <v>430</v>
      </c>
      <c r="H1578" t="s">
        <v>84</v>
      </c>
      <c r="I1578" t="s">
        <v>432</v>
      </c>
      <c r="J1578" t="s">
        <v>87</v>
      </c>
      <c r="K1578">
        <v>-26982.195142410001</v>
      </c>
      <c r="L1578" t="s">
        <v>427</v>
      </c>
      <c r="M1578" t="s">
        <v>425</v>
      </c>
      <c r="N1578">
        <v>1.4965642882E-3</v>
      </c>
      <c r="O1578">
        <v>40.380589999999998</v>
      </c>
      <c r="P1578" t="s">
        <v>421</v>
      </c>
      <c r="Q1578">
        <v>1</v>
      </c>
      <c r="V1578">
        <v>1</v>
      </c>
      <c r="W1578">
        <v>1</v>
      </c>
      <c r="X1578">
        <v>1</v>
      </c>
      <c r="Y1578">
        <v>1</v>
      </c>
      <c r="Z1578">
        <v>40.380589999999998</v>
      </c>
    </row>
    <row r="1579" spans="1:26" x14ac:dyDescent="0.25">
      <c r="A1579">
        <v>100125</v>
      </c>
      <c r="B1579" t="s">
        <v>148</v>
      </c>
      <c r="C1579">
        <v>2019</v>
      </c>
      <c r="D1579">
        <v>1</v>
      </c>
      <c r="E1579" t="s">
        <v>415</v>
      </c>
      <c r="F1579" t="s">
        <v>429</v>
      </c>
      <c r="G1579" t="s">
        <v>430</v>
      </c>
      <c r="H1579" t="s">
        <v>84</v>
      </c>
      <c r="I1579" t="s">
        <v>433</v>
      </c>
      <c r="J1579" t="s">
        <v>59</v>
      </c>
      <c r="K1579">
        <v>-9615.6522006100004</v>
      </c>
      <c r="L1579" t="s">
        <v>89</v>
      </c>
      <c r="M1579" t="s">
        <v>420</v>
      </c>
      <c r="N1579">
        <v>0.26343870574139999</v>
      </c>
      <c r="O1579">
        <v>2533.134971</v>
      </c>
      <c r="P1579" t="s">
        <v>421</v>
      </c>
      <c r="Q1579">
        <v>1</v>
      </c>
      <c r="V1579">
        <v>1</v>
      </c>
      <c r="W1579">
        <v>1</v>
      </c>
      <c r="X1579">
        <v>1</v>
      </c>
      <c r="Y1579">
        <v>1</v>
      </c>
      <c r="Z1579">
        <v>2533.134971</v>
      </c>
    </row>
    <row r="1580" spans="1:26" x14ac:dyDescent="0.25">
      <c r="A1580">
        <v>100126</v>
      </c>
      <c r="B1580" t="s">
        <v>148</v>
      </c>
      <c r="C1580">
        <v>2019</v>
      </c>
      <c r="D1580">
        <v>1</v>
      </c>
      <c r="E1580" t="s">
        <v>415</v>
      </c>
      <c r="F1580" t="s">
        <v>429</v>
      </c>
      <c r="G1580" t="s">
        <v>430</v>
      </c>
      <c r="H1580" t="s">
        <v>84</v>
      </c>
      <c r="I1580" t="s">
        <v>433</v>
      </c>
      <c r="J1580" t="s">
        <v>59</v>
      </c>
      <c r="K1580">
        <v>-9615.6522006100004</v>
      </c>
      <c r="L1580" t="s">
        <v>89</v>
      </c>
      <c r="M1580" t="s">
        <v>422</v>
      </c>
      <c r="N1580">
        <v>7.1262429683470005E-2</v>
      </c>
      <c r="O1580">
        <v>685.23473899999999</v>
      </c>
      <c r="P1580" t="s">
        <v>421</v>
      </c>
      <c r="Q1580">
        <v>1</v>
      </c>
      <c r="V1580">
        <v>1</v>
      </c>
      <c r="W1580">
        <v>1</v>
      </c>
      <c r="X1580">
        <v>1</v>
      </c>
      <c r="Y1580">
        <v>1</v>
      </c>
      <c r="Z1580">
        <v>685.23473899999999</v>
      </c>
    </row>
    <row r="1581" spans="1:26" x14ac:dyDescent="0.25">
      <c r="A1581">
        <v>100127</v>
      </c>
      <c r="B1581" t="s">
        <v>148</v>
      </c>
      <c r="C1581">
        <v>2019</v>
      </c>
      <c r="D1581">
        <v>1</v>
      </c>
      <c r="E1581" t="s">
        <v>415</v>
      </c>
      <c r="F1581" t="s">
        <v>429</v>
      </c>
      <c r="G1581" t="s">
        <v>430</v>
      </c>
      <c r="H1581" t="s">
        <v>84</v>
      </c>
      <c r="I1581" t="s">
        <v>433</v>
      </c>
      <c r="J1581" t="s">
        <v>59</v>
      </c>
      <c r="K1581">
        <v>-9615.6522006100004</v>
      </c>
      <c r="L1581" t="s">
        <v>89</v>
      </c>
      <c r="M1581" t="s">
        <v>423</v>
      </c>
      <c r="N1581">
        <v>0.74738783869542003</v>
      </c>
      <c r="O1581">
        <v>7186.6215160000002</v>
      </c>
      <c r="P1581" t="s">
        <v>421</v>
      </c>
      <c r="Q1581">
        <v>1</v>
      </c>
      <c r="V1581">
        <v>1</v>
      </c>
      <c r="W1581">
        <v>1</v>
      </c>
      <c r="X1581">
        <v>1</v>
      </c>
      <c r="Y1581">
        <v>1</v>
      </c>
      <c r="Z1581">
        <v>7186.6215160000002</v>
      </c>
    </row>
    <row r="1582" spans="1:26" x14ac:dyDescent="0.25">
      <c r="A1582">
        <v>100128</v>
      </c>
      <c r="B1582" t="s">
        <v>148</v>
      </c>
      <c r="C1582">
        <v>2019</v>
      </c>
      <c r="D1582">
        <v>1</v>
      </c>
      <c r="E1582" t="s">
        <v>415</v>
      </c>
      <c r="F1582" t="s">
        <v>429</v>
      </c>
      <c r="G1582" t="s">
        <v>430</v>
      </c>
      <c r="H1582" t="s">
        <v>84</v>
      </c>
      <c r="I1582" t="s">
        <v>433</v>
      </c>
      <c r="J1582" t="s">
        <v>59</v>
      </c>
      <c r="K1582">
        <v>-9615.6522006100004</v>
      </c>
      <c r="L1582" t="s">
        <v>89</v>
      </c>
      <c r="M1582" t="s">
        <v>424</v>
      </c>
      <c r="N1582">
        <v>3.08071516317E-3</v>
      </c>
      <c r="O1582">
        <v>29.623086000000001</v>
      </c>
      <c r="P1582" t="s">
        <v>421</v>
      </c>
      <c r="Q1582">
        <v>1</v>
      </c>
      <c r="V1582">
        <v>1</v>
      </c>
      <c r="W1582">
        <v>1</v>
      </c>
      <c r="X1582">
        <v>1</v>
      </c>
      <c r="Y1582">
        <v>1</v>
      </c>
      <c r="Z1582">
        <v>29.623086000000001</v>
      </c>
    </row>
    <row r="1583" spans="1:26" x14ac:dyDescent="0.25">
      <c r="A1583">
        <v>100129</v>
      </c>
      <c r="B1583" t="s">
        <v>148</v>
      </c>
      <c r="C1583">
        <v>2019</v>
      </c>
      <c r="D1583">
        <v>1</v>
      </c>
      <c r="E1583" t="s">
        <v>415</v>
      </c>
      <c r="F1583" t="s">
        <v>429</v>
      </c>
      <c r="G1583" t="s">
        <v>430</v>
      </c>
      <c r="H1583" t="s">
        <v>84</v>
      </c>
      <c r="I1583" t="s">
        <v>433</v>
      </c>
      <c r="J1583" t="s">
        <v>59</v>
      </c>
      <c r="K1583">
        <v>-9615.6522006100004</v>
      </c>
      <c r="L1583" t="s">
        <v>89</v>
      </c>
      <c r="M1583" t="s">
        <v>425</v>
      </c>
      <c r="N1583">
        <v>2.5360775708E-3</v>
      </c>
      <c r="O1583">
        <v>24.386040000000001</v>
      </c>
      <c r="P1583" t="s">
        <v>421</v>
      </c>
      <c r="Q1583">
        <v>1</v>
      </c>
      <c r="V1583">
        <v>1</v>
      </c>
      <c r="W1583">
        <v>1</v>
      </c>
      <c r="X1583">
        <v>1</v>
      </c>
      <c r="Y1583">
        <v>1</v>
      </c>
      <c r="Z1583">
        <v>24.386040000000001</v>
      </c>
    </row>
    <row r="1584" spans="1:26" x14ac:dyDescent="0.25">
      <c r="A1584">
        <v>100130</v>
      </c>
      <c r="B1584" t="s">
        <v>148</v>
      </c>
      <c r="C1584">
        <v>2019</v>
      </c>
      <c r="D1584">
        <v>1</v>
      </c>
      <c r="E1584" t="s">
        <v>415</v>
      </c>
      <c r="F1584" t="s">
        <v>434</v>
      </c>
      <c r="G1584" t="s">
        <v>435</v>
      </c>
      <c r="H1584" t="s">
        <v>84</v>
      </c>
      <c r="I1584" t="s">
        <v>436</v>
      </c>
      <c r="J1584" t="s">
        <v>419</v>
      </c>
      <c r="K1584">
        <v>-23698.678732969998</v>
      </c>
      <c r="L1584" t="s">
        <v>85</v>
      </c>
      <c r="M1584" t="s">
        <v>420</v>
      </c>
      <c r="N1584">
        <v>0.24824931095561001</v>
      </c>
      <c r="O1584">
        <v>5883.1806660000002</v>
      </c>
      <c r="P1584" t="s">
        <v>421</v>
      </c>
      <c r="Q1584">
        <v>1</v>
      </c>
      <c r="V1584">
        <v>1</v>
      </c>
      <c r="W1584">
        <v>1</v>
      </c>
      <c r="X1584">
        <v>1</v>
      </c>
      <c r="Y1584">
        <v>1</v>
      </c>
      <c r="Z1584">
        <v>5883.1806660000002</v>
      </c>
    </row>
    <row r="1585" spans="1:26" x14ac:dyDescent="0.25">
      <c r="A1585">
        <v>100131</v>
      </c>
      <c r="B1585" t="s">
        <v>148</v>
      </c>
      <c r="C1585">
        <v>2019</v>
      </c>
      <c r="D1585">
        <v>1</v>
      </c>
      <c r="E1585" t="s">
        <v>415</v>
      </c>
      <c r="F1585" t="s">
        <v>434</v>
      </c>
      <c r="G1585" t="s">
        <v>435</v>
      </c>
      <c r="H1585" t="s">
        <v>84</v>
      </c>
      <c r="I1585" t="s">
        <v>436</v>
      </c>
      <c r="J1585" t="s">
        <v>419</v>
      </c>
      <c r="K1585">
        <v>-23698.678732969998</v>
      </c>
      <c r="L1585" t="s">
        <v>85</v>
      </c>
      <c r="M1585" t="s">
        <v>422</v>
      </c>
      <c r="N1585">
        <v>7.7540047892240005E-2</v>
      </c>
      <c r="O1585">
        <v>1837.5966840000001</v>
      </c>
      <c r="P1585" t="s">
        <v>421</v>
      </c>
      <c r="Q1585">
        <v>1</v>
      </c>
      <c r="V1585">
        <v>1</v>
      </c>
      <c r="W1585">
        <v>1</v>
      </c>
      <c r="X1585">
        <v>1</v>
      </c>
      <c r="Y1585">
        <v>1</v>
      </c>
      <c r="Z1585">
        <v>1837.5966840000001</v>
      </c>
    </row>
    <row r="1586" spans="1:26" x14ac:dyDescent="0.25">
      <c r="A1586">
        <v>100132</v>
      </c>
      <c r="B1586" t="s">
        <v>148</v>
      </c>
      <c r="C1586">
        <v>2019</v>
      </c>
      <c r="D1586">
        <v>1</v>
      </c>
      <c r="E1586" t="s">
        <v>415</v>
      </c>
      <c r="F1586" t="s">
        <v>434</v>
      </c>
      <c r="G1586" t="s">
        <v>435</v>
      </c>
      <c r="H1586" t="s">
        <v>84</v>
      </c>
      <c r="I1586" t="s">
        <v>436</v>
      </c>
      <c r="J1586" t="s">
        <v>419</v>
      </c>
      <c r="K1586">
        <v>-23698.678732969998</v>
      </c>
      <c r="L1586" t="s">
        <v>85</v>
      </c>
      <c r="M1586" t="s">
        <v>423</v>
      </c>
      <c r="N1586">
        <v>0.73979703899049998</v>
      </c>
      <c r="O1586">
        <v>17532.212355</v>
      </c>
      <c r="P1586" t="s">
        <v>421</v>
      </c>
      <c r="Q1586">
        <v>1</v>
      </c>
      <c r="V1586">
        <v>1</v>
      </c>
      <c r="W1586">
        <v>1</v>
      </c>
      <c r="X1586">
        <v>1</v>
      </c>
      <c r="Y1586">
        <v>1</v>
      </c>
      <c r="Z1586">
        <v>17532.212355</v>
      </c>
    </row>
    <row r="1587" spans="1:26" x14ac:dyDescent="0.25">
      <c r="A1587">
        <v>100133</v>
      </c>
      <c r="B1587" t="s">
        <v>148</v>
      </c>
      <c r="C1587">
        <v>2019</v>
      </c>
      <c r="D1587">
        <v>1</v>
      </c>
      <c r="E1587" t="s">
        <v>415</v>
      </c>
      <c r="F1587" t="s">
        <v>434</v>
      </c>
      <c r="G1587" t="s">
        <v>435</v>
      </c>
      <c r="H1587" t="s">
        <v>84</v>
      </c>
      <c r="I1587" t="s">
        <v>436</v>
      </c>
      <c r="J1587" t="s">
        <v>419</v>
      </c>
      <c r="K1587">
        <v>-23698.678732969998</v>
      </c>
      <c r="L1587" t="s">
        <v>85</v>
      </c>
      <c r="M1587" t="s">
        <v>424</v>
      </c>
      <c r="N1587">
        <v>2.9085775596699999E-3</v>
      </c>
      <c r="O1587">
        <v>68.929445000000001</v>
      </c>
      <c r="P1587" t="s">
        <v>421</v>
      </c>
      <c r="Q1587">
        <v>1</v>
      </c>
      <c r="V1587">
        <v>1</v>
      </c>
      <c r="W1587">
        <v>1</v>
      </c>
      <c r="X1587">
        <v>1</v>
      </c>
      <c r="Y1587">
        <v>1</v>
      </c>
      <c r="Z1587">
        <v>68.929445000000001</v>
      </c>
    </row>
    <row r="1588" spans="1:26" x14ac:dyDescent="0.25">
      <c r="A1588">
        <v>100134</v>
      </c>
      <c r="B1588" t="s">
        <v>148</v>
      </c>
      <c r="C1588">
        <v>2019</v>
      </c>
      <c r="D1588">
        <v>1</v>
      </c>
      <c r="E1588" t="s">
        <v>415</v>
      </c>
      <c r="F1588" t="s">
        <v>434</v>
      </c>
      <c r="G1588" t="s">
        <v>435</v>
      </c>
      <c r="H1588" t="s">
        <v>84</v>
      </c>
      <c r="I1588" t="s">
        <v>436</v>
      </c>
      <c r="J1588" t="s">
        <v>419</v>
      </c>
      <c r="K1588">
        <v>-23698.678732969998</v>
      </c>
      <c r="L1588" t="s">
        <v>85</v>
      </c>
      <c r="M1588" t="s">
        <v>425</v>
      </c>
      <c r="N1588">
        <v>2.6170694898000001E-3</v>
      </c>
      <c r="O1588">
        <v>62.021089000000003</v>
      </c>
      <c r="P1588" t="s">
        <v>421</v>
      </c>
      <c r="Q1588">
        <v>1</v>
      </c>
      <c r="V1588">
        <v>1</v>
      </c>
      <c r="W1588">
        <v>1</v>
      </c>
      <c r="X1588">
        <v>1</v>
      </c>
      <c r="Y1588">
        <v>1</v>
      </c>
      <c r="Z1588">
        <v>62.021089000000003</v>
      </c>
    </row>
    <row r="1589" spans="1:26" x14ac:dyDescent="0.25">
      <c r="A1589">
        <v>100135</v>
      </c>
      <c r="B1589" t="s">
        <v>148</v>
      </c>
      <c r="C1589">
        <v>2019</v>
      </c>
      <c r="D1589">
        <v>1</v>
      </c>
      <c r="E1589" t="s">
        <v>415</v>
      </c>
      <c r="F1589" t="s">
        <v>434</v>
      </c>
      <c r="G1589" t="s">
        <v>435</v>
      </c>
      <c r="H1589" t="s">
        <v>84</v>
      </c>
      <c r="I1589" t="s">
        <v>437</v>
      </c>
      <c r="J1589" t="s">
        <v>87</v>
      </c>
      <c r="K1589">
        <v>-12253.416046230001</v>
      </c>
      <c r="L1589" t="s">
        <v>427</v>
      </c>
      <c r="M1589" t="s">
        <v>420</v>
      </c>
      <c r="N1589">
        <v>0.45523813654234002</v>
      </c>
      <c r="O1589">
        <v>5578.2222869999996</v>
      </c>
      <c r="P1589" t="s">
        <v>421</v>
      </c>
      <c r="Q1589">
        <v>1</v>
      </c>
      <c r="V1589">
        <v>1</v>
      </c>
      <c r="W1589">
        <v>1</v>
      </c>
      <c r="X1589">
        <v>1</v>
      </c>
      <c r="Y1589">
        <v>1</v>
      </c>
      <c r="Z1589">
        <v>5578.2222869999996</v>
      </c>
    </row>
    <row r="1590" spans="1:26" x14ac:dyDescent="0.25">
      <c r="A1590">
        <v>100136</v>
      </c>
      <c r="B1590" t="s">
        <v>148</v>
      </c>
      <c r="C1590">
        <v>2019</v>
      </c>
      <c r="D1590">
        <v>1</v>
      </c>
      <c r="E1590" t="s">
        <v>415</v>
      </c>
      <c r="F1590" t="s">
        <v>434</v>
      </c>
      <c r="G1590" t="s">
        <v>435</v>
      </c>
      <c r="H1590" t="s">
        <v>84</v>
      </c>
      <c r="I1590" t="s">
        <v>437</v>
      </c>
      <c r="J1590" t="s">
        <v>87</v>
      </c>
      <c r="K1590">
        <v>-12253.416046230001</v>
      </c>
      <c r="L1590" t="s">
        <v>427</v>
      </c>
      <c r="M1590" t="s">
        <v>422</v>
      </c>
      <c r="N1590">
        <v>6.8896616392329996E-2</v>
      </c>
      <c r="O1590">
        <v>844.21890499999995</v>
      </c>
      <c r="P1590" t="s">
        <v>421</v>
      </c>
      <c r="Q1590">
        <v>1</v>
      </c>
      <c r="V1590">
        <v>1</v>
      </c>
      <c r="W1590">
        <v>1</v>
      </c>
      <c r="X1590">
        <v>1</v>
      </c>
      <c r="Y1590">
        <v>1</v>
      </c>
      <c r="Z1590">
        <v>844.21890499999995</v>
      </c>
    </row>
    <row r="1591" spans="1:26" x14ac:dyDescent="0.25">
      <c r="A1591">
        <v>100137</v>
      </c>
      <c r="B1591" t="s">
        <v>148</v>
      </c>
      <c r="C1591">
        <v>2019</v>
      </c>
      <c r="D1591">
        <v>1</v>
      </c>
      <c r="E1591" t="s">
        <v>415</v>
      </c>
      <c r="F1591" t="s">
        <v>434</v>
      </c>
      <c r="G1591" t="s">
        <v>435</v>
      </c>
      <c r="H1591" t="s">
        <v>84</v>
      </c>
      <c r="I1591" t="s">
        <v>437</v>
      </c>
      <c r="J1591" t="s">
        <v>87</v>
      </c>
      <c r="K1591">
        <v>-12253.416046230001</v>
      </c>
      <c r="L1591" t="s">
        <v>427</v>
      </c>
      <c r="M1591" t="s">
        <v>423</v>
      </c>
      <c r="N1591">
        <v>0.70986919705586005</v>
      </c>
      <c r="O1591">
        <v>8698.3226099999993</v>
      </c>
      <c r="P1591" t="s">
        <v>421</v>
      </c>
      <c r="Q1591">
        <v>1</v>
      </c>
      <c r="V1591">
        <v>1</v>
      </c>
      <c r="W1591">
        <v>1</v>
      </c>
      <c r="X1591">
        <v>1</v>
      </c>
      <c r="Y1591">
        <v>1</v>
      </c>
      <c r="Z1591">
        <v>8698.3226099999993</v>
      </c>
    </row>
    <row r="1592" spans="1:26" x14ac:dyDescent="0.25">
      <c r="A1592">
        <v>100138</v>
      </c>
      <c r="B1592" t="s">
        <v>148</v>
      </c>
      <c r="C1592">
        <v>2019</v>
      </c>
      <c r="D1592">
        <v>1</v>
      </c>
      <c r="E1592" t="s">
        <v>415</v>
      </c>
      <c r="F1592" t="s">
        <v>434</v>
      </c>
      <c r="G1592" t="s">
        <v>435</v>
      </c>
      <c r="H1592" t="s">
        <v>84</v>
      </c>
      <c r="I1592" t="s">
        <v>437</v>
      </c>
      <c r="J1592" t="s">
        <v>87</v>
      </c>
      <c r="K1592">
        <v>-12253.416046230001</v>
      </c>
      <c r="L1592" t="s">
        <v>427</v>
      </c>
      <c r="M1592" t="s">
        <v>425</v>
      </c>
      <c r="N1592">
        <v>1.4965642882E-3</v>
      </c>
      <c r="O1592">
        <v>18.338024999999998</v>
      </c>
      <c r="P1592" t="s">
        <v>421</v>
      </c>
      <c r="Q1592">
        <v>1</v>
      </c>
      <c r="V1592">
        <v>1</v>
      </c>
      <c r="W1592">
        <v>1</v>
      </c>
      <c r="X1592">
        <v>1</v>
      </c>
      <c r="Y1592">
        <v>1</v>
      </c>
      <c r="Z1592">
        <v>18.338024999999998</v>
      </c>
    </row>
    <row r="1593" spans="1:26" x14ac:dyDescent="0.25">
      <c r="A1593">
        <v>100139</v>
      </c>
      <c r="B1593" t="s">
        <v>148</v>
      </c>
      <c r="C1593">
        <v>2019</v>
      </c>
      <c r="D1593">
        <v>1</v>
      </c>
      <c r="E1593" t="s">
        <v>415</v>
      </c>
      <c r="F1593" t="s">
        <v>434</v>
      </c>
      <c r="G1593" t="s">
        <v>435</v>
      </c>
      <c r="H1593" t="s">
        <v>84</v>
      </c>
      <c r="I1593" t="s">
        <v>438</v>
      </c>
      <c r="J1593" t="s">
        <v>59</v>
      </c>
      <c r="K1593">
        <v>-4802.28889927</v>
      </c>
      <c r="L1593" t="s">
        <v>89</v>
      </c>
      <c r="M1593" t="s">
        <v>420</v>
      </c>
      <c r="N1593">
        <v>0.26343870574139999</v>
      </c>
      <c r="O1593">
        <v>1265.108772</v>
      </c>
      <c r="P1593" t="s">
        <v>421</v>
      </c>
      <c r="Q1593">
        <v>1</v>
      </c>
      <c r="V1593">
        <v>1</v>
      </c>
      <c r="W1593">
        <v>1</v>
      </c>
      <c r="X1593">
        <v>1</v>
      </c>
      <c r="Y1593">
        <v>1</v>
      </c>
      <c r="Z1593">
        <v>1265.108772</v>
      </c>
    </row>
    <row r="1594" spans="1:26" x14ac:dyDescent="0.25">
      <c r="A1594">
        <v>100140</v>
      </c>
      <c r="B1594" t="s">
        <v>148</v>
      </c>
      <c r="C1594">
        <v>2019</v>
      </c>
      <c r="D1594">
        <v>1</v>
      </c>
      <c r="E1594" t="s">
        <v>415</v>
      </c>
      <c r="F1594" t="s">
        <v>434</v>
      </c>
      <c r="G1594" t="s">
        <v>435</v>
      </c>
      <c r="H1594" t="s">
        <v>84</v>
      </c>
      <c r="I1594" t="s">
        <v>438</v>
      </c>
      <c r="J1594" t="s">
        <v>59</v>
      </c>
      <c r="K1594">
        <v>-4802.28889927</v>
      </c>
      <c r="L1594" t="s">
        <v>89</v>
      </c>
      <c r="M1594" t="s">
        <v>422</v>
      </c>
      <c r="N1594">
        <v>7.1262429683470005E-2</v>
      </c>
      <c r="O1594">
        <v>342.22277500000001</v>
      </c>
      <c r="P1594" t="s">
        <v>421</v>
      </c>
      <c r="Q1594">
        <v>1</v>
      </c>
      <c r="V1594">
        <v>1</v>
      </c>
      <c r="W1594">
        <v>1</v>
      </c>
      <c r="X1594">
        <v>1</v>
      </c>
      <c r="Y1594">
        <v>1</v>
      </c>
      <c r="Z1594">
        <v>342.22277500000001</v>
      </c>
    </row>
    <row r="1595" spans="1:26" x14ac:dyDescent="0.25">
      <c r="A1595">
        <v>100141</v>
      </c>
      <c r="B1595" t="s">
        <v>148</v>
      </c>
      <c r="C1595">
        <v>2019</v>
      </c>
      <c r="D1595">
        <v>1</v>
      </c>
      <c r="E1595" t="s">
        <v>415</v>
      </c>
      <c r="F1595" t="s">
        <v>434</v>
      </c>
      <c r="G1595" t="s">
        <v>435</v>
      </c>
      <c r="H1595" t="s">
        <v>84</v>
      </c>
      <c r="I1595" t="s">
        <v>438</v>
      </c>
      <c r="J1595" t="s">
        <v>59</v>
      </c>
      <c r="K1595">
        <v>-4802.28889927</v>
      </c>
      <c r="L1595" t="s">
        <v>89</v>
      </c>
      <c r="M1595" t="s">
        <v>423</v>
      </c>
      <c r="N1595">
        <v>0.74738783869542003</v>
      </c>
      <c r="O1595">
        <v>3589.172321</v>
      </c>
      <c r="P1595" t="s">
        <v>421</v>
      </c>
      <c r="Q1595">
        <v>1</v>
      </c>
      <c r="V1595">
        <v>1</v>
      </c>
      <c r="W1595">
        <v>1</v>
      </c>
      <c r="X1595">
        <v>1</v>
      </c>
      <c r="Y1595">
        <v>1</v>
      </c>
      <c r="Z1595">
        <v>3589.172321</v>
      </c>
    </row>
    <row r="1596" spans="1:26" x14ac:dyDescent="0.25">
      <c r="A1596">
        <v>100142</v>
      </c>
      <c r="B1596" t="s">
        <v>148</v>
      </c>
      <c r="C1596">
        <v>2019</v>
      </c>
      <c r="D1596">
        <v>1</v>
      </c>
      <c r="E1596" t="s">
        <v>415</v>
      </c>
      <c r="F1596" t="s">
        <v>434</v>
      </c>
      <c r="G1596" t="s">
        <v>435</v>
      </c>
      <c r="H1596" t="s">
        <v>84</v>
      </c>
      <c r="I1596" t="s">
        <v>438</v>
      </c>
      <c r="J1596" t="s">
        <v>59</v>
      </c>
      <c r="K1596">
        <v>-4802.28889927</v>
      </c>
      <c r="L1596" t="s">
        <v>89</v>
      </c>
      <c r="M1596" t="s">
        <v>424</v>
      </c>
      <c r="N1596">
        <v>3.08071516317E-3</v>
      </c>
      <c r="O1596">
        <v>14.794484000000001</v>
      </c>
      <c r="P1596" t="s">
        <v>421</v>
      </c>
      <c r="Q1596">
        <v>1</v>
      </c>
      <c r="V1596">
        <v>1</v>
      </c>
      <c r="W1596">
        <v>1</v>
      </c>
      <c r="X1596">
        <v>1</v>
      </c>
      <c r="Y1596">
        <v>1</v>
      </c>
      <c r="Z1596">
        <v>14.794484000000001</v>
      </c>
    </row>
    <row r="1597" spans="1:26" x14ac:dyDescent="0.25">
      <c r="A1597">
        <v>100143</v>
      </c>
      <c r="B1597" t="s">
        <v>148</v>
      </c>
      <c r="C1597">
        <v>2019</v>
      </c>
      <c r="D1597">
        <v>1</v>
      </c>
      <c r="E1597" t="s">
        <v>415</v>
      </c>
      <c r="F1597" t="s">
        <v>434</v>
      </c>
      <c r="G1597" t="s">
        <v>435</v>
      </c>
      <c r="H1597" t="s">
        <v>84</v>
      </c>
      <c r="I1597" t="s">
        <v>438</v>
      </c>
      <c r="J1597" t="s">
        <v>59</v>
      </c>
      <c r="K1597">
        <v>-4802.28889927</v>
      </c>
      <c r="L1597" t="s">
        <v>89</v>
      </c>
      <c r="M1597" t="s">
        <v>425</v>
      </c>
      <c r="N1597">
        <v>2.5360775708E-3</v>
      </c>
      <c r="O1597">
        <v>12.178977</v>
      </c>
      <c r="P1597" t="s">
        <v>421</v>
      </c>
      <c r="Q1597">
        <v>1</v>
      </c>
      <c r="V1597">
        <v>1</v>
      </c>
      <c r="W1597">
        <v>1</v>
      </c>
      <c r="X1597">
        <v>1</v>
      </c>
      <c r="Y1597">
        <v>1</v>
      </c>
      <c r="Z1597">
        <v>12.178977</v>
      </c>
    </row>
    <row r="1598" spans="1:26" x14ac:dyDescent="0.25">
      <c r="A1598">
        <v>154940</v>
      </c>
      <c r="B1598" t="s">
        <v>444</v>
      </c>
      <c r="C1598">
        <v>2020</v>
      </c>
      <c r="D1598">
        <v>1</v>
      </c>
      <c r="E1598" t="s">
        <v>415</v>
      </c>
      <c r="F1598" t="s">
        <v>416</v>
      </c>
      <c r="G1598" t="s">
        <v>417</v>
      </c>
      <c r="H1598" t="s">
        <v>84</v>
      </c>
      <c r="I1598" t="s">
        <v>418</v>
      </c>
      <c r="J1598" t="s">
        <v>419</v>
      </c>
      <c r="K1598">
        <v>-74602.206594520001</v>
      </c>
      <c r="L1598" t="s">
        <v>85</v>
      </c>
      <c r="M1598" t="s">
        <v>420</v>
      </c>
      <c r="N1598">
        <v>0.24824931095561001</v>
      </c>
      <c r="O1598">
        <v>18519.946382999999</v>
      </c>
      <c r="P1598" t="s">
        <v>421</v>
      </c>
      <c r="Q1598">
        <v>1</v>
      </c>
      <c r="V1598">
        <v>1</v>
      </c>
      <c r="W1598">
        <v>1</v>
      </c>
      <c r="X1598">
        <v>1</v>
      </c>
      <c r="Y1598">
        <v>1</v>
      </c>
      <c r="Z1598">
        <v>18519.946382999999</v>
      </c>
    </row>
    <row r="1599" spans="1:26" x14ac:dyDescent="0.25">
      <c r="A1599">
        <v>154941</v>
      </c>
      <c r="B1599" t="s">
        <v>444</v>
      </c>
      <c r="C1599">
        <v>2020</v>
      </c>
      <c r="D1599">
        <v>1</v>
      </c>
      <c r="E1599" t="s">
        <v>415</v>
      </c>
      <c r="F1599" t="s">
        <v>416</v>
      </c>
      <c r="G1599" t="s">
        <v>417</v>
      </c>
      <c r="H1599" t="s">
        <v>84</v>
      </c>
      <c r="I1599" t="s">
        <v>418</v>
      </c>
      <c r="J1599" t="s">
        <v>419</v>
      </c>
      <c r="K1599">
        <v>-74602.206594520001</v>
      </c>
      <c r="L1599" t="s">
        <v>85</v>
      </c>
      <c r="M1599" t="s">
        <v>422</v>
      </c>
      <c r="N1599">
        <v>7.7540047892240005E-2</v>
      </c>
      <c r="O1599">
        <v>5784.6586719999996</v>
      </c>
      <c r="P1599" t="s">
        <v>421</v>
      </c>
      <c r="Q1599">
        <v>1</v>
      </c>
      <c r="V1599">
        <v>1</v>
      </c>
      <c r="W1599">
        <v>1</v>
      </c>
      <c r="X1599">
        <v>1</v>
      </c>
      <c r="Y1599">
        <v>1</v>
      </c>
      <c r="Z1599">
        <v>5784.6586719999996</v>
      </c>
    </row>
    <row r="1600" spans="1:26" x14ac:dyDescent="0.25">
      <c r="A1600">
        <v>154942</v>
      </c>
      <c r="B1600" t="s">
        <v>444</v>
      </c>
      <c r="C1600">
        <v>2020</v>
      </c>
      <c r="D1600">
        <v>1</v>
      </c>
      <c r="E1600" t="s">
        <v>415</v>
      </c>
      <c r="F1600" t="s">
        <v>416</v>
      </c>
      <c r="G1600" t="s">
        <v>417</v>
      </c>
      <c r="H1600" t="s">
        <v>84</v>
      </c>
      <c r="I1600" t="s">
        <v>418</v>
      </c>
      <c r="J1600" t="s">
        <v>419</v>
      </c>
      <c r="K1600">
        <v>-74602.206594520001</v>
      </c>
      <c r="L1600" t="s">
        <v>85</v>
      </c>
      <c r="M1600" t="s">
        <v>423</v>
      </c>
      <c r="N1600">
        <v>0.73979703899049998</v>
      </c>
      <c r="O1600">
        <v>55190.491541000003</v>
      </c>
      <c r="P1600" t="s">
        <v>421</v>
      </c>
      <c r="Q1600">
        <v>1</v>
      </c>
      <c r="V1600">
        <v>1</v>
      </c>
      <c r="W1600">
        <v>1</v>
      </c>
      <c r="X1600">
        <v>1</v>
      </c>
      <c r="Y1600">
        <v>1</v>
      </c>
      <c r="Z1600">
        <v>55190.491541000003</v>
      </c>
    </row>
    <row r="1601" spans="1:26" x14ac:dyDescent="0.25">
      <c r="A1601">
        <v>154943</v>
      </c>
      <c r="B1601" t="s">
        <v>444</v>
      </c>
      <c r="C1601">
        <v>2020</v>
      </c>
      <c r="D1601">
        <v>1</v>
      </c>
      <c r="E1601" t="s">
        <v>415</v>
      </c>
      <c r="F1601" t="s">
        <v>416</v>
      </c>
      <c r="G1601" t="s">
        <v>417</v>
      </c>
      <c r="H1601" t="s">
        <v>84</v>
      </c>
      <c r="I1601" t="s">
        <v>418</v>
      </c>
      <c r="J1601" t="s">
        <v>419</v>
      </c>
      <c r="K1601">
        <v>-74602.206594520001</v>
      </c>
      <c r="L1601" t="s">
        <v>85</v>
      </c>
      <c r="M1601" t="s">
        <v>424</v>
      </c>
      <c r="N1601">
        <v>2.9085775596699999E-3</v>
      </c>
      <c r="O1601">
        <v>216.98630399999999</v>
      </c>
      <c r="P1601" t="s">
        <v>421</v>
      </c>
      <c r="Q1601">
        <v>1</v>
      </c>
      <c r="V1601">
        <v>1</v>
      </c>
      <c r="W1601">
        <v>1</v>
      </c>
      <c r="X1601">
        <v>1</v>
      </c>
      <c r="Y1601">
        <v>1</v>
      </c>
      <c r="Z1601">
        <v>216.98630399999999</v>
      </c>
    </row>
    <row r="1602" spans="1:26" x14ac:dyDescent="0.25">
      <c r="A1602">
        <v>154944</v>
      </c>
      <c r="B1602" t="s">
        <v>444</v>
      </c>
      <c r="C1602">
        <v>2020</v>
      </c>
      <c r="D1602">
        <v>1</v>
      </c>
      <c r="E1602" t="s">
        <v>415</v>
      </c>
      <c r="F1602" t="s">
        <v>416</v>
      </c>
      <c r="G1602" t="s">
        <v>417</v>
      </c>
      <c r="H1602" t="s">
        <v>84</v>
      </c>
      <c r="I1602" t="s">
        <v>418</v>
      </c>
      <c r="J1602" t="s">
        <v>419</v>
      </c>
      <c r="K1602">
        <v>-74602.206594520001</v>
      </c>
      <c r="L1602" t="s">
        <v>85</v>
      </c>
      <c r="M1602" t="s">
        <v>425</v>
      </c>
      <c r="N1602">
        <v>2.6170694898000001E-3</v>
      </c>
      <c r="O1602">
        <v>195.239159</v>
      </c>
      <c r="P1602" t="s">
        <v>421</v>
      </c>
      <c r="Q1602">
        <v>1</v>
      </c>
      <c r="V1602">
        <v>1</v>
      </c>
      <c r="W1602">
        <v>1</v>
      </c>
      <c r="X1602">
        <v>1</v>
      </c>
      <c r="Y1602">
        <v>1</v>
      </c>
      <c r="Z1602">
        <v>195.239159</v>
      </c>
    </row>
    <row r="1603" spans="1:26" x14ac:dyDescent="0.25">
      <c r="A1603">
        <v>154945</v>
      </c>
      <c r="B1603" t="s">
        <v>444</v>
      </c>
      <c r="C1603">
        <v>2020</v>
      </c>
      <c r="D1603">
        <v>1</v>
      </c>
      <c r="E1603" t="s">
        <v>415</v>
      </c>
      <c r="F1603" t="s">
        <v>416</v>
      </c>
      <c r="G1603" t="s">
        <v>417</v>
      </c>
      <c r="H1603" t="s">
        <v>84</v>
      </c>
      <c r="I1603" t="s">
        <v>426</v>
      </c>
      <c r="J1603" t="s">
        <v>87</v>
      </c>
      <c r="K1603">
        <v>-21043.80846539</v>
      </c>
      <c r="L1603" t="s">
        <v>427</v>
      </c>
      <c r="M1603" t="s">
        <v>420</v>
      </c>
      <c r="N1603">
        <v>0.45523813654234002</v>
      </c>
      <c r="O1603">
        <v>9579.944152</v>
      </c>
      <c r="P1603" t="s">
        <v>421</v>
      </c>
      <c r="Q1603">
        <v>1</v>
      </c>
      <c r="V1603">
        <v>1</v>
      </c>
      <c r="W1603">
        <v>1</v>
      </c>
      <c r="X1603">
        <v>1</v>
      </c>
      <c r="Y1603">
        <v>1</v>
      </c>
      <c r="Z1603">
        <v>9579.944152</v>
      </c>
    </row>
    <row r="1604" spans="1:26" x14ac:dyDescent="0.25">
      <c r="A1604">
        <v>154946</v>
      </c>
      <c r="B1604" t="s">
        <v>444</v>
      </c>
      <c r="C1604">
        <v>2020</v>
      </c>
      <c r="D1604">
        <v>1</v>
      </c>
      <c r="E1604" t="s">
        <v>415</v>
      </c>
      <c r="F1604" t="s">
        <v>416</v>
      </c>
      <c r="G1604" t="s">
        <v>417</v>
      </c>
      <c r="H1604" t="s">
        <v>84</v>
      </c>
      <c r="I1604" t="s">
        <v>426</v>
      </c>
      <c r="J1604" t="s">
        <v>87</v>
      </c>
      <c r="K1604">
        <v>-21043.80846539</v>
      </c>
      <c r="L1604" t="s">
        <v>427</v>
      </c>
      <c r="M1604" t="s">
        <v>422</v>
      </c>
      <c r="N1604">
        <v>6.8896616392329996E-2</v>
      </c>
      <c r="O1604">
        <v>1449.847199</v>
      </c>
      <c r="P1604" t="s">
        <v>421</v>
      </c>
      <c r="Q1604">
        <v>1</v>
      </c>
      <c r="V1604">
        <v>1</v>
      </c>
      <c r="W1604">
        <v>1</v>
      </c>
      <c r="X1604">
        <v>1</v>
      </c>
      <c r="Y1604">
        <v>1</v>
      </c>
      <c r="Z1604">
        <v>1449.847199</v>
      </c>
    </row>
    <row r="1605" spans="1:26" x14ac:dyDescent="0.25">
      <c r="A1605">
        <v>154947</v>
      </c>
      <c r="B1605" t="s">
        <v>444</v>
      </c>
      <c r="C1605">
        <v>2020</v>
      </c>
      <c r="D1605">
        <v>1</v>
      </c>
      <c r="E1605" t="s">
        <v>415</v>
      </c>
      <c r="F1605" t="s">
        <v>416</v>
      </c>
      <c r="G1605" t="s">
        <v>417</v>
      </c>
      <c r="H1605" t="s">
        <v>84</v>
      </c>
      <c r="I1605" t="s">
        <v>426</v>
      </c>
      <c r="J1605" t="s">
        <v>87</v>
      </c>
      <c r="K1605">
        <v>-21043.80846539</v>
      </c>
      <c r="L1605" t="s">
        <v>427</v>
      </c>
      <c r="M1605" t="s">
        <v>423</v>
      </c>
      <c r="N1605">
        <v>0.70986919705586005</v>
      </c>
      <c r="O1605">
        <v>14938.351418</v>
      </c>
      <c r="P1605" t="s">
        <v>421</v>
      </c>
      <c r="Q1605">
        <v>1</v>
      </c>
      <c r="V1605">
        <v>1</v>
      </c>
      <c r="W1605">
        <v>1</v>
      </c>
      <c r="X1605">
        <v>1</v>
      </c>
      <c r="Y1605">
        <v>1</v>
      </c>
      <c r="Z1605">
        <v>14938.351418</v>
      </c>
    </row>
    <row r="1606" spans="1:26" x14ac:dyDescent="0.25">
      <c r="A1606">
        <v>154948</v>
      </c>
      <c r="B1606" t="s">
        <v>444</v>
      </c>
      <c r="C1606">
        <v>2020</v>
      </c>
      <c r="D1606">
        <v>1</v>
      </c>
      <c r="E1606" t="s">
        <v>415</v>
      </c>
      <c r="F1606" t="s">
        <v>416</v>
      </c>
      <c r="G1606" t="s">
        <v>417</v>
      </c>
      <c r="H1606" t="s">
        <v>84</v>
      </c>
      <c r="I1606" t="s">
        <v>426</v>
      </c>
      <c r="J1606" t="s">
        <v>87</v>
      </c>
      <c r="K1606">
        <v>-21043.80846539</v>
      </c>
      <c r="L1606" t="s">
        <v>427</v>
      </c>
      <c r="M1606" t="s">
        <v>425</v>
      </c>
      <c r="N1606">
        <v>1.4965642882E-3</v>
      </c>
      <c r="O1606">
        <v>31.493411999999999</v>
      </c>
      <c r="P1606" t="s">
        <v>421</v>
      </c>
      <c r="Q1606">
        <v>1</v>
      </c>
      <c r="V1606">
        <v>1</v>
      </c>
      <c r="W1606">
        <v>1</v>
      </c>
      <c r="X1606">
        <v>1</v>
      </c>
      <c r="Y1606">
        <v>1</v>
      </c>
      <c r="Z1606">
        <v>31.493411999999999</v>
      </c>
    </row>
    <row r="1607" spans="1:26" x14ac:dyDescent="0.25">
      <c r="A1607">
        <v>154949</v>
      </c>
      <c r="B1607" t="s">
        <v>444</v>
      </c>
      <c r="C1607">
        <v>2020</v>
      </c>
      <c r="D1607">
        <v>1</v>
      </c>
      <c r="E1607" t="s">
        <v>415</v>
      </c>
      <c r="F1607" t="s">
        <v>416</v>
      </c>
      <c r="G1607" t="s">
        <v>417</v>
      </c>
      <c r="H1607" t="s">
        <v>84</v>
      </c>
      <c r="I1607" t="s">
        <v>428</v>
      </c>
      <c r="J1607" t="s">
        <v>59</v>
      </c>
      <c r="K1607">
        <v>-22217.032709970001</v>
      </c>
      <c r="L1607" t="s">
        <v>89</v>
      </c>
      <c r="M1607" t="s">
        <v>420</v>
      </c>
      <c r="N1607">
        <v>0.26343870574139999</v>
      </c>
      <c r="O1607">
        <v>5852.8263429999997</v>
      </c>
      <c r="P1607" t="s">
        <v>421</v>
      </c>
      <c r="Q1607">
        <v>1</v>
      </c>
      <c r="V1607">
        <v>1</v>
      </c>
      <c r="W1607">
        <v>1</v>
      </c>
      <c r="X1607">
        <v>1</v>
      </c>
      <c r="Y1607">
        <v>1</v>
      </c>
      <c r="Z1607">
        <v>5852.8263429999997</v>
      </c>
    </row>
    <row r="1608" spans="1:26" x14ac:dyDescent="0.25">
      <c r="A1608">
        <v>154950</v>
      </c>
      <c r="B1608" t="s">
        <v>444</v>
      </c>
      <c r="C1608">
        <v>2020</v>
      </c>
      <c r="D1608">
        <v>1</v>
      </c>
      <c r="E1608" t="s">
        <v>415</v>
      </c>
      <c r="F1608" t="s">
        <v>416</v>
      </c>
      <c r="G1608" t="s">
        <v>417</v>
      </c>
      <c r="H1608" t="s">
        <v>84</v>
      </c>
      <c r="I1608" t="s">
        <v>428</v>
      </c>
      <c r="J1608" t="s">
        <v>59</v>
      </c>
      <c r="K1608">
        <v>-22217.032709970001</v>
      </c>
      <c r="L1608" t="s">
        <v>89</v>
      </c>
      <c r="M1608" t="s">
        <v>422</v>
      </c>
      <c r="N1608">
        <v>7.1262429683470005E-2</v>
      </c>
      <c r="O1608">
        <v>1583.2397309999999</v>
      </c>
      <c r="P1608" t="s">
        <v>421</v>
      </c>
      <c r="Q1608">
        <v>1</v>
      </c>
      <c r="V1608">
        <v>1</v>
      </c>
      <c r="W1608">
        <v>1</v>
      </c>
      <c r="X1608">
        <v>1</v>
      </c>
      <c r="Y1608">
        <v>1</v>
      </c>
      <c r="Z1608">
        <v>1583.2397309999999</v>
      </c>
    </row>
    <row r="1609" spans="1:26" x14ac:dyDescent="0.25">
      <c r="A1609">
        <v>154951</v>
      </c>
      <c r="B1609" t="s">
        <v>444</v>
      </c>
      <c r="C1609">
        <v>2020</v>
      </c>
      <c r="D1609">
        <v>1</v>
      </c>
      <c r="E1609" t="s">
        <v>415</v>
      </c>
      <c r="F1609" t="s">
        <v>416</v>
      </c>
      <c r="G1609" t="s">
        <v>417</v>
      </c>
      <c r="H1609" t="s">
        <v>84</v>
      </c>
      <c r="I1609" t="s">
        <v>428</v>
      </c>
      <c r="J1609" t="s">
        <v>59</v>
      </c>
      <c r="K1609">
        <v>-22217.032709970001</v>
      </c>
      <c r="L1609" t="s">
        <v>89</v>
      </c>
      <c r="M1609" t="s">
        <v>423</v>
      </c>
      <c r="N1609">
        <v>0.74738783869542003</v>
      </c>
      <c r="O1609">
        <v>16604.740059</v>
      </c>
      <c r="P1609" t="s">
        <v>421</v>
      </c>
      <c r="Q1609">
        <v>1</v>
      </c>
      <c r="V1609">
        <v>1</v>
      </c>
      <c r="W1609">
        <v>1</v>
      </c>
      <c r="X1609">
        <v>1</v>
      </c>
      <c r="Y1609">
        <v>1</v>
      </c>
      <c r="Z1609">
        <v>16604.740059</v>
      </c>
    </row>
    <row r="1610" spans="1:26" x14ac:dyDescent="0.25">
      <c r="A1610">
        <v>154952</v>
      </c>
      <c r="B1610" t="s">
        <v>444</v>
      </c>
      <c r="C1610">
        <v>2020</v>
      </c>
      <c r="D1610">
        <v>1</v>
      </c>
      <c r="E1610" t="s">
        <v>415</v>
      </c>
      <c r="F1610" t="s">
        <v>416</v>
      </c>
      <c r="G1610" t="s">
        <v>417</v>
      </c>
      <c r="H1610" t="s">
        <v>84</v>
      </c>
      <c r="I1610" t="s">
        <v>428</v>
      </c>
      <c r="J1610" t="s">
        <v>59</v>
      </c>
      <c r="K1610">
        <v>-22217.032709970001</v>
      </c>
      <c r="L1610" t="s">
        <v>89</v>
      </c>
      <c r="M1610" t="s">
        <v>424</v>
      </c>
      <c r="N1610">
        <v>3.08071516317E-3</v>
      </c>
      <c r="O1610">
        <v>68.44435</v>
      </c>
      <c r="P1610" t="s">
        <v>421</v>
      </c>
      <c r="Q1610">
        <v>1</v>
      </c>
      <c r="V1610">
        <v>1</v>
      </c>
      <c r="W1610">
        <v>1</v>
      </c>
      <c r="X1610">
        <v>1</v>
      </c>
      <c r="Y1610">
        <v>1</v>
      </c>
      <c r="Z1610">
        <v>68.44435</v>
      </c>
    </row>
    <row r="1611" spans="1:26" x14ac:dyDescent="0.25">
      <c r="A1611">
        <v>154953</v>
      </c>
      <c r="B1611" t="s">
        <v>444</v>
      </c>
      <c r="C1611">
        <v>2020</v>
      </c>
      <c r="D1611">
        <v>1</v>
      </c>
      <c r="E1611" t="s">
        <v>415</v>
      </c>
      <c r="F1611" t="s">
        <v>416</v>
      </c>
      <c r="G1611" t="s">
        <v>417</v>
      </c>
      <c r="H1611" t="s">
        <v>84</v>
      </c>
      <c r="I1611" t="s">
        <v>428</v>
      </c>
      <c r="J1611" t="s">
        <v>59</v>
      </c>
      <c r="K1611">
        <v>-22217.032709970001</v>
      </c>
      <c r="L1611" t="s">
        <v>89</v>
      </c>
      <c r="M1611" t="s">
        <v>425</v>
      </c>
      <c r="N1611">
        <v>2.5360775708E-3</v>
      </c>
      <c r="O1611">
        <v>56.344118000000002</v>
      </c>
      <c r="P1611" t="s">
        <v>421</v>
      </c>
      <c r="Q1611">
        <v>1</v>
      </c>
      <c r="V1611">
        <v>1</v>
      </c>
      <c r="W1611">
        <v>1</v>
      </c>
      <c r="X1611">
        <v>1</v>
      </c>
      <c r="Y1611">
        <v>1</v>
      </c>
      <c r="Z1611">
        <v>56.344118000000002</v>
      </c>
    </row>
    <row r="1612" spans="1:26" x14ac:dyDescent="0.25">
      <c r="A1612">
        <v>154954</v>
      </c>
      <c r="B1612" t="s">
        <v>444</v>
      </c>
      <c r="C1612">
        <v>2020</v>
      </c>
      <c r="D1612">
        <v>1</v>
      </c>
      <c r="E1612" t="s">
        <v>415</v>
      </c>
      <c r="F1612" t="s">
        <v>429</v>
      </c>
      <c r="G1612" t="s">
        <v>430</v>
      </c>
      <c r="H1612" t="s">
        <v>84</v>
      </c>
      <c r="I1612" t="s">
        <v>431</v>
      </c>
      <c r="J1612" t="s">
        <v>419</v>
      </c>
      <c r="K1612">
        <v>-108419.17111539</v>
      </c>
      <c r="L1612" t="s">
        <v>85</v>
      </c>
      <c r="M1612" t="s">
        <v>420</v>
      </c>
      <c r="N1612">
        <v>0.24824931095561001</v>
      </c>
      <c r="O1612">
        <v>26914.984524</v>
      </c>
      <c r="P1612" t="s">
        <v>421</v>
      </c>
      <c r="Q1612">
        <v>1</v>
      </c>
      <c r="V1612">
        <v>1</v>
      </c>
      <c r="W1612">
        <v>1</v>
      </c>
      <c r="X1612">
        <v>1</v>
      </c>
      <c r="Y1612">
        <v>1</v>
      </c>
      <c r="Z1612">
        <v>26914.984524</v>
      </c>
    </row>
    <row r="1613" spans="1:26" x14ac:dyDescent="0.25">
      <c r="A1613">
        <v>154955</v>
      </c>
      <c r="B1613" t="s">
        <v>444</v>
      </c>
      <c r="C1613">
        <v>2020</v>
      </c>
      <c r="D1613">
        <v>1</v>
      </c>
      <c r="E1613" t="s">
        <v>415</v>
      </c>
      <c r="F1613" t="s">
        <v>429</v>
      </c>
      <c r="G1613" t="s">
        <v>430</v>
      </c>
      <c r="H1613" t="s">
        <v>84</v>
      </c>
      <c r="I1613" t="s">
        <v>431</v>
      </c>
      <c r="J1613" t="s">
        <v>419</v>
      </c>
      <c r="K1613">
        <v>-108419.17111539</v>
      </c>
      <c r="L1613" t="s">
        <v>85</v>
      </c>
      <c r="M1613" t="s">
        <v>422</v>
      </c>
      <c r="N1613">
        <v>7.7540047892240005E-2</v>
      </c>
      <c r="O1613">
        <v>8406.8277209999997</v>
      </c>
      <c r="P1613" t="s">
        <v>421</v>
      </c>
      <c r="Q1613">
        <v>1</v>
      </c>
      <c r="V1613">
        <v>1</v>
      </c>
      <c r="W1613">
        <v>1</v>
      </c>
      <c r="X1613">
        <v>1</v>
      </c>
      <c r="Y1613">
        <v>1</v>
      </c>
      <c r="Z1613">
        <v>8406.8277209999997</v>
      </c>
    </row>
    <row r="1614" spans="1:26" x14ac:dyDescent="0.25">
      <c r="A1614">
        <v>154956</v>
      </c>
      <c r="B1614" t="s">
        <v>444</v>
      </c>
      <c r="C1614">
        <v>2020</v>
      </c>
      <c r="D1614">
        <v>1</v>
      </c>
      <c r="E1614" t="s">
        <v>415</v>
      </c>
      <c r="F1614" t="s">
        <v>429</v>
      </c>
      <c r="G1614" t="s">
        <v>430</v>
      </c>
      <c r="H1614" t="s">
        <v>84</v>
      </c>
      <c r="I1614" t="s">
        <v>431</v>
      </c>
      <c r="J1614" t="s">
        <v>419</v>
      </c>
      <c r="K1614">
        <v>-108419.17111539</v>
      </c>
      <c r="L1614" t="s">
        <v>85</v>
      </c>
      <c r="M1614" t="s">
        <v>423</v>
      </c>
      <c r="N1614">
        <v>0.73979703899049998</v>
      </c>
      <c r="O1614">
        <v>80208.181761</v>
      </c>
      <c r="P1614" t="s">
        <v>421</v>
      </c>
      <c r="Q1614">
        <v>1</v>
      </c>
      <c r="V1614">
        <v>1</v>
      </c>
      <c r="W1614">
        <v>1</v>
      </c>
      <c r="X1614">
        <v>1</v>
      </c>
      <c r="Y1614">
        <v>1</v>
      </c>
      <c r="Z1614">
        <v>80208.181761</v>
      </c>
    </row>
    <row r="1615" spans="1:26" x14ac:dyDescent="0.25">
      <c r="A1615">
        <v>154957</v>
      </c>
      <c r="B1615" t="s">
        <v>444</v>
      </c>
      <c r="C1615">
        <v>2020</v>
      </c>
      <c r="D1615">
        <v>1</v>
      </c>
      <c r="E1615" t="s">
        <v>415</v>
      </c>
      <c r="F1615" t="s">
        <v>429</v>
      </c>
      <c r="G1615" t="s">
        <v>430</v>
      </c>
      <c r="H1615" t="s">
        <v>84</v>
      </c>
      <c r="I1615" t="s">
        <v>431</v>
      </c>
      <c r="J1615" t="s">
        <v>419</v>
      </c>
      <c r="K1615">
        <v>-108419.17111539</v>
      </c>
      <c r="L1615" t="s">
        <v>85</v>
      </c>
      <c r="M1615" t="s">
        <v>424</v>
      </c>
      <c r="N1615">
        <v>2.9085775596699999E-3</v>
      </c>
      <c r="O1615">
        <v>315.34556800000001</v>
      </c>
      <c r="P1615" t="s">
        <v>421</v>
      </c>
      <c r="Q1615">
        <v>1</v>
      </c>
      <c r="V1615">
        <v>1</v>
      </c>
      <c r="W1615">
        <v>1</v>
      </c>
      <c r="X1615">
        <v>1</v>
      </c>
      <c r="Y1615">
        <v>1</v>
      </c>
      <c r="Z1615">
        <v>315.34556800000001</v>
      </c>
    </row>
    <row r="1616" spans="1:26" x14ac:dyDescent="0.25">
      <c r="A1616">
        <v>154958</v>
      </c>
      <c r="B1616" t="s">
        <v>444</v>
      </c>
      <c r="C1616">
        <v>2020</v>
      </c>
      <c r="D1616">
        <v>1</v>
      </c>
      <c r="E1616" t="s">
        <v>415</v>
      </c>
      <c r="F1616" t="s">
        <v>429</v>
      </c>
      <c r="G1616" t="s">
        <v>430</v>
      </c>
      <c r="H1616" t="s">
        <v>84</v>
      </c>
      <c r="I1616" t="s">
        <v>431</v>
      </c>
      <c r="J1616" t="s">
        <v>419</v>
      </c>
      <c r="K1616">
        <v>-108419.17111539</v>
      </c>
      <c r="L1616" t="s">
        <v>85</v>
      </c>
      <c r="M1616" t="s">
        <v>425</v>
      </c>
      <c r="N1616">
        <v>2.6170694898000001E-3</v>
      </c>
      <c r="O1616">
        <v>283.74050499999998</v>
      </c>
      <c r="P1616" t="s">
        <v>421</v>
      </c>
      <c r="Q1616">
        <v>1</v>
      </c>
      <c r="V1616">
        <v>1</v>
      </c>
      <c r="W1616">
        <v>1</v>
      </c>
      <c r="X1616">
        <v>1</v>
      </c>
      <c r="Y1616">
        <v>1</v>
      </c>
      <c r="Z1616">
        <v>283.74050499999998</v>
      </c>
    </row>
    <row r="1617" spans="1:26" x14ac:dyDescent="0.25">
      <c r="A1617">
        <v>154959</v>
      </c>
      <c r="B1617" t="s">
        <v>444</v>
      </c>
      <c r="C1617">
        <v>2020</v>
      </c>
      <c r="D1617">
        <v>1</v>
      </c>
      <c r="E1617" t="s">
        <v>415</v>
      </c>
      <c r="F1617" t="s">
        <v>429</v>
      </c>
      <c r="G1617" t="s">
        <v>430</v>
      </c>
      <c r="H1617" t="s">
        <v>84</v>
      </c>
      <c r="I1617" t="s">
        <v>432</v>
      </c>
      <c r="J1617" t="s">
        <v>87</v>
      </c>
      <c r="K1617">
        <v>-31744.13544654</v>
      </c>
      <c r="L1617" t="s">
        <v>427</v>
      </c>
      <c r="M1617" t="s">
        <v>420</v>
      </c>
      <c r="N1617">
        <v>0.45523813654234002</v>
      </c>
      <c r="O1617">
        <v>14451.141067</v>
      </c>
      <c r="P1617" t="s">
        <v>421</v>
      </c>
      <c r="Q1617">
        <v>1</v>
      </c>
      <c r="V1617">
        <v>1</v>
      </c>
      <c r="W1617">
        <v>1</v>
      </c>
      <c r="X1617">
        <v>1</v>
      </c>
      <c r="Y1617">
        <v>1</v>
      </c>
      <c r="Z1617">
        <v>14451.141067</v>
      </c>
    </row>
    <row r="1618" spans="1:26" x14ac:dyDescent="0.25">
      <c r="A1618">
        <v>154960</v>
      </c>
      <c r="B1618" t="s">
        <v>444</v>
      </c>
      <c r="C1618">
        <v>2020</v>
      </c>
      <c r="D1618">
        <v>1</v>
      </c>
      <c r="E1618" t="s">
        <v>415</v>
      </c>
      <c r="F1618" t="s">
        <v>429</v>
      </c>
      <c r="G1618" t="s">
        <v>430</v>
      </c>
      <c r="H1618" t="s">
        <v>84</v>
      </c>
      <c r="I1618" t="s">
        <v>432</v>
      </c>
      <c r="J1618" t="s">
        <v>87</v>
      </c>
      <c r="K1618">
        <v>-31744.13544654</v>
      </c>
      <c r="L1618" t="s">
        <v>427</v>
      </c>
      <c r="M1618" t="s">
        <v>422</v>
      </c>
      <c r="N1618">
        <v>6.8896616392329996E-2</v>
      </c>
      <c r="O1618">
        <v>2187.0635229999998</v>
      </c>
      <c r="P1618" t="s">
        <v>421</v>
      </c>
      <c r="Q1618">
        <v>1</v>
      </c>
      <c r="V1618">
        <v>1</v>
      </c>
      <c r="W1618">
        <v>1</v>
      </c>
      <c r="X1618">
        <v>1</v>
      </c>
      <c r="Y1618">
        <v>1</v>
      </c>
      <c r="Z1618">
        <v>2187.0635229999998</v>
      </c>
    </row>
    <row r="1619" spans="1:26" x14ac:dyDescent="0.25">
      <c r="A1619">
        <v>154961</v>
      </c>
      <c r="B1619" t="s">
        <v>444</v>
      </c>
      <c r="C1619">
        <v>2020</v>
      </c>
      <c r="D1619">
        <v>1</v>
      </c>
      <c r="E1619" t="s">
        <v>415</v>
      </c>
      <c r="F1619" t="s">
        <v>429</v>
      </c>
      <c r="G1619" t="s">
        <v>430</v>
      </c>
      <c r="H1619" t="s">
        <v>84</v>
      </c>
      <c r="I1619" t="s">
        <v>432</v>
      </c>
      <c r="J1619" t="s">
        <v>87</v>
      </c>
      <c r="K1619">
        <v>-31744.13544654</v>
      </c>
      <c r="L1619" t="s">
        <v>427</v>
      </c>
      <c r="M1619" t="s">
        <v>423</v>
      </c>
      <c r="N1619">
        <v>0.70986919705586005</v>
      </c>
      <c r="O1619">
        <v>22534.183940999999</v>
      </c>
      <c r="P1619" t="s">
        <v>421</v>
      </c>
      <c r="Q1619">
        <v>1</v>
      </c>
      <c r="V1619">
        <v>1</v>
      </c>
      <c r="W1619">
        <v>1</v>
      </c>
      <c r="X1619">
        <v>1</v>
      </c>
      <c r="Y1619">
        <v>1</v>
      </c>
      <c r="Z1619">
        <v>22534.183940999999</v>
      </c>
    </row>
    <row r="1620" spans="1:26" x14ac:dyDescent="0.25">
      <c r="A1620">
        <v>154962</v>
      </c>
      <c r="B1620" t="s">
        <v>444</v>
      </c>
      <c r="C1620">
        <v>2020</v>
      </c>
      <c r="D1620">
        <v>1</v>
      </c>
      <c r="E1620" t="s">
        <v>415</v>
      </c>
      <c r="F1620" t="s">
        <v>429</v>
      </c>
      <c r="G1620" t="s">
        <v>430</v>
      </c>
      <c r="H1620" t="s">
        <v>84</v>
      </c>
      <c r="I1620" t="s">
        <v>432</v>
      </c>
      <c r="J1620" t="s">
        <v>87</v>
      </c>
      <c r="K1620">
        <v>-31744.13544654</v>
      </c>
      <c r="L1620" t="s">
        <v>427</v>
      </c>
      <c r="M1620" t="s">
        <v>425</v>
      </c>
      <c r="N1620">
        <v>1.4965642882E-3</v>
      </c>
      <c r="O1620">
        <v>47.507139000000002</v>
      </c>
      <c r="P1620" t="s">
        <v>421</v>
      </c>
      <c r="Q1620">
        <v>1</v>
      </c>
      <c r="V1620">
        <v>1</v>
      </c>
      <c r="W1620">
        <v>1</v>
      </c>
      <c r="X1620">
        <v>1</v>
      </c>
      <c r="Y1620">
        <v>1</v>
      </c>
      <c r="Z1620">
        <v>47.507139000000002</v>
      </c>
    </row>
    <row r="1621" spans="1:26" x14ac:dyDescent="0.25">
      <c r="A1621">
        <v>154963</v>
      </c>
      <c r="B1621" t="s">
        <v>444</v>
      </c>
      <c r="C1621">
        <v>2020</v>
      </c>
      <c r="D1621">
        <v>1</v>
      </c>
      <c r="E1621" t="s">
        <v>415</v>
      </c>
      <c r="F1621" t="s">
        <v>429</v>
      </c>
      <c r="G1621" t="s">
        <v>430</v>
      </c>
      <c r="H1621" t="s">
        <v>84</v>
      </c>
      <c r="I1621" t="s">
        <v>433</v>
      </c>
      <c r="J1621" t="s">
        <v>59</v>
      </c>
      <c r="K1621">
        <v>-33239.039782319996</v>
      </c>
      <c r="L1621" t="s">
        <v>89</v>
      </c>
      <c r="M1621" t="s">
        <v>420</v>
      </c>
      <c r="N1621">
        <v>0.26343870574139999</v>
      </c>
      <c r="O1621">
        <v>8756.4496199999994</v>
      </c>
      <c r="P1621" t="s">
        <v>421</v>
      </c>
      <c r="Q1621">
        <v>1</v>
      </c>
      <c r="V1621">
        <v>1</v>
      </c>
      <c r="W1621">
        <v>1</v>
      </c>
      <c r="X1621">
        <v>1</v>
      </c>
      <c r="Y1621">
        <v>1</v>
      </c>
      <c r="Z1621">
        <v>8756.4496199999994</v>
      </c>
    </row>
    <row r="1622" spans="1:26" x14ac:dyDescent="0.25">
      <c r="A1622">
        <v>154964</v>
      </c>
      <c r="B1622" t="s">
        <v>444</v>
      </c>
      <c r="C1622">
        <v>2020</v>
      </c>
      <c r="D1622">
        <v>1</v>
      </c>
      <c r="E1622" t="s">
        <v>415</v>
      </c>
      <c r="F1622" t="s">
        <v>429</v>
      </c>
      <c r="G1622" t="s">
        <v>430</v>
      </c>
      <c r="H1622" t="s">
        <v>84</v>
      </c>
      <c r="I1622" t="s">
        <v>433</v>
      </c>
      <c r="J1622" t="s">
        <v>59</v>
      </c>
      <c r="K1622">
        <v>-33239.039782319996</v>
      </c>
      <c r="L1622" t="s">
        <v>89</v>
      </c>
      <c r="M1622" t="s">
        <v>422</v>
      </c>
      <c r="N1622">
        <v>7.1262429683470005E-2</v>
      </c>
      <c r="O1622">
        <v>2368.694735</v>
      </c>
      <c r="P1622" t="s">
        <v>421</v>
      </c>
      <c r="Q1622">
        <v>1</v>
      </c>
      <c r="V1622">
        <v>1</v>
      </c>
      <c r="W1622">
        <v>1</v>
      </c>
      <c r="X1622">
        <v>1</v>
      </c>
      <c r="Y1622">
        <v>1</v>
      </c>
      <c r="Z1622">
        <v>2368.694735</v>
      </c>
    </row>
    <row r="1623" spans="1:26" x14ac:dyDescent="0.25">
      <c r="A1623">
        <v>154965</v>
      </c>
      <c r="B1623" t="s">
        <v>444</v>
      </c>
      <c r="C1623">
        <v>2020</v>
      </c>
      <c r="D1623">
        <v>1</v>
      </c>
      <c r="E1623" t="s">
        <v>415</v>
      </c>
      <c r="F1623" t="s">
        <v>429</v>
      </c>
      <c r="G1623" t="s">
        <v>430</v>
      </c>
      <c r="H1623" t="s">
        <v>84</v>
      </c>
      <c r="I1623" t="s">
        <v>433</v>
      </c>
      <c r="J1623" t="s">
        <v>59</v>
      </c>
      <c r="K1623">
        <v>-33239.039782319996</v>
      </c>
      <c r="L1623" t="s">
        <v>89</v>
      </c>
      <c r="M1623" t="s">
        <v>423</v>
      </c>
      <c r="N1623">
        <v>0.74738783869542003</v>
      </c>
      <c r="O1623">
        <v>24842.454103</v>
      </c>
      <c r="P1623" t="s">
        <v>421</v>
      </c>
      <c r="Q1623">
        <v>1</v>
      </c>
      <c r="V1623">
        <v>1</v>
      </c>
      <c r="W1623">
        <v>1</v>
      </c>
      <c r="X1623">
        <v>1</v>
      </c>
      <c r="Y1623">
        <v>1</v>
      </c>
      <c r="Z1623">
        <v>24842.454103</v>
      </c>
    </row>
    <row r="1624" spans="1:26" x14ac:dyDescent="0.25">
      <c r="A1624">
        <v>154966</v>
      </c>
      <c r="B1624" t="s">
        <v>444</v>
      </c>
      <c r="C1624">
        <v>2020</v>
      </c>
      <c r="D1624">
        <v>1</v>
      </c>
      <c r="E1624" t="s">
        <v>415</v>
      </c>
      <c r="F1624" t="s">
        <v>429</v>
      </c>
      <c r="G1624" t="s">
        <v>430</v>
      </c>
      <c r="H1624" t="s">
        <v>84</v>
      </c>
      <c r="I1624" t="s">
        <v>433</v>
      </c>
      <c r="J1624" t="s">
        <v>59</v>
      </c>
      <c r="K1624">
        <v>-33239.039782319996</v>
      </c>
      <c r="L1624" t="s">
        <v>89</v>
      </c>
      <c r="M1624" t="s">
        <v>424</v>
      </c>
      <c r="N1624">
        <v>3.08071516317E-3</v>
      </c>
      <c r="O1624">
        <v>102.400014</v>
      </c>
      <c r="P1624" t="s">
        <v>421</v>
      </c>
      <c r="Q1624">
        <v>1</v>
      </c>
      <c r="V1624">
        <v>1</v>
      </c>
      <c r="W1624">
        <v>1</v>
      </c>
      <c r="X1624">
        <v>1</v>
      </c>
      <c r="Y1624">
        <v>1</v>
      </c>
      <c r="Z1624">
        <v>102.400014</v>
      </c>
    </row>
    <row r="1625" spans="1:26" x14ac:dyDescent="0.25">
      <c r="A1625">
        <v>154967</v>
      </c>
      <c r="B1625" t="s">
        <v>444</v>
      </c>
      <c r="C1625">
        <v>2020</v>
      </c>
      <c r="D1625">
        <v>1</v>
      </c>
      <c r="E1625" t="s">
        <v>415</v>
      </c>
      <c r="F1625" t="s">
        <v>429</v>
      </c>
      <c r="G1625" t="s">
        <v>430</v>
      </c>
      <c r="H1625" t="s">
        <v>84</v>
      </c>
      <c r="I1625" t="s">
        <v>433</v>
      </c>
      <c r="J1625" t="s">
        <v>59</v>
      </c>
      <c r="K1625">
        <v>-33239.039782319996</v>
      </c>
      <c r="L1625" t="s">
        <v>89</v>
      </c>
      <c r="M1625" t="s">
        <v>425</v>
      </c>
      <c r="N1625">
        <v>2.5360775708E-3</v>
      </c>
      <c r="O1625">
        <v>84.296783000000005</v>
      </c>
      <c r="P1625" t="s">
        <v>421</v>
      </c>
      <c r="Q1625">
        <v>1</v>
      </c>
      <c r="V1625">
        <v>1</v>
      </c>
      <c r="W1625">
        <v>1</v>
      </c>
      <c r="X1625">
        <v>1</v>
      </c>
      <c r="Y1625">
        <v>1</v>
      </c>
      <c r="Z1625">
        <v>84.296783000000005</v>
      </c>
    </row>
    <row r="1626" spans="1:26" x14ac:dyDescent="0.25">
      <c r="A1626">
        <v>154968</v>
      </c>
      <c r="B1626" t="s">
        <v>444</v>
      </c>
      <c r="C1626">
        <v>2020</v>
      </c>
      <c r="D1626">
        <v>1</v>
      </c>
      <c r="E1626" t="s">
        <v>415</v>
      </c>
      <c r="F1626" t="s">
        <v>434</v>
      </c>
      <c r="G1626" t="s">
        <v>435</v>
      </c>
      <c r="H1626" t="s">
        <v>84</v>
      </c>
      <c r="I1626" t="s">
        <v>436</v>
      </c>
      <c r="J1626" t="s">
        <v>419</v>
      </c>
      <c r="K1626">
        <v>-57617.471697480003</v>
      </c>
      <c r="L1626" t="s">
        <v>85</v>
      </c>
      <c r="M1626" t="s">
        <v>420</v>
      </c>
      <c r="N1626">
        <v>0.24824931095561001</v>
      </c>
      <c r="O1626">
        <v>14303.497648</v>
      </c>
      <c r="P1626" t="s">
        <v>421</v>
      </c>
      <c r="Q1626">
        <v>1</v>
      </c>
      <c r="V1626">
        <v>1</v>
      </c>
      <c r="W1626">
        <v>1</v>
      </c>
      <c r="X1626">
        <v>1</v>
      </c>
      <c r="Y1626">
        <v>1</v>
      </c>
      <c r="Z1626">
        <v>14303.497648</v>
      </c>
    </row>
    <row r="1627" spans="1:26" x14ac:dyDescent="0.25">
      <c r="A1627">
        <v>154969</v>
      </c>
      <c r="B1627" t="s">
        <v>444</v>
      </c>
      <c r="C1627">
        <v>2020</v>
      </c>
      <c r="D1627">
        <v>1</v>
      </c>
      <c r="E1627" t="s">
        <v>415</v>
      </c>
      <c r="F1627" t="s">
        <v>434</v>
      </c>
      <c r="G1627" t="s">
        <v>435</v>
      </c>
      <c r="H1627" t="s">
        <v>84</v>
      </c>
      <c r="I1627" t="s">
        <v>436</v>
      </c>
      <c r="J1627" t="s">
        <v>419</v>
      </c>
      <c r="K1627">
        <v>-57617.471697480003</v>
      </c>
      <c r="L1627" t="s">
        <v>85</v>
      </c>
      <c r="M1627" t="s">
        <v>422</v>
      </c>
      <c r="N1627">
        <v>7.7540047892240005E-2</v>
      </c>
      <c r="O1627">
        <v>4467.6615149999998</v>
      </c>
      <c r="P1627" t="s">
        <v>421</v>
      </c>
      <c r="Q1627">
        <v>1</v>
      </c>
      <c r="V1627">
        <v>1</v>
      </c>
      <c r="W1627">
        <v>1</v>
      </c>
      <c r="X1627">
        <v>1</v>
      </c>
      <c r="Y1627">
        <v>1</v>
      </c>
      <c r="Z1627">
        <v>4467.6615149999998</v>
      </c>
    </row>
    <row r="1628" spans="1:26" x14ac:dyDescent="0.25">
      <c r="A1628">
        <v>154970</v>
      </c>
      <c r="B1628" t="s">
        <v>444</v>
      </c>
      <c r="C1628">
        <v>2020</v>
      </c>
      <c r="D1628">
        <v>1</v>
      </c>
      <c r="E1628" t="s">
        <v>415</v>
      </c>
      <c r="F1628" t="s">
        <v>434</v>
      </c>
      <c r="G1628" t="s">
        <v>435</v>
      </c>
      <c r="H1628" t="s">
        <v>84</v>
      </c>
      <c r="I1628" t="s">
        <v>436</v>
      </c>
      <c r="J1628" t="s">
        <v>419</v>
      </c>
      <c r="K1628">
        <v>-57617.471697480003</v>
      </c>
      <c r="L1628" t="s">
        <v>85</v>
      </c>
      <c r="M1628" t="s">
        <v>423</v>
      </c>
      <c r="N1628">
        <v>0.73979703899049998</v>
      </c>
      <c r="O1628">
        <v>42625.234956</v>
      </c>
      <c r="P1628" t="s">
        <v>421</v>
      </c>
      <c r="Q1628">
        <v>1</v>
      </c>
      <c r="V1628">
        <v>1</v>
      </c>
      <c r="W1628">
        <v>1</v>
      </c>
      <c r="X1628">
        <v>1</v>
      </c>
      <c r="Y1628">
        <v>1</v>
      </c>
      <c r="Z1628">
        <v>42625.234956</v>
      </c>
    </row>
    <row r="1629" spans="1:26" x14ac:dyDescent="0.25">
      <c r="A1629">
        <v>154971</v>
      </c>
      <c r="B1629" t="s">
        <v>444</v>
      </c>
      <c r="C1629">
        <v>2020</v>
      </c>
      <c r="D1629">
        <v>1</v>
      </c>
      <c r="E1629" t="s">
        <v>415</v>
      </c>
      <c r="F1629" t="s">
        <v>434</v>
      </c>
      <c r="G1629" t="s">
        <v>435</v>
      </c>
      <c r="H1629" t="s">
        <v>84</v>
      </c>
      <c r="I1629" t="s">
        <v>436</v>
      </c>
      <c r="J1629" t="s">
        <v>419</v>
      </c>
      <c r="K1629">
        <v>-57617.471697480003</v>
      </c>
      <c r="L1629" t="s">
        <v>85</v>
      </c>
      <c r="M1629" t="s">
        <v>424</v>
      </c>
      <c r="N1629">
        <v>2.9085775596699999E-3</v>
      </c>
      <c r="O1629">
        <v>167.58488500000001</v>
      </c>
      <c r="P1629" t="s">
        <v>421</v>
      </c>
      <c r="Q1629">
        <v>1</v>
      </c>
      <c r="V1629">
        <v>1</v>
      </c>
      <c r="W1629">
        <v>1</v>
      </c>
      <c r="X1629">
        <v>1</v>
      </c>
      <c r="Y1629">
        <v>1</v>
      </c>
      <c r="Z1629">
        <v>167.58488500000001</v>
      </c>
    </row>
    <row r="1630" spans="1:26" x14ac:dyDescent="0.25">
      <c r="A1630">
        <v>154972</v>
      </c>
      <c r="B1630" t="s">
        <v>444</v>
      </c>
      <c r="C1630">
        <v>2020</v>
      </c>
      <c r="D1630">
        <v>1</v>
      </c>
      <c r="E1630" t="s">
        <v>415</v>
      </c>
      <c r="F1630" t="s">
        <v>434</v>
      </c>
      <c r="G1630" t="s">
        <v>435</v>
      </c>
      <c r="H1630" t="s">
        <v>84</v>
      </c>
      <c r="I1630" t="s">
        <v>436</v>
      </c>
      <c r="J1630" t="s">
        <v>419</v>
      </c>
      <c r="K1630">
        <v>-57617.471697480003</v>
      </c>
      <c r="L1630" t="s">
        <v>85</v>
      </c>
      <c r="M1630" t="s">
        <v>425</v>
      </c>
      <c r="N1630">
        <v>2.6170694898000001E-3</v>
      </c>
      <c r="O1630">
        <v>150.788927</v>
      </c>
      <c r="P1630" t="s">
        <v>421</v>
      </c>
      <c r="Q1630">
        <v>1</v>
      </c>
      <c r="V1630">
        <v>1</v>
      </c>
      <c r="W1630">
        <v>1</v>
      </c>
      <c r="X1630">
        <v>1</v>
      </c>
      <c r="Y1630">
        <v>1</v>
      </c>
      <c r="Z1630">
        <v>150.788927</v>
      </c>
    </row>
    <row r="1631" spans="1:26" x14ac:dyDescent="0.25">
      <c r="A1631">
        <v>154973</v>
      </c>
      <c r="B1631" t="s">
        <v>444</v>
      </c>
      <c r="C1631">
        <v>2020</v>
      </c>
      <c r="D1631">
        <v>1</v>
      </c>
      <c r="E1631" t="s">
        <v>415</v>
      </c>
      <c r="F1631" t="s">
        <v>434</v>
      </c>
      <c r="G1631" t="s">
        <v>435</v>
      </c>
      <c r="H1631" t="s">
        <v>84</v>
      </c>
      <c r="I1631" t="s">
        <v>437</v>
      </c>
      <c r="J1631" t="s">
        <v>87</v>
      </c>
      <c r="K1631">
        <v>-15478.96291199</v>
      </c>
      <c r="L1631" t="s">
        <v>427</v>
      </c>
      <c r="M1631" t="s">
        <v>420</v>
      </c>
      <c r="N1631">
        <v>0.45523813654234002</v>
      </c>
      <c r="O1631">
        <v>7046.6142319999999</v>
      </c>
      <c r="P1631" t="s">
        <v>421</v>
      </c>
      <c r="Q1631">
        <v>1</v>
      </c>
      <c r="V1631">
        <v>1</v>
      </c>
      <c r="W1631">
        <v>1</v>
      </c>
      <c r="X1631">
        <v>1</v>
      </c>
      <c r="Y1631">
        <v>1</v>
      </c>
      <c r="Z1631">
        <v>7046.6142319999999</v>
      </c>
    </row>
    <row r="1632" spans="1:26" x14ac:dyDescent="0.25">
      <c r="A1632">
        <v>154974</v>
      </c>
      <c r="B1632" t="s">
        <v>444</v>
      </c>
      <c r="C1632">
        <v>2020</v>
      </c>
      <c r="D1632">
        <v>1</v>
      </c>
      <c r="E1632" t="s">
        <v>415</v>
      </c>
      <c r="F1632" t="s">
        <v>434</v>
      </c>
      <c r="G1632" t="s">
        <v>435</v>
      </c>
      <c r="H1632" t="s">
        <v>84</v>
      </c>
      <c r="I1632" t="s">
        <v>437</v>
      </c>
      <c r="J1632" t="s">
        <v>87</v>
      </c>
      <c r="K1632">
        <v>-15478.96291199</v>
      </c>
      <c r="L1632" t="s">
        <v>427</v>
      </c>
      <c r="M1632" t="s">
        <v>422</v>
      </c>
      <c r="N1632">
        <v>6.8896616392329996E-2</v>
      </c>
      <c r="O1632">
        <v>1066.4481699999999</v>
      </c>
      <c r="P1632" t="s">
        <v>421</v>
      </c>
      <c r="Q1632">
        <v>1</v>
      </c>
      <c r="V1632">
        <v>1</v>
      </c>
      <c r="W1632">
        <v>1</v>
      </c>
      <c r="X1632">
        <v>1</v>
      </c>
      <c r="Y1632">
        <v>1</v>
      </c>
      <c r="Z1632">
        <v>1066.4481699999999</v>
      </c>
    </row>
    <row r="1633" spans="1:26" x14ac:dyDescent="0.25">
      <c r="A1633">
        <v>154975</v>
      </c>
      <c r="B1633" t="s">
        <v>444</v>
      </c>
      <c r="C1633">
        <v>2020</v>
      </c>
      <c r="D1633">
        <v>1</v>
      </c>
      <c r="E1633" t="s">
        <v>415</v>
      </c>
      <c r="F1633" t="s">
        <v>434</v>
      </c>
      <c r="G1633" t="s">
        <v>435</v>
      </c>
      <c r="H1633" t="s">
        <v>84</v>
      </c>
      <c r="I1633" t="s">
        <v>437</v>
      </c>
      <c r="J1633" t="s">
        <v>87</v>
      </c>
      <c r="K1633">
        <v>-15478.96291199</v>
      </c>
      <c r="L1633" t="s">
        <v>427</v>
      </c>
      <c r="M1633" t="s">
        <v>423</v>
      </c>
      <c r="N1633">
        <v>0.70986919705586005</v>
      </c>
      <c r="O1633">
        <v>10988.038973999999</v>
      </c>
      <c r="P1633" t="s">
        <v>421</v>
      </c>
      <c r="Q1633">
        <v>1</v>
      </c>
      <c r="V1633">
        <v>1</v>
      </c>
      <c r="W1633">
        <v>1</v>
      </c>
      <c r="X1633">
        <v>1</v>
      </c>
      <c r="Y1633">
        <v>1</v>
      </c>
      <c r="Z1633">
        <v>10988.038973999999</v>
      </c>
    </row>
    <row r="1634" spans="1:26" x14ac:dyDescent="0.25">
      <c r="A1634">
        <v>154976</v>
      </c>
      <c r="B1634" t="s">
        <v>444</v>
      </c>
      <c r="C1634">
        <v>2020</v>
      </c>
      <c r="D1634">
        <v>1</v>
      </c>
      <c r="E1634" t="s">
        <v>415</v>
      </c>
      <c r="F1634" t="s">
        <v>434</v>
      </c>
      <c r="G1634" t="s">
        <v>435</v>
      </c>
      <c r="H1634" t="s">
        <v>84</v>
      </c>
      <c r="I1634" t="s">
        <v>437</v>
      </c>
      <c r="J1634" t="s">
        <v>87</v>
      </c>
      <c r="K1634">
        <v>-15478.96291199</v>
      </c>
      <c r="L1634" t="s">
        <v>427</v>
      </c>
      <c r="M1634" t="s">
        <v>425</v>
      </c>
      <c r="N1634">
        <v>1.4965642882E-3</v>
      </c>
      <c r="O1634">
        <v>23.165262999999999</v>
      </c>
      <c r="P1634" t="s">
        <v>421</v>
      </c>
      <c r="Q1634">
        <v>1</v>
      </c>
      <c r="V1634">
        <v>1</v>
      </c>
      <c r="W1634">
        <v>1</v>
      </c>
      <c r="X1634">
        <v>1</v>
      </c>
      <c r="Y1634">
        <v>1</v>
      </c>
      <c r="Z1634">
        <v>23.165262999999999</v>
      </c>
    </row>
    <row r="1635" spans="1:26" x14ac:dyDescent="0.25">
      <c r="A1635">
        <v>154977</v>
      </c>
      <c r="B1635" t="s">
        <v>444</v>
      </c>
      <c r="C1635">
        <v>2020</v>
      </c>
      <c r="D1635">
        <v>1</v>
      </c>
      <c r="E1635" t="s">
        <v>415</v>
      </c>
      <c r="F1635" t="s">
        <v>434</v>
      </c>
      <c r="G1635" t="s">
        <v>435</v>
      </c>
      <c r="H1635" t="s">
        <v>84</v>
      </c>
      <c r="I1635" t="s">
        <v>438</v>
      </c>
      <c r="J1635" t="s">
        <v>59</v>
      </c>
      <c r="K1635">
        <v>-16511.70689397</v>
      </c>
      <c r="L1635" t="s">
        <v>89</v>
      </c>
      <c r="M1635" t="s">
        <v>420</v>
      </c>
      <c r="N1635">
        <v>0.26343870574139999</v>
      </c>
      <c r="O1635">
        <v>4349.8226940000004</v>
      </c>
      <c r="P1635" t="s">
        <v>421</v>
      </c>
      <c r="Q1635">
        <v>1</v>
      </c>
      <c r="V1635">
        <v>1</v>
      </c>
      <c r="W1635">
        <v>1</v>
      </c>
      <c r="X1635">
        <v>1</v>
      </c>
      <c r="Y1635">
        <v>1</v>
      </c>
      <c r="Z1635">
        <v>4349.8226940000004</v>
      </c>
    </row>
    <row r="1636" spans="1:26" x14ac:dyDescent="0.25">
      <c r="A1636">
        <v>154978</v>
      </c>
      <c r="B1636" t="s">
        <v>444</v>
      </c>
      <c r="C1636">
        <v>2020</v>
      </c>
      <c r="D1636">
        <v>1</v>
      </c>
      <c r="E1636" t="s">
        <v>415</v>
      </c>
      <c r="F1636" t="s">
        <v>434</v>
      </c>
      <c r="G1636" t="s">
        <v>435</v>
      </c>
      <c r="H1636" t="s">
        <v>84</v>
      </c>
      <c r="I1636" t="s">
        <v>438</v>
      </c>
      <c r="J1636" t="s">
        <v>59</v>
      </c>
      <c r="K1636">
        <v>-16511.70689397</v>
      </c>
      <c r="L1636" t="s">
        <v>89</v>
      </c>
      <c r="M1636" t="s">
        <v>422</v>
      </c>
      <c r="N1636">
        <v>7.1262429683470005E-2</v>
      </c>
      <c r="O1636">
        <v>1176.6643509999999</v>
      </c>
      <c r="P1636" t="s">
        <v>421</v>
      </c>
      <c r="Q1636">
        <v>1</v>
      </c>
      <c r="V1636">
        <v>1</v>
      </c>
      <c r="W1636">
        <v>1</v>
      </c>
      <c r="X1636">
        <v>1</v>
      </c>
      <c r="Y1636">
        <v>1</v>
      </c>
      <c r="Z1636">
        <v>1176.6643509999999</v>
      </c>
    </row>
    <row r="1637" spans="1:26" x14ac:dyDescent="0.25">
      <c r="A1637">
        <v>154979</v>
      </c>
      <c r="B1637" t="s">
        <v>444</v>
      </c>
      <c r="C1637">
        <v>2020</v>
      </c>
      <c r="D1637">
        <v>1</v>
      </c>
      <c r="E1637" t="s">
        <v>415</v>
      </c>
      <c r="F1637" t="s">
        <v>434</v>
      </c>
      <c r="G1637" t="s">
        <v>435</v>
      </c>
      <c r="H1637" t="s">
        <v>84</v>
      </c>
      <c r="I1637" t="s">
        <v>438</v>
      </c>
      <c r="J1637" t="s">
        <v>59</v>
      </c>
      <c r="K1637">
        <v>-16511.70689397</v>
      </c>
      <c r="L1637" t="s">
        <v>89</v>
      </c>
      <c r="M1637" t="s">
        <v>423</v>
      </c>
      <c r="N1637">
        <v>0.74738783869542003</v>
      </c>
      <c r="O1637">
        <v>12340.648929000001</v>
      </c>
      <c r="P1637" t="s">
        <v>421</v>
      </c>
      <c r="Q1637">
        <v>1</v>
      </c>
      <c r="V1637">
        <v>1</v>
      </c>
      <c r="W1637">
        <v>1</v>
      </c>
      <c r="X1637">
        <v>1</v>
      </c>
      <c r="Y1637">
        <v>1</v>
      </c>
      <c r="Z1637">
        <v>12340.648929000001</v>
      </c>
    </row>
    <row r="1638" spans="1:26" x14ac:dyDescent="0.25">
      <c r="A1638">
        <v>154980</v>
      </c>
      <c r="B1638" t="s">
        <v>444</v>
      </c>
      <c r="C1638">
        <v>2020</v>
      </c>
      <c r="D1638">
        <v>1</v>
      </c>
      <c r="E1638" t="s">
        <v>415</v>
      </c>
      <c r="F1638" t="s">
        <v>434</v>
      </c>
      <c r="G1638" t="s">
        <v>435</v>
      </c>
      <c r="H1638" t="s">
        <v>84</v>
      </c>
      <c r="I1638" t="s">
        <v>438</v>
      </c>
      <c r="J1638" t="s">
        <v>59</v>
      </c>
      <c r="K1638">
        <v>-16511.70689397</v>
      </c>
      <c r="L1638" t="s">
        <v>89</v>
      </c>
      <c r="M1638" t="s">
        <v>424</v>
      </c>
      <c r="N1638">
        <v>3.08071516317E-3</v>
      </c>
      <c r="O1638">
        <v>50.867865999999999</v>
      </c>
      <c r="P1638" t="s">
        <v>421</v>
      </c>
      <c r="Q1638">
        <v>1</v>
      </c>
      <c r="V1638">
        <v>1</v>
      </c>
      <c r="W1638">
        <v>1</v>
      </c>
      <c r="X1638">
        <v>1</v>
      </c>
      <c r="Y1638">
        <v>1</v>
      </c>
      <c r="Z1638">
        <v>50.867865999999999</v>
      </c>
    </row>
    <row r="1639" spans="1:26" x14ac:dyDescent="0.25">
      <c r="A1639">
        <v>154981</v>
      </c>
      <c r="B1639" t="s">
        <v>444</v>
      </c>
      <c r="C1639">
        <v>2020</v>
      </c>
      <c r="D1639">
        <v>1</v>
      </c>
      <c r="E1639" t="s">
        <v>415</v>
      </c>
      <c r="F1639" t="s">
        <v>434</v>
      </c>
      <c r="G1639" t="s">
        <v>435</v>
      </c>
      <c r="H1639" t="s">
        <v>84</v>
      </c>
      <c r="I1639" t="s">
        <v>438</v>
      </c>
      <c r="J1639" t="s">
        <v>59</v>
      </c>
      <c r="K1639">
        <v>-16511.70689397</v>
      </c>
      <c r="L1639" t="s">
        <v>89</v>
      </c>
      <c r="M1639" t="s">
        <v>425</v>
      </c>
      <c r="N1639">
        <v>2.5360775708E-3</v>
      </c>
      <c r="O1639">
        <v>41.874969999999998</v>
      </c>
      <c r="P1639" t="s">
        <v>421</v>
      </c>
      <c r="Q1639">
        <v>1</v>
      </c>
      <c r="V1639">
        <v>1</v>
      </c>
      <c r="W1639">
        <v>1</v>
      </c>
      <c r="X1639">
        <v>1</v>
      </c>
      <c r="Y1639">
        <v>1</v>
      </c>
      <c r="Z1639">
        <v>41.874969999999998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68AF-0AC1-4474-AC8D-B1126C2B33D5}">
  <dimension ref="A1:O352"/>
  <sheetViews>
    <sheetView workbookViewId="0">
      <selection activeCell="J1" sqref="J1"/>
    </sheetView>
  </sheetViews>
  <sheetFormatPr baseColWidth="10" defaultColWidth="9.140625" defaultRowHeight="15" x14ac:dyDescent="0.25"/>
  <cols>
    <col min="1" max="1" width="4.8554687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18.140625" bestFit="1" customWidth="1"/>
    <col min="6" max="6" width="11.5703125" bestFit="1" customWidth="1"/>
    <col min="7" max="7" width="12.5703125" bestFit="1" customWidth="1"/>
    <col min="8" max="8" width="16.85546875" bestFit="1" customWidth="1"/>
    <col min="9" max="9" width="19.140625" bestFit="1" customWidth="1"/>
    <col min="10" max="10" width="18.140625" style="62" bestFit="1" customWidth="1"/>
    <col min="11" max="11" width="14.28515625" bestFit="1" customWidth="1"/>
    <col min="12" max="12" width="13.5703125" bestFit="1" customWidth="1"/>
    <col min="13" max="13" width="19.140625" bestFit="1" customWidth="1"/>
    <col min="14" max="14" width="12.5703125" bestFit="1" customWidth="1"/>
    <col min="15" max="15" width="15.42578125" bestFit="1" customWidth="1"/>
  </cols>
  <sheetData>
    <row r="1" spans="1:15" x14ac:dyDescent="0.25">
      <c r="A1" s="34" t="s">
        <v>445</v>
      </c>
      <c r="B1" s="34" t="s">
        <v>1</v>
      </c>
      <c r="C1" s="34" t="s">
        <v>2</v>
      </c>
      <c r="D1" s="34" t="s">
        <v>3</v>
      </c>
      <c r="E1" s="34" t="s">
        <v>43</v>
      </c>
      <c r="F1" s="34" t="s">
        <v>359</v>
      </c>
      <c r="G1" s="34" t="s">
        <v>361</v>
      </c>
      <c r="H1" s="34" t="s">
        <v>362</v>
      </c>
      <c r="I1" s="34" t="s">
        <v>32</v>
      </c>
      <c r="J1" s="61" t="s">
        <v>446</v>
      </c>
      <c r="K1" s="34" t="s">
        <v>447</v>
      </c>
      <c r="L1" s="34" t="s">
        <v>448</v>
      </c>
      <c r="M1" s="34" t="s">
        <v>449</v>
      </c>
      <c r="N1" s="34" t="s">
        <v>450</v>
      </c>
      <c r="O1" s="34" t="s">
        <v>451</v>
      </c>
    </row>
    <row r="2" spans="1:15" x14ac:dyDescent="0.25">
      <c r="A2" t="s">
        <v>452</v>
      </c>
      <c r="B2" t="s">
        <v>119</v>
      </c>
      <c r="C2">
        <v>2018</v>
      </c>
      <c r="D2">
        <v>1</v>
      </c>
      <c r="E2" t="s">
        <v>415</v>
      </c>
      <c r="F2" t="s">
        <v>416</v>
      </c>
      <c r="G2" t="s">
        <v>84</v>
      </c>
      <c r="H2" t="s">
        <v>418</v>
      </c>
      <c r="I2" t="s">
        <v>453</v>
      </c>
      <c r="J2" s="62">
        <v>17563.758607870001</v>
      </c>
      <c r="K2">
        <v>30.236239390000001</v>
      </c>
      <c r="L2">
        <v>-510549.41389895999</v>
      </c>
      <c r="M2" t="s">
        <v>454</v>
      </c>
      <c r="N2">
        <v>30.926953309999998</v>
      </c>
      <c r="O2">
        <v>-17059.446293149998</v>
      </c>
    </row>
    <row r="3" spans="1:15" x14ac:dyDescent="0.25">
      <c r="A3" t="s">
        <v>452</v>
      </c>
      <c r="B3" t="s">
        <v>119</v>
      </c>
      <c r="C3">
        <v>2018</v>
      </c>
      <c r="D3">
        <v>1</v>
      </c>
      <c r="E3" t="s">
        <v>415</v>
      </c>
      <c r="F3" t="s">
        <v>416</v>
      </c>
      <c r="G3" t="s">
        <v>84</v>
      </c>
      <c r="H3" t="s">
        <v>426</v>
      </c>
      <c r="I3" t="s">
        <v>455</v>
      </c>
      <c r="J3" s="62">
        <v>5338.6730455799998</v>
      </c>
      <c r="K3">
        <v>31.794364259999998</v>
      </c>
      <c r="L3">
        <v>-161823.97284174999</v>
      </c>
      <c r="M3" t="s">
        <v>454</v>
      </c>
      <c r="N3">
        <v>30.926953309999998</v>
      </c>
      <c r="O3">
        <v>-5411.0115573800003</v>
      </c>
    </row>
    <row r="4" spans="1:15" x14ac:dyDescent="0.25">
      <c r="A4" t="s">
        <v>452</v>
      </c>
      <c r="B4" t="s">
        <v>119</v>
      </c>
      <c r="C4">
        <v>2018</v>
      </c>
      <c r="D4">
        <v>1</v>
      </c>
      <c r="E4" t="s">
        <v>415</v>
      </c>
      <c r="F4" t="s">
        <v>416</v>
      </c>
      <c r="G4" t="s">
        <v>84</v>
      </c>
      <c r="H4" t="s">
        <v>428</v>
      </c>
      <c r="I4" t="s">
        <v>456</v>
      </c>
      <c r="J4" s="62">
        <v>6362.3621816100003</v>
      </c>
      <c r="K4">
        <v>29.6486822</v>
      </c>
      <c r="L4">
        <v>-182799.97801468999</v>
      </c>
      <c r="M4" t="s">
        <v>454</v>
      </c>
      <c r="N4">
        <v>30.926953309999998</v>
      </c>
      <c r="O4">
        <v>-6078.1632567200004</v>
      </c>
    </row>
    <row r="5" spans="1:15" x14ac:dyDescent="0.25">
      <c r="A5" t="s">
        <v>452</v>
      </c>
      <c r="B5" t="s">
        <v>119</v>
      </c>
      <c r="C5">
        <v>2018</v>
      </c>
      <c r="D5">
        <v>1</v>
      </c>
      <c r="E5" t="s">
        <v>415</v>
      </c>
      <c r="F5" t="s">
        <v>429</v>
      </c>
      <c r="G5" t="s">
        <v>84</v>
      </c>
      <c r="H5" t="s">
        <v>431</v>
      </c>
      <c r="I5" t="s">
        <v>453</v>
      </c>
      <c r="J5" s="62">
        <v>24238.011466259999</v>
      </c>
      <c r="K5">
        <v>30.236239390000001</v>
      </c>
      <c r="L5">
        <v>-754731.55985476996</v>
      </c>
      <c r="M5" t="s">
        <v>454</v>
      </c>
      <c r="N5">
        <v>30.926953309999998</v>
      </c>
      <c r="O5">
        <v>-23787.877294170001</v>
      </c>
    </row>
    <row r="6" spans="1:15" x14ac:dyDescent="0.25">
      <c r="A6" t="s">
        <v>452</v>
      </c>
      <c r="B6" t="s">
        <v>119</v>
      </c>
      <c r="C6">
        <v>2018</v>
      </c>
      <c r="D6">
        <v>1</v>
      </c>
      <c r="E6" t="s">
        <v>415</v>
      </c>
      <c r="F6" t="s">
        <v>429</v>
      </c>
      <c r="G6" t="s">
        <v>84</v>
      </c>
      <c r="H6" t="s">
        <v>432</v>
      </c>
      <c r="I6" t="s">
        <v>455</v>
      </c>
      <c r="J6" s="62">
        <v>7599.8606662599996</v>
      </c>
      <c r="K6">
        <v>31.794364259999998</v>
      </c>
      <c r="L6">
        <v>-251084.8054134</v>
      </c>
      <c r="M6" t="s">
        <v>454</v>
      </c>
      <c r="N6">
        <v>30.926953309999998</v>
      </c>
      <c r="O6">
        <v>-7902.6498620000002</v>
      </c>
    </row>
    <row r="7" spans="1:15" x14ac:dyDescent="0.25">
      <c r="A7" t="s">
        <v>452</v>
      </c>
      <c r="B7" t="s">
        <v>119</v>
      </c>
      <c r="C7">
        <v>2018</v>
      </c>
      <c r="D7">
        <v>1</v>
      </c>
      <c r="E7" t="s">
        <v>415</v>
      </c>
      <c r="F7" t="s">
        <v>429</v>
      </c>
      <c r="G7" t="s">
        <v>84</v>
      </c>
      <c r="H7" t="s">
        <v>433</v>
      </c>
      <c r="I7" t="s">
        <v>456</v>
      </c>
      <c r="J7" s="62">
        <v>8771.1244561900003</v>
      </c>
      <c r="K7">
        <v>29.6486822</v>
      </c>
      <c r="L7">
        <v>-268416.86687845999</v>
      </c>
      <c r="M7" t="s">
        <v>454</v>
      </c>
      <c r="N7">
        <v>30.926953309999998</v>
      </c>
      <c r="O7">
        <v>-8425.0483540099995</v>
      </c>
    </row>
    <row r="8" spans="1:15" x14ac:dyDescent="0.25">
      <c r="A8" t="s">
        <v>452</v>
      </c>
      <c r="B8" t="s">
        <v>119</v>
      </c>
      <c r="C8">
        <v>2018</v>
      </c>
      <c r="D8">
        <v>1</v>
      </c>
      <c r="E8" t="s">
        <v>415</v>
      </c>
      <c r="F8" t="s">
        <v>434</v>
      </c>
      <c r="G8" t="s">
        <v>84</v>
      </c>
      <c r="H8" t="s">
        <v>436</v>
      </c>
      <c r="I8" t="s">
        <v>453</v>
      </c>
      <c r="J8" s="62">
        <v>12448.44358107</v>
      </c>
      <c r="K8">
        <v>30.236239390000001</v>
      </c>
      <c r="L8">
        <v>-388911.12713292998</v>
      </c>
      <c r="M8" t="s">
        <v>454</v>
      </c>
      <c r="N8">
        <v>30.926953309999998</v>
      </c>
      <c r="O8">
        <v>-12198.49244407</v>
      </c>
    </row>
    <row r="9" spans="1:15" x14ac:dyDescent="0.25">
      <c r="A9" t="s">
        <v>452</v>
      </c>
      <c r="B9" t="s">
        <v>119</v>
      </c>
      <c r="C9">
        <v>2018</v>
      </c>
      <c r="D9">
        <v>1</v>
      </c>
      <c r="E9" t="s">
        <v>415</v>
      </c>
      <c r="F9" t="s">
        <v>434</v>
      </c>
      <c r="G9" t="s">
        <v>84</v>
      </c>
      <c r="H9" t="s">
        <v>437</v>
      </c>
      <c r="I9" t="s">
        <v>455</v>
      </c>
      <c r="J9" s="62">
        <v>3627.0370254700001</v>
      </c>
      <c r="K9">
        <v>31.794364259999998</v>
      </c>
      <c r="L9">
        <v>-118908.13443907</v>
      </c>
      <c r="M9" t="s">
        <v>454</v>
      </c>
      <c r="N9">
        <v>30.926953309999998</v>
      </c>
      <c r="O9">
        <v>-3733.8924361700001</v>
      </c>
    </row>
    <row r="10" spans="1:15" x14ac:dyDescent="0.25">
      <c r="A10" t="s">
        <v>452</v>
      </c>
      <c r="B10" t="s">
        <v>119</v>
      </c>
      <c r="C10">
        <v>2018</v>
      </c>
      <c r="D10">
        <v>1</v>
      </c>
      <c r="E10" t="s">
        <v>415</v>
      </c>
      <c r="F10" t="s">
        <v>434</v>
      </c>
      <c r="G10" t="s">
        <v>84</v>
      </c>
      <c r="H10" t="s">
        <v>438</v>
      </c>
      <c r="I10" t="s">
        <v>456</v>
      </c>
      <c r="J10" s="62">
        <v>4516.00199514</v>
      </c>
      <c r="K10">
        <v>29.6486822</v>
      </c>
      <c r="L10">
        <v>-138736.87690423999</v>
      </c>
      <c r="M10" t="s">
        <v>454</v>
      </c>
      <c r="N10">
        <v>30.926953309999998</v>
      </c>
      <c r="O10">
        <v>-4341.5684556200003</v>
      </c>
    </row>
    <row r="11" spans="1:15" x14ac:dyDescent="0.25">
      <c r="A11" t="s">
        <v>452</v>
      </c>
      <c r="B11" t="s">
        <v>145</v>
      </c>
      <c r="C11">
        <v>2019</v>
      </c>
      <c r="D11">
        <v>1</v>
      </c>
      <c r="E11" t="s">
        <v>415</v>
      </c>
      <c r="F11" t="s">
        <v>416</v>
      </c>
      <c r="G11" t="s">
        <v>84</v>
      </c>
      <c r="H11" t="s">
        <v>418</v>
      </c>
      <c r="I11" t="s">
        <v>453</v>
      </c>
      <c r="J11" s="62">
        <v>33103.550592189997</v>
      </c>
      <c r="K11">
        <v>41.99587262</v>
      </c>
      <c r="L11">
        <v>-1229461.73780696</v>
      </c>
      <c r="M11" t="s">
        <v>454</v>
      </c>
      <c r="N11">
        <v>42.672527289999998</v>
      </c>
      <c r="O11">
        <v>-32480.458649790002</v>
      </c>
    </row>
    <row r="12" spans="1:15" x14ac:dyDescent="0.25">
      <c r="A12" t="s">
        <v>452</v>
      </c>
      <c r="B12" t="s">
        <v>145</v>
      </c>
      <c r="C12">
        <v>2019</v>
      </c>
      <c r="D12">
        <v>1</v>
      </c>
      <c r="E12" t="s">
        <v>415</v>
      </c>
      <c r="F12" t="s">
        <v>416</v>
      </c>
      <c r="G12" t="s">
        <v>84</v>
      </c>
      <c r="H12" t="s">
        <v>426</v>
      </c>
      <c r="I12" t="s">
        <v>455</v>
      </c>
      <c r="J12" s="62">
        <v>7508.0989411</v>
      </c>
      <c r="K12">
        <v>41.234035140000003</v>
      </c>
      <c r="L12">
        <v>-282873.37456706999</v>
      </c>
      <c r="M12" t="s">
        <v>454</v>
      </c>
      <c r="N12">
        <v>42.672527289999998</v>
      </c>
      <c r="O12">
        <v>-7525.1008412600004</v>
      </c>
    </row>
    <row r="13" spans="1:15" x14ac:dyDescent="0.25">
      <c r="A13" t="s">
        <v>452</v>
      </c>
      <c r="B13" t="s">
        <v>145</v>
      </c>
      <c r="C13">
        <v>2019</v>
      </c>
      <c r="D13">
        <v>1</v>
      </c>
      <c r="E13" t="s">
        <v>415</v>
      </c>
      <c r="F13" t="s">
        <v>416</v>
      </c>
      <c r="G13" t="s">
        <v>84</v>
      </c>
      <c r="H13" t="s">
        <v>428</v>
      </c>
      <c r="I13" t="s">
        <v>456</v>
      </c>
      <c r="J13" s="62">
        <v>15805.738638340001</v>
      </c>
      <c r="K13">
        <v>41.323141589999999</v>
      </c>
      <c r="L13">
        <v>-586764.74462600995</v>
      </c>
      <c r="M13" t="s">
        <v>454</v>
      </c>
      <c r="N13">
        <v>42.672527289999998</v>
      </c>
      <c r="O13">
        <v>-15389.97127131</v>
      </c>
    </row>
    <row r="14" spans="1:15" x14ac:dyDescent="0.25">
      <c r="A14" t="s">
        <v>452</v>
      </c>
      <c r="B14" t="s">
        <v>145</v>
      </c>
      <c r="C14">
        <v>2019</v>
      </c>
      <c r="D14">
        <v>1</v>
      </c>
      <c r="E14" t="s">
        <v>415</v>
      </c>
      <c r="F14" t="s">
        <v>429</v>
      </c>
      <c r="G14" t="s">
        <v>84</v>
      </c>
      <c r="H14" t="s">
        <v>431</v>
      </c>
      <c r="I14" t="s">
        <v>453</v>
      </c>
      <c r="J14" s="62">
        <v>46465.814649150001</v>
      </c>
      <c r="K14">
        <v>41.99587262</v>
      </c>
      <c r="L14">
        <v>-2046338.01575936</v>
      </c>
      <c r="M14" t="s">
        <v>454</v>
      </c>
      <c r="N14">
        <v>42.672527289999998</v>
      </c>
      <c r="O14">
        <v>-45891.043676070003</v>
      </c>
    </row>
    <row r="15" spans="1:15" x14ac:dyDescent="0.25">
      <c r="A15" t="s">
        <v>452</v>
      </c>
      <c r="B15" t="s">
        <v>145</v>
      </c>
      <c r="C15">
        <v>2019</v>
      </c>
      <c r="D15">
        <v>1</v>
      </c>
      <c r="E15" t="s">
        <v>415</v>
      </c>
      <c r="F15" t="s">
        <v>429</v>
      </c>
      <c r="G15" t="s">
        <v>84</v>
      </c>
      <c r="H15" t="s">
        <v>432</v>
      </c>
      <c r="I15" t="s">
        <v>455</v>
      </c>
      <c r="J15" s="62">
        <v>10759.02660542</v>
      </c>
      <c r="K15">
        <v>41.234035140000003</v>
      </c>
      <c r="L15">
        <v>-456462.06343366002</v>
      </c>
      <c r="M15" t="s">
        <v>454</v>
      </c>
      <c r="N15">
        <v>42.672527289999998</v>
      </c>
      <c r="O15">
        <v>-10551.55582691</v>
      </c>
    </row>
    <row r="16" spans="1:15" x14ac:dyDescent="0.25">
      <c r="A16" t="s">
        <v>452</v>
      </c>
      <c r="B16" t="s">
        <v>145</v>
      </c>
      <c r="C16">
        <v>2019</v>
      </c>
      <c r="D16">
        <v>1</v>
      </c>
      <c r="E16" t="s">
        <v>415</v>
      </c>
      <c r="F16" t="s">
        <v>429</v>
      </c>
      <c r="G16" t="s">
        <v>84</v>
      </c>
      <c r="H16" t="s">
        <v>433</v>
      </c>
      <c r="I16" t="s">
        <v>456</v>
      </c>
      <c r="J16" s="62">
        <v>22241.101767849999</v>
      </c>
      <c r="K16">
        <v>41.323141589999999</v>
      </c>
      <c r="L16">
        <v>-998475.69826204004</v>
      </c>
      <c r="M16" t="s">
        <v>454</v>
      </c>
      <c r="N16">
        <v>42.672527289999998</v>
      </c>
      <c r="O16">
        <v>-21877.424556099999</v>
      </c>
    </row>
    <row r="17" spans="1:15" x14ac:dyDescent="0.25">
      <c r="A17" t="s">
        <v>452</v>
      </c>
      <c r="B17" t="s">
        <v>145</v>
      </c>
      <c r="C17">
        <v>2019</v>
      </c>
      <c r="D17">
        <v>1</v>
      </c>
      <c r="E17" t="s">
        <v>415</v>
      </c>
      <c r="F17" t="s">
        <v>434</v>
      </c>
      <c r="G17" t="s">
        <v>84</v>
      </c>
      <c r="H17" t="s">
        <v>436</v>
      </c>
      <c r="I17" t="s">
        <v>453</v>
      </c>
      <c r="J17" s="62">
        <v>23965.230122289999</v>
      </c>
      <c r="K17">
        <v>41.99587262</v>
      </c>
      <c r="L17">
        <v>-1203333.10541012</v>
      </c>
      <c r="M17" t="s">
        <v>454</v>
      </c>
      <c r="N17">
        <v>42.672527289999998</v>
      </c>
      <c r="O17">
        <v>-23479.295164430001</v>
      </c>
    </row>
    <row r="18" spans="1:15" x14ac:dyDescent="0.25">
      <c r="A18" t="s">
        <v>452</v>
      </c>
      <c r="B18" t="s">
        <v>145</v>
      </c>
      <c r="C18">
        <v>2019</v>
      </c>
      <c r="D18">
        <v>1</v>
      </c>
      <c r="E18" t="s">
        <v>415</v>
      </c>
      <c r="F18" t="s">
        <v>434</v>
      </c>
      <c r="G18" t="s">
        <v>84</v>
      </c>
      <c r="H18" t="s">
        <v>437</v>
      </c>
      <c r="I18" t="s">
        <v>455</v>
      </c>
      <c r="J18" s="62">
        <v>5067.66608559</v>
      </c>
      <c r="K18">
        <v>41.234035140000003</v>
      </c>
      <c r="L18">
        <v>-233896.80987251</v>
      </c>
      <c r="M18" t="s">
        <v>454</v>
      </c>
      <c r="N18">
        <v>42.672527289999998</v>
      </c>
      <c r="O18">
        <v>-4728.4535417999996</v>
      </c>
    </row>
    <row r="19" spans="1:15" x14ac:dyDescent="0.25">
      <c r="A19" t="s">
        <v>452</v>
      </c>
      <c r="B19" t="s">
        <v>145</v>
      </c>
      <c r="C19">
        <v>2019</v>
      </c>
      <c r="D19">
        <v>1</v>
      </c>
      <c r="E19" t="s">
        <v>415</v>
      </c>
      <c r="F19" t="s">
        <v>434</v>
      </c>
      <c r="G19" t="s">
        <v>84</v>
      </c>
      <c r="H19" t="s">
        <v>438</v>
      </c>
      <c r="I19" t="s">
        <v>456</v>
      </c>
      <c r="J19" s="62">
        <v>11512.139791219999</v>
      </c>
      <c r="K19">
        <v>41.323141589999999</v>
      </c>
      <c r="L19">
        <v>-560379.75538999005</v>
      </c>
      <c r="M19" t="s">
        <v>454</v>
      </c>
      <c r="N19">
        <v>42.672527289999998</v>
      </c>
      <c r="O19">
        <v>-10814.11818243</v>
      </c>
    </row>
    <row r="20" spans="1:15" x14ac:dyDescent="0.25">
      <c r="A20" t="s">
        <v>452</v>
      </c>
      <c r="B20" t="s">
        <v>197</v>
      </c>
      <c r="C20">
        <v>2020</v>
      </c>
      <c r="D20">
        <v>1</v>
      </c>
      <c r="E20" t="s">
        <v>415</v>
      </c>
      <c r="F20" t="s">
        <v>416</v>
      </c>
      <c r="G20" t="s">
        <v>84</v>
      </c>
      <c r="H20" t="s">
        <v>418</v>
      </c>
      <c r="I20" t="s">
        <v>453</v>
      </c>
      <c r="J20" s="62">
        <v>72329.468195239999</v>
      </c>
      <c r="K20">
        <v>32.14362938</v>
      </c>
      <c r="L20">
        <v>-2346673.1343081002</v>
      </c>
      <c r="M20" t="s">
        <v>454</v>
      </c>
      <c r="N20">
        <v>31.868144869999998</v>
      </c>
      <c r="O20">
        <v>-71426.690197420001</v>
      </c>
    </row>
    <row r="21" spans="1:15" x14ac:dyDescent="0.25">
      <c r="A21" t="s">
        <v>452</v>
      </c>
      <c r="B21" t="s">
        <v>197</v>
      </c>
      <c r="C21">
        <v>2020</v>
      </c>
      <c r="D21">
        <v>1</v>
      </c>
      <c r="E21" t="s">
        <v>415</v>
      </c>
      <c r="F21" t="s">
        <v>416</v>
      </c>
      <c r="G21" t="s">
        <v>84</v>
      </c>
      <c r="H21" t="s">
        <v>426</v>
      </c>
      <c r="I21" t="s">
        <v>455</v>
      </c>
      <c r="J21" s="62">
        <v>30022.251603069999</v>
      </c>
      <c r="K21">
        <v>33.232642939999998</v>
      </c>
      <c r="L21">
        <v>-1017486.93765269</v>
      </c>
      <c r="M21" t="s">
        <v>454</v>
      </c>
      <c r="N21">
        <v>31.868144869999998</v>
      </c>
      <c r="O21">
        <v>-31099.432261350001</v>
      </c>
    </row>
    <row r="22" spans="1:15" x14ac:dyDescent="0.25">
      <c r="A22" t="s">
        <v>452</v>
      </c>
      <c r="B22" t="s">
        <v>197</v>
      </c>
      <c r="C22">
        <v>2020</v>
      </c>
      <c r="D22">
        <v>1</v>
      </c>
      <c r="E22" t="s">
        <v>415</v>
      </c>
      <c r="F22" t="s">
        <v>416</v>
      </c>
      <c r="G22" t="s">
        <v>84</v>
      </c>
      <c r="H22" t="s">
        <v>428</v>
      </c>
      <c r="I22" t="s">
        <v>456</v>
      </c>
      <c r="J22" s="62">
        <v>24595.0584447</v>
      </c>
      <c r="K22">
        <v>31.936459039999999</v>
      </c>
      <c r="L22">
        <v>-804115.55948684004</v>
      </c>
      <c r="M22" t="s">
        <v>454</v>
      </c>
      <c r="N22">
        <v>31.868144869999998</v>
      </c>
      <c r="O22">
        <v>-24460.020341669999</v>
      </c>
    </row>
    <row r="23" spans="1:15" x14ac:dyDescent="0.25">
      <c r="A23" t="s">
        <v>452</v>
      </c>
      <c r="B23" t="s">
        <v>197</v>
      </c>
      <c r="C23">
        <v>2020</v>
      </c>
      <c r="D23">
        <v>1</v>
      </c>
      <c r="E23" t="s">
        <v>415</v>
      </c>
      <c r="F23" t="s">
        <v>429</v>
      </c>
      <c r="G23" t="s">
        <v>84</v>
      </c>
      <c r="H23" t="s">
        <v>431</v>
      </c>
      <c r="I23" t="s">
        <v>453</v>
      </c>
      <c r="J23" s="62">
        <v>97105.594823869993</v>
      </c>
      <c r="K23">
        <v>32.14362938</v>
      </c>
      <c r="L23">
        <v>-3018685.1684813499</v>
      </c>
      <c r="M23" t="s">
        <v>454</v>
      </c>
      <c r="N23">
        <v>31.868144869999998</v>
      </c>
      <c r="O23">
        <v>-99996.149251220006</v>
      </c>
    </row>
    <row r="24" spans="1:15" x14ac:dyDescent="0.25">
      <c r="A24" t="s">
        <v>452</v>
      </c>
      <c r="B24" t="s">
        <v>197</v>
      </c>
      <c r="C24">
        <v>2020</v>
      </c>
      <c r="D24">
        <v>1</v>
      </c>
      <c r="E24" t="s">
        <v>415</v>
      </c>
      <c r="F24" t="s">
        <v>429</v>
      </c>
      <c r="G24" t="s">
        <v>84</v>
      </c>
      <c r="H24" t="s">
        <v>432</v>
      </c>
      <c r="I24" t="s">
        <v>455</v>
      </c>
      <c r="J24" s="62">
        <v>42035.74761667</v>
      </c>
      <c r="K24">
        <v>33.232642939999998</v>
      </c>
      <c r="L24">
        <v>-1322391.44882948</v>
      </c>
      <c r="M24" t="s">
        <v>454</v>
      </c>
      <c r="N24">
        <v>31.868144869999998</v>
      </c>
      <c r="O24">
        <v>-43916.895550239999</v>
      </c>
    </row>
    <row r="25" spans="1:15" x14ac:dyDescent="0.25">
      <c r="A25" t="s">
        <v>452</v>
      </c>
      <c r="B25" t="s">
        <v>197</v>
      </c>
      <c r="C25">
        <v>2020</v>
      </c>
      <c r="D25">
        <v>1</v>
      </c>
      <c r="E25" t="s">
        <v>415</v>
      </c>
      <c r="F25" t="s">
        <v>429</v>
      </c>
      <c r="G25" t="s">
        <v>84</v>
      </c>
      <c r="H25" t="s">
        <v>433</v>
      </c>
      <c r="I25" t="s">
        <v>456</v>
      </c>
      <c r="J25" s="62">
        <v>32095.827351569998</v>
      </c>
      <c r="K25">
        <v>31.936459039999999</v>
      </c>
      <c r="L25">
        <v>-984738.53829625004</v>
      </c>
      <c r="M25" t="s">
        <v>454</v>
      </c>
      <c r="N25">
        <v>31.868144869999998</v>
      </c>
      <c r="O25">
        <v>-32488.45716102</v>
      </c>
    </row>
    <row r="26" spans="1:15" x14ac:dyDescent="0.25">
      <c r="A26" t="s">
        <v>452</v>
      </c>
      <c r="B26" t="s">
        <v>197</v>
      </c>
      <c r="C26">
        <v>2020</v>
      </c>
      <c r="D26">
        <v>1</v>
      </c>
      <c r="E26" t="s">
        <v>415</v>
      </c>
      <c r="F26" t="s">
        <v>434</v>
      </c>
      <c r="G26" t="s">
        <v>84</v>
      </c>
      <c r="H26" t="s">
        <v>436</v>
      </c>
      <c r="I26" t="s">
        <v>453</v>
      </c>
      <c r="J26" s="62">
        <v>53328.351092359997</v>
      </c>
      <c r="K26">
        <v>32.14362938</v>
      </c>
      <c r="L26">
        <v>-1966074.2709461399</v>
      </c>
      <c r="M26" t="s">
        <v>454</v>
      </c>
      <c r="N26">
        <v>31.868144869999998</v>
      </c>
      <c r="O26">
        <v>-53719.069593289998</v>
      </c>
    </row>
    <row r="27" spans="1:15" x14ac:dyDescent="0.25">
      <c r="A27" t="s">
        <v>452</v>
      </c>
      <c r="B27" t="s">
        <v>197</v>
      </c>
      <c r="C27">
        <v>2020</v>
      </c>
      <c r="D27">
        <v>1</v>
      </c>
      <c r="E27" t="s">
        <v>415</v>
      </c>
      <c r="F27" t="s">
        <v>434</v>
      </c>
      <c r="G27" t="s">
        <v>84</v>
      </c>
      <c r="H27" t="s">
        <v>437</v>
      </c>
      <c r="I27" t="s">
        <v>455</v>
      </c>
      <c r="J27" s="62">
        <v>20502.22129464</v>
      </c>
      <c r="K27">
        <v>33.232642939999998</v>
      </c>
      <c r="L27">
        <v>-781165.16638206004</v>
      </c>
      <c r="M27" t="s">
        <v>454</v>
      </c>
      <c r="N27">
        <v>31.868144869999998</v>
      </c>
      <c r="O27">
        <v>-21503.775293390001</v>
      </c>
    </row>
    <row r="28" spans="1:15" x14ac:dyDescent="0.25">
      <c r="A28" t="s">
        <v>452</v>
      </c>
      <c r="B28" t="s">
        <v>197</v>
      </c>
      <c r="C28">
        <v>2020</v>
      </c>
      <c r="D28">
        <v>1</v>
      </c>
      <c r="E28" t="s">
        <v>415</v>
      </c>
      <c r="F28" t="s">
        <v>434</v>
      </c>
      <c r="G28" t="s">
        <v>84</v>
      </c>
      <c r="H28" t="s">
        <v>438</v>
      </c>
      <c r="I28" t="s">
        <v>456</v>
      </c>
      <c r="J28" s="62">
        <v>17267.25223659</v>
      </c>
      <c r="K28">
        <v>31.936459039999999</v>
      </c>
      <c r="L28">
        <v>-637153.60370464996</v>
      </c>
      <c r="M28" t="s">
        <v>454</v>
      </c>
      <c r="N28">
        <v>31.868144869999998</v>
      </c>
      <c r="O28">
        <v>-17248.509130840001</v>
      </c>
    </row>
    <row r="29" spans="1:15" x14ac:dyDescent="0.25">
      <c r="A29" t="s">
        <v>452</v>
      </c>
      <c r="B29" t="s">
        <v>439</v>
      </c>
      <c r="C29">
        <v>2021</v>
      </c>
      <c r="D29">
        <v>1</v>
      </c>
      <c r="E29" t="s">
        <v>415</v>
      </c>
      <c r="F29" t="s">
        <v>416</v>
      </c>
      <c r="G29" t="s">
        <v>84</v>
      </c>
      <c r="H29" t="s">
        <v>418</v>
      </c>
      <c r="I29" t="s">
        <v>453</v>
      </c>
      <c r="J29" s="62">
        <v>61394.960772960003</v>
      </c>
      <c r="K29">
        <v>40.689725729999999</v>
      </c>
      <c r="L29">
        <v>-2790380.8603472002</v>
      </c>
      <c r="M29" t="s">
        <v>454</v>
      </c>
      <c r="N29">
        <v>42.610399739999998</v>
      </c>
      <c r="O29">
        <v>-57172.536885280002</v>
      </c>
    </row>
    <row r="30" spans="1:15" x14ac:dyDescent="0.25">
      <c r="A30" t="s">
        <v>452</v>
      </c>
      <c r="B30" t="s">
        <v>439</v>
      </c>
      <c r="C30">
        <v>2021</v>
      </c>
      <c r="D30">
        <v>1</v>
      </c>
      <c r="E30" t="s">
        <v>415</v>
      </c>
      <c r="F30" t="s">
        <v>416</v>
      </c>
      <c r="G30" t="s">
        <v>84</v>
      </c>
      <c r="H30" t="s">
        <v>426</v>
      </c>
      <c r="I30" t="s">
        <v>455</v>
      </c>
      <c r="J30" s="62">
        <v>18253.107005639999</v>
      </c>
      <c r="K30">
        <v>44.152333220000003</v>
      </c>
      <c r="L30">
        <v>-911306.60276578995</v>
      </c>
      <c r="M30" t="s">
        <v>454</v>
      </c>
      <c r="N30">
        <v>42.610399739999998</v>
      </c>
      <c r="O30">
        <v>-18534.877181749998</v>
      </c>
    </row>
    <row r="31" spans="1:15" x14ac:dyDescent="0.25">
      <c r="A31" t="s">
        <v>452</v>
      </c>
      <c r="B31" t="s">
        <v>439</v>
      </c>
      <c r="C31">
        <v>2021</v>
      </c>
      <c r="D31">
        <v>1</v>
      </c>
      <c r="E31" t="s">
        <v>415</v>
      </c>
      <c r="F31" t="s">
        <v>416</v>
      </c>
      <c r="G31" t="s">
        <v>84</v>
      </c>
      <c r="H31" t="s">
        <v>428</v>
      </c>
      <c r="I31" t="s">
        <v>456</v>
      </c>
      <c r="J31" s="62">
        <v>15402.649356870001</v>
      </c>
      <c r="K31">
        <v>42.37625096</v>
      </c>
      <c r="L31">
        <v>-749538.16921196994</v>
      </c>
      <c r="M31" t="s">
        <v>454</v>
      </c>
      <c r="N31">
        <v>42.610399739999998</v>
      </c>
      <c r="O31">
        <v>-15090.405552390001</v>
      </c>
    </row>
    <row r="32" spans="1:15" x14ac:dyDescent="0.25">
      <c r="A32" t="s">
        <v>452</v>
      </c>
      <c r="B32" t="s">
        <v>439</v>
      </c>
      <c r="C32">
        <v>2021</v>
      </c>
      <c r="D32">
        <v>1</v>
      </c>
      <c r="E32" t="s">
        <v>415</v>
      </c>
      <c r="F32" t="s">
        <v>429</v>
      </c>
      <c r="G32" t="s">
        <v>84</v>
      </c>
      <c r="H32" t="s">
        <v>431</v>
      </c>
      <c r="I32" t="s">
        <v>453</v>
      </c>
      <c r="J32" s="62">
        <v>88588.857277019997</v>
      </c>
      <c r="K32">
        <v>40.689725729999999</v>
      </c>
      <c r="L32">
        <v>-3091915.48420515</v>
      </c>
      <c r="M32" t="s">
        <v>454</v>
      </c>
      <c r="N32">
        <v>42.610399739999998</v>
      </c>
      <c r="O32">
        <v>-85657.025286089993</v>
      </c>
    </row>
    <row r="33" spans="1:15" x14ac:dyDescent="0.25">
      <c r="A33" t="s">
        <v>452</v>
      </c>
      <c r="B33" t="s">
        <v>439</v>
      </c>
      <c r="C33">
        <v>2021</v>
      </c>
      <c r="D33">
        <v>1</v>
      </c>
      <c r="E33" t="s">
        <v>415</v>
      </c>
      <c r="F33" t="s">
        <v>429</v>
      </c>
      <c r="G33" t="s">
        <v>84</v>
      </c>
      <c r="H33" t="s">
        <v>432</v>
      </c>
      <c r="I33" t="s">
        <v>455</v>
      </c>
      <c r="J33" s="62">
        <v>25493.975241730001</v>
      </c>
      <c r="K33">
        <v>44.152333220000003</v>
      </c>
      <c r="L33">
        <v>-974800.35414683004</v>
      </c>
      <c r="M33" t="s">
        <v>454</v>
      </c>
      <c r="N33">
        <v>42.610399739999998</v>
      </c>
      <c r="O33">
        <v>-26466.404715159999</v>
      </c>
    </row>
    <row r="34" spans="1:15" x14ac:dyDescent="0.25">
      <c r="A34" t="s">
        <v>452</v>
      </c>
      <c r="B34" t="s">
        <v>439</v>
      </c>
      <c r="C34">
        <v>2021</v>
      </c>
      <c r="D34">
        <v>1</v>
      </c>
      <c r="E34" t="s">
        <v>415</v>
      </c>
      <c r="F34" t="s">
        <v>429</v>
      </c>
      <c r="G34" t="s">
        <v>84</v>
      </c>
      <c r="H34" t="s">
        <v>433</v>
      </c>
      <c r="I34" t="s">
        <v>456</v>
      </c>
      <c r="J34" s="62">
        <v>24558.518734550002</v>
      </c>
      <c r="K34">
        <v>42.37625096</v>
      </c>
      <c r="L34">
        <v>-890838.45659538999</v>
      </c>
      <c r="M34" t="s">
        <v>454</v>
      </c>
      <c r="N34">
        <v>42.610399739999998</v>
      </c>
      <c r="O34">
        <v>-24588.006382790001</v>
      </c>
    </row>
    <row r="35" spans="1:15" x14ac:dyDescent="0.25">
      <c r="A35" t="s">
        <v>452</v>
      </c>
      <c r="B35" t="s">
        <v>439</v>
      </c>
      <c r="C35">
        <v>2021</v>
      </c>
      <c r="D35">
        <v>1</v>
      </c>
      <c r="E35" t="s">
        <v>415</v>
      </c>
      <c r="F35" t="s">
        <v>434</v>
      </c>
      <c r="G35" t="s">
        <v>84</v>
      </c>
      <c r="H35" t="s">
        <v>436</v>
      </c>
      <c r="I35" t="s">
        <v>453</v>
      </c>
      <c r="J35" s="62">
        <v>47697.31280362</v>
      </c>
      <c r="K35">
        <v>40.689725729999999</v>
      </c>
      <c r="L35">
        <v>-2057770.1418071699</v>
      </c>
      <c r="M35" t="s">
        <v>454</v>
      </c>
      <c r="N35">
        <v>42.610399739999998</v>
      </c>
      <c r="O35">
        <v>-46018.993411559997</v>
      </c>
    </row>
    <row r="36" spans="1:15" x14ac:dyDescent="0.25">
      <c r="A36" t="s">
        <v>452</v>
      </c>
      <c r="B36" t="s">
        <v>439</v>
      </c>
      <c r="C36">
        <v>2021</v>
      </c>
      <c r="D36">
        <v>1</v>
      </c>
      <c r="E36" t="s">
        <v>415</v>
      </c>
      <c r="F36" t="s">
        <v>434</v>
      </c>
      <c r="G36" t="s">
        <v>84</v>
      </c>
      <c r="H36" t="s">
        <v>437</v>
      </c>
      <c r="I36" t="s">
        <v>455</v>
      </c>
      <c r="J36" s="62">
        <v>12783.48665411</v>
      </c>
      <c r="K36">
        <v>44.152333220000003</v>
      </c>
      <c r="L36">
        <v>-597615.92382135999</v>
      </c>
      <c r="M36" t="s">
        <v>454</v>
      </c>
      <c r="N36">
        <v>42.610399739999998</v>
      </c>
      <c r="O36">
        <v>-13276.32881458</v>
      </c>
    </row>
    <row r="37" spans="1:15" x14ac:dyDescent="0.25">
      <c r="A37" t="s">
        <v>452</v>
      </c>
      <c r="B37" t="s">
        <v>439</v>
      </c>
      <c r="C37">
        <v>2021</v>
      </c>
      <c r="D37">
        <v>1</v>
      </c>
      <c r="E37" t="s">
        <v>415</v>
      </c>
      <c r="F37" t="s">
        <v>434</v>
      </c>
      <c r="G37" t="s">
        <v>84</v>
      </c>
      <c r="H37" t="s">
        <v>438</v>
      </c>
      <c r="I37" t="s">
        <v>456</v>
      </c>
      <c r="J37" s="62">
        <v>12215.763674309999</v>
      </c>
      <c r="K37">
        <v>42.37625096</v>
      </c>
      <c r="L37">
        <v>-541713.21663636004</v>
      </c>
      <c r="M37" t="s">
        <v>454</v>
      </c>
      <c r="N37">
        <v>42.610399739999998</v>
      </c>
      <c r="O37">
        <v>-12080.64690639</v>
      </c>
    </row>
    <row r="38" spans="1:15" x14ac:dyDescent="0.25">
      <c r="A38" t="s">
        <v>452</v>
      </c>
      <c r="B38" t="s">
        <v>117</v>
      </c>
      <c r="C38">
        <v>2018</v>
      </c>
      <c r="D38">
        <v>2</v>
      </c>
      <c r="E38" t="s">
        <v>415</v>
      </c>
      <c r="F38" t="s">
        <v>416</v>
      </c>
      <c r="G38" t="s">
        <v>84</v>
      </c>
      <c r="H38" t="s">
        <v>418</v>
      </c>
      <c r="I38" t="s">
        <v>453</v>
      </c>
      <c r="J38" s="62">
        <v>17953.967291419998</v>
      </c>
      <c r="K38">
        <v>32.764711679999998</v>
      </c>
      <c r="L38">
        <v>-527334.64422430994</v>
      </c>
      <c r="M38" t="s">
        <v>454</v>
      </c>
      <c r="N38">
        <v>32.228054610000001</v>
      </c>
      <c r="O38">
        <v>-18022.722939939998</v>
      </c>
    </row>
    <row r="39" spans="1:15" x14ac:dyDescent="0.25">
      <c r="A39" t="s">
        <v>452</v>
      </c>
      <c r="B39" t="s">
        <v>117</v>
      </c>
      <c r="C39">
        <v>2018</v>
      </c>
      <c r="D39">
        <v>2</v>
      </c>
      <c r="E39" t="s">
        <v>415</v>
      </c>
      <c r="F39" t="s">
        <v>416</v>
      </c>
      <c r="G39" t="s">
        <v>84</v>
      </c>
      <c r="H39" t="s">
        <v>426</v>
      </c>
      <c r="I39" t="s">
        <v>455</v>
      </c>
      <c r="J39" s="62">
        <v>4973.3486040300004</v>
      </c>
      <c r="K39">
        <v>33.588566440000001</v>
      </c>
      <c r="L39">
        <v>-149136.20225504</v>
      </c>
      <c r="M39" t="s">
        <v>454</v>
      </c>
      <c r="N39">
        <v>32.228054610000001</v>
      </c>
      <c r="O39">
        <v>-5126.5702139599998</v>
      </c>
    </row>
    <row r="40" spans="1:15" x14ac:dyDescent="0.25">
      <c r="A40" t="s">
        <v>452</v>
      </c>
      <c r="B40" t="s">
        <v>117</v>
      </c>
      <c r="C40">
        <v>2018</v>
      </c>
      <c r="D40">
        <v>2</v>
      </c>
      <c r="E40" t="s">
        <v>415</v>
      </c>
      <c r="F40" t="s">
        <v>416</v>
      </c>
      <c r="G40" t="s">
        <v>84</v>
      </c>
      <c r="H40" t="s">
        <v>428</v>
      </c>
      <c r="I40" t="s">
        <v>456</v>
      </c>
      <c r="J40" s="62">
        <v>6263.3690596699998</v>
      </c>
      <c r="K40">
        <v>32.138903249999998</v>
      </c>
      <c r="L40">
        <v>-183177.50402329999</v>
      </c>
      <c r="M40" t="s">
        <v>454</v>
      </c>
      <c r="N40">
        <v>32.228054610000001</v>
      </c>
      <c r="O40">
        <v>-6196.2048957500001</v>
      </c>
    </row>
    <row r="41" spans="1:15" x14ac:dyDescent="0.25">
      <c r="A41" t="s">
        <v>452</v>
      </c>
      <c r="B41" t="s">
        <v>117</v>
      </c>
      <c r="C41">
        <v>2018</v>
      </c>
      <c r="D41">
        <v>2</v>
      </c>
      <c r="E41" t="s">
        <v>415</v>
      </c>
      <c r="F41" t="s">
        <v>429</v>
      </c>
      <c r="G41" t="s">
        <v>84</v>
      </c>
      <c r="H41" t="s">
        <v>431</v>
      </c>
      <c r="I41" t="s">
        <v>453</v>
      </c>
      <c r="J41" s="62">
        <v>24902.488100170001</v>
      </c>
      <c r="K41">
        <v>32.764711679999998</v>
      </c>
      <c r="L41">
        <v>-890102.52868455998</v>
      </c>
      <c r="M41" t="s">
        <v>454</v>
      </c>
      <c r="N41">
        <v>32.228054610000001</v>
      </c>
      <c r="O41">
        <v>-25440.19162026</v>
      </c>
    </row>
    <row r="42" spans="1:15" x14ac:dyDescent="0.25">
      <c r="A42" t="s">
        <v>452</v>
      </c>
      <c r="B42" t="s">
        <v>117</v>
      </c>
      <c r="C42">
        <v>2018</v>
      </c>
      <c r="D42">
        <v>2</v>
      </c>
      <c r="E42" t="s">
        <v>415</v>
      </c>
      <c r="F42" t="s">
        <v>429</v>
      </c>
      <c r="G42" t="s">
        <v>84</v>
      </c>
      <c r="H42" t="s">
        <v>432</v>
      </c>
      <c r="I42" t="s">
        <v>455</v>
      </c>
      <c r="J42" s="62">
        <v>7119.1877574600003</v>
      </c>
      <c r="K42">
        <v>33.588566440000001</v>
      </c>
      <c r="L42">
        <v>-261309.60584644001</v>
      </c>
      <c r="M42" t="s">
        <v>454</v>
      </c>
      <c r="N42">
        <v>32.228054610000001</v>
      </c>
      <c r="O42">
        <v>-7488.4507484899996</v>
      </c>
    </row>
    <row r="43" spans="1:15" x14ac:dyDescent="0.25">
      <c r="A43" t="s">
        <v>452</v>
      </c>
      <c r="B43" t="s">
        <v>117</v>
      </c>
      <c r="C43">
        <v>2018</v>
      </c>
      <c r="D43">
        <v>2</v>
      </c>
      <c r="E43" t="s">
        <v>415</v>
      </c>
      <c r="F43" t="s">
        <v>429</v>
      </c>
      <c r="G43" t="s">
        <v>84</v>
      </c>
      <c r="H43" t="s">
        <v>433</v>
      </c>
      <c r="I43" t="s">
        <v>456</v>
      </c>
      <c r="J43" s="62">
        <v>8728.6779471499995</v>
      </c>
      <c r="K43">
        <v>32.138903249999998</v>
      </c>
      <c r="L43">
        <v>-304048.06153443002</v>
      </c>
      <c r="M43" t="s">
        <v>454</v>
      </c>
      <c r="N43">
        <v>32.228054610000001</v>
      </c>
      <c r="O43">
        <v>-8721.5691994299996</v>
      </c>
    </row>
    <row r="44" spans="1:15" x14ac:dyDescent="0.25">
      <c r="A44" t="s">
        <v>452</v>
      </c>
      <c r="B44" t="s">
        <v>117</v>
      </c>
      <c r="C44">
        <v>2018</v>
      </c>
      <c r="D44">
        <v>2</v>
      </c>
      <c r="E44" t="s">
        <v>415</v>
      </c>
      <c r="F44" t="s">
        <v>434</v>
      </c>
      <c r="G44" t="s">
        <v>84</v>
      </c>
      <c r="H44" t="s">
        <v>436</v>
      </c>
      <c r="I44" t="s">
        <v>453</v>
      </c>
      <c r="J44" s="62">
        <v>12924.452717849999</v>
      </c>
      <c r="K44">
        <v>32.764711679999998</v>
      </c>
      <c r="L44">
        <v>-457254.23219487001</v>
      </c>
      <c r="M44" t="s">
        <v>454</v>
      </c>
      <c r="N44">
        <v>32.228054610000001</v>
      </c>
      <c r="O44">
        <v>-13265.513941540001</v>
      </c>
    </row>
    <row r="45" spans="1:15" x14ac:dyDescent="0.25">
      <c r="A45" t="s">
        <v>452</v>
      </c>
      <c r="B45" t="s">
        <v>117</v>
      </c>
      <c r="C45">
        <v>2018</v>
      </c>
      <c r="D45">
        <v>2</v>
      </c>
      <c r="E45" t="s">
        <v>415</v>
      </c>
      <c r="F45" t="s">
        <v>434</v>
      </c>
      <c r="G45" t="s">
        <v>84</v>
      </c>
      <c r="H45" t="s">
        <v>437</v>
      </c>
      <c r="I45" t="s">
        <v>455</v>
      </c>
      <c r="J45" s="62">
        <v>3529.1986543899998</v>
      </c>
      <c r="K45">
        <v>33.588566440000001</v>
      </c>
      <c r="L45">
        <v>-126250.12714054</v>
      </c>
      <c r="M45" t="s">
        <v>454</v>
      </c>
      <c r="N45">
        <v>32.228054610000001</v>
      </c>
      <c r="O45">
        <v>-3668.4105758800001</v>
      </c>
    </row>
    <row r="46" spans="1:15" x14ac:dyDescent="0.25">
      <c r="A46" t="s">
        <v>452</v>
      </c>
      <c r="B46" t="s">
        <v>117</v>
      </c>
      <c r="C46">
        <v>2018</v>
      </c>
      <c r="D46">
        <v>2</v>
      </c>
      <c r="E46" t="s">
        <v>415</v>
      </c>
      <c r="F46" t="s">
        <v>434</v>
      </c>
      <c r="G46" t="s">
        <v>84</v>
      </c>
      <c r="H46" t="s">
        <v>438</v>
      </c>
      <c r="I46" t="s">
        <v>456</v>
      </c>
      <c r="J46" s="62">
        <v>4500.3355385699997</v>
      </c>
      <c r="K46">
        <v>32.138903249999998</v>
      </c>
      <c r="L46">
        <v>-155700.68969110999</v>
      </c>
      <c r="M46" t="s">
        <v>454</v>
      </c>
      <c r="N46">
        <v>32.228054610000001</v>
      </c>
      <c r="O46">
        <v>-4521.6695218000004</v>
      </c>
    </row>
    <row r="47" spans="1:15" x14ac:dyDescent="0.25">
      <c r="A47" t="s">
        <v>452</v>
      </c>
      <c r="B47" t="s">
        <v>147</v>
      </c>
      <c r="C47">
        <v>2019</v>
      </c>
      <c r="D47">
        <v>2</v>
      </c>
      <c r="E47" t="s">
        <v>415</v>
      </c>
      <c r="F47" t="s">
        <v>416</v>
      </c>
      <c r="G47" t="s">
        <v>84</v>
      </c>
      <c r="H47" t="s">
        <v>418</v>
      </c>
      <c r="I47" t="s">
        <v>453</v>
      </c>
      <c r="J47" s="62">
        <v>31361.086083940001</v>
      </c>
      <c r="K47">
        <v>43.625100109999998</v>
      </c>
      <c r="L47">
        <v>-1139098.3143277699</v>
      </c>
      <c r="M47" t="s">
        <v>454</v>
      </c>
      <c r="N47">
        <v>41.793848769999997</v>
      </c>
      <c r="O47">
        <v>-31789.994886370001</v>
      </c>
    </row>
    <row r="48" spans="1:15" x14ac:dyDescent="0.25">
      <c r="A48" t="s">
        <v>452</v>
      </c>
      <c r="B48" t="s">
        <v>147</v>
      </c>
      <c r="C48">
        <v>2019</v>
      </c>
      <c r="D48">
        <v>2</v>
      </c>
      <c r="E48" t="s">
        <v>415</v>
      </c>
      <c r="F48" t="s">
        <v>416</v>
      </c>
      <c r="G48" t="s">
        <v>84</v>
      </c>
      <c r="H48" t="s">
        <v>426</v>
      </c>
      <c r="I48" t="s">
        <v>455</v>
      </c>
      <c r="J48" s="62">
        <v>7229.5335288400001</v>
      </c>
      <c r="K48">
        <v>43.558796860000001</v>
      </c>
      <c r="L48">
        <v>-263892.56566724001</v>
      </c>
      <c r="M48" t="s">
        <v>454</v>
      </c>
      <c r="N48">
        <v>41.793848769999997</v>
      </c>
      <c r="O48">
        <v>-7452.5958333400004</v>
      </c>
    </row>
    <row r="49" spans="1:15" x14ac:dyDescent="0.25">
      <c r="A49" t="s">
        <v>452</v>
      </c>
      <c r="B49" t="s">
        <v>147</v>
      </c>
      <c r="C49">
        <v>2019</v>
      </c>
      <c r="D49">
        <v>2</v>
      </c>
      <c r="E49" t="s">
        <v>415</v>
      </c>
      <c r="F49" t="s">
        <v>416</v>
      </c>
      <c r="G49" t="s">
        <v>84</v>
      </c>
      <c r="H49" t="s">
        <v>428</v>
      </c>
      <c r="I49" t="s">
        <v>456</v>
      </c>
      <c r="J49" s="62">
        <v>17612.703520319999</v>
      </c>
      <c r="K49">
        <v>41.971795049999997</v>
      </c>
      <c r="L49">
        <v>-625367.98538332002</v>
      </c>
      <c r="M49" t="s">
        <v>454</v>
      </c>
      <c r="N49">
        <v>41.793848769999997</v>
      </c>
      <c r="O49">
        <v>-17536.214953999999</v>
      </c>
    </row>
    <row r="50" spans="1:15" x14ac:dyDescent="0.25">
      <c r="A50" t="s">
        <v>452</v>
      </c>
      <c r="B50" t="s">
        <v>147</v>
      </c>
      <c r="C50">
        <v>2019</v>
      </c>
      <c r="D50">
        <v>2</v>
      </c>
      <c r="E50" t="s">
        <v>415</v>
      </c>
      <c r="F50" t="s">
        <v>429</v>
      </c>
      <c r="G50" t="s">
        <v>84</v>
      </c>
      <c r="H50" t="s">
        <v>431</v>
      </c>
      <c r="I50" t="s">
        <v>453</v>
      </c>
      <c r="J50" s="62">
        <v>43930.949056370002</v>
      </c>
      <c r="K50">
        <v>43.625100109999998</v>
      </c>
      <c r="L50">
        <v>-2077522.6034971899</v>
      </c>
      <c r="M50" t="s">
        <v>454</v>
      </c>
      <c r="N50">
        <v>41.793848769999997</v>
      </c>
      <c r="O50">
        <v>-47148.049504080001</v>
      </c>
    </row>
    <row r="51" spans="1:15" x14ac:dyDescent="0.25">
      <c r="A51" t="s">
        <v>452</v>
      </c>
      <c r="B51" t="s">
        <v>147</v>
      </c>
      <c r="C51">
        <v>2019</v>
      </c>
      <c r="D51">
        <v>2</v>
      </c>
      <c r="E51" t="s">
        <v>415</v>
      </c>
      <c r="F51" t="s">
        <v>429</v>
      </c>
      <c r="G51" t="s">
        <v>84</v>
      </c>
      <c r="H51" t="s">
        <v>432</v>
      </c>
      <c r="I51" t="s">
        <v>455</v>
      </c>
      <c r="J51" s="62">
        <v>10545.15005839</v>
      </c>
      <c r="K51">
        <v>43.558796860000001</v>
      </c>
      <c r="L51">
        <v>-491780.1927894</v>
      </c>
      <c r="M51" t="s">
        <v>454</v>
      </c>
      <c r="N51">
        <v>41.793848769999997</v>
      </c>
      <c r="O51">
        <v>-11256.10543256</v>
      </c>
    </row>
    <row r="52" spans="1:15" x14ac:dyDescent="0.25">
      <c r="A52" t="s">
        <v>452</v>
      </c>
      <c r="B52" t="s">
        <v>147</v>
      </c>
      <c r="C52">
        <v>2019</v>
      </c>
      <c r="D52">
        <v>2</v>
      </c>
      <c r="E52" t="s">
        <v>415</v>
      </c>
      <c r="F52" t="s">
        <v>429</v>
      </c>
      <c r="G52" t="s">
        <v>84</v>
      </c>
      <c r="H52" t="s">
        <v>433</v>
      </c>
      <c r="I52" t="s">
        <v>456</v>
      </c>
      <c r="J52" s="62">
        <v>23685.003219480001</v>
      </c>
      <c r="K52">
        <v>41.971795049999997</v>
      </c>
      <c r="L52">
        <v>-1062408.4417959</v>
      </c>
      <c r="M52" t="s">
        <v>454</v>
      </c>
      <c r="N52">
        <v>41.793848769999997</v>
      </c>
      <c r="O52">
        <v>-24178.53582872</v>
      </c>
    </row>
    <row r="53" spans="1:15" x14ac:dyDescent="0.25">
      <c r="A53" t="s">
        <v>452</v>
      </c>
      <c r="B53" t="s">
        <v>147</v>
      </c>
      <c r="C53">
        <v>2019</v>
      </c>
      <c r="D53">
        <v>2</v>
      </c>
      <c r="E53" t="s">
        <v>415</v>
      </c>
      <c r="F53" t="s">
        <v>434</v>
      </c>
      <c r="G53" t="s">
        <v>84</v>
      </c>
      <c r="H53" t="s">
        <v>436</v>
      </c>
      <c r="I53" t="s">
        <v>453</v>
      </c>
      <c r="J53" s="62">
        <v>23394.641707840001</v>
      </c>
      <c r="K53">
        <v>43.625100109999998</v>
      </c>
      <c r="L53">
        <v>-1254537.9374331101</v>
      </c>
      <c r="M53" t="s">
        <v>454</v>
      </c>
      <c r="N53">
        <v>41.793848769999997</v>
      </c>
      <c r="O53">
        <v>-24357.061860670001</v>
      </c>
    </row>
    <row r="54" spans="1:15" x14ac:dyDescent="0.25">
      <c r="A54" t="s">
        <v>452</v>
      </c>
      <c r="B54" t="s">
        <v>147</v>
      </c>
      <c r="C54">
        <v>2019</v>
      </c>
      <c r="D54">
        <v>2</v>
      </c>
      <c r="E54" t="s">
        <v>415</v>
      </c>
      <c r="F54" t="s">
        <v>434</v>
      </c>
      <c r="G54" t="s">
        <v>84</v>
      </c>
      <c r="H54" t="s">
        <v>437</v>
      </c>
      <c r="I54" t="s">
        <v>455</v>
      </c>
      <c r="J54" s="62">
        <v>4957.4567161499999</v>
      </c>
      <c r="K54">
        <v>43.558796860000001</v>
      </c>
      <c r="L54">
        <v>-260217.33192026001</v>
      </c>
      <c r="M54" t="s">
        <v>454</v>
      </c>
      <c r="N54">
        <v>41.793848769999997</v>
      </c>
      <c r="O54">
        <v>-5113.5207003599999</v>
      </c>
    </row>
    <row r="55" spans="1:15" x14ac:dyDescent="0.25">
      <c r="A55" t="s">
        <v>452</v>
      </c>
      <c r="B55" t="s">
        <v>147</v>
      </c>
      <c r="C55">
        <v>2019</v>
      </c>
      <c r="D55">
        <v>2</v>
      </c>
      <c r="E55" t="s">
        <v>415</v>
      </c>
      <c r="F55" t="s">
        <v>434</v>
      </c>
      <c r="G55" t="s">
        <v>84</v>
      </c>
      <c r="H55" t="s">
        <v>438</v>
      </c>
      <c r="I55" t="s">
        <v>456</v>
      </c>
      <c r="J55" s="62">
        <v>12347.889403699999</v>
      </c>
      <c r="K55">
        <v>41.971795049999997</v>
      </c>
      <c r="L55">
        <v>-628143.13008572999</v>
      </c>
      <c r="M55" t="s">
        <v>454</v>
      </c>
      <c r="N55">
        <v>41.793848769999997</v>
      </c>
      <c r="O55">
        <v>-12241.120680239999</v>
      </c>
    </row>
    <row r="56" spans="1:15" x14ac:dyDescent="0.25">
      <c r="A56" t="s">
        <v>452</v>
      </c>
      <c r="B56" t="s">
        <v>201</v>
      </c>
      <c r="C56">
        <v>2020</v>
      </c>
      <c r="D56">
        <v>2</v>
      </c>
      <c r="E56" t="s">
        <v>415</v>
      </c>
      <c r="F56" t="s">
        <v>416</v>
      </c>
      <c r="G56" t="s">
        <v>84</v>
      </c>
      <c r="H56" t="s">
        <v>418</v>
      </c>
      <c r="I56" t="s">
        <v>453</v>
      </c>
      <c r="J56" s="62">
        <v>72266.403914549999</v>
      </c>
      <c r="K56">
        <v>35.515985299999997</v>
      </c>
      <c r="L56">
        <v>-2388389.6010047002</v>
      </c>
      <c r="M56" t="s">
        <v>454</v>
      </c>
      <c r="N56">
        <v>34.471950399999997</v>
      </c>
      <c r="O56">
        <v>-73015.918126129996</v>
      </c>
    </row>
    <row r="57" spans="1:15" x14ac:dyDescent="0.25">
      <c r="A57" t="s">
        <v>452</v>
      </c>
      <c r="B57" t="s">
        <v>201</v>
      </c>
      <c r="C57">
        <v>2020</v>
      </c>
      <c r="D57">
        <v>2</v>
      </c>
      <c r="E57" t="s">
        <v>415</v>
      </c>
      <c r="F57" t="s">
        <v>416</v>
      </c>
      <c r="G57" t="s">
        <v>84</v>
      </c>
      <c r="H57" t="s">
        <v>426</v>
      </c>
      <c r="I57" t="s">
        <v>455</v>
      </c>
      <c r="J57" s="62">
        <v>29463.276542129999</v>
      </c>
      <c r="K57">
        <v>36.64929995</v>
      </c>
      <c r="L57">
        <v>-1029686.39782147</v>
      </c>
      <c r="M57" t="s">
        <v>454</v>
      </c>
      <c r="N57">
        <v>34.471950399999997</v>
      </c>
      <c r="O57">
        <v>-31092.931894789999</v>
      </c>
    </row>
    <row r="58" spans="1:15" x14ac:dyDescent="0.25">
      <c r="A58" t="s">
        <v>452</v>
      </c>
      <c r="B58" t="s">
        <v>201</v>
      </c>
      <c r="C58">
        <v>2020</v>
      </c>
      <c r="D58">
        <v>2</v>
      </c>
      <c r="E58" t="s">
        <v>415</v>
      </c>
      <c r="F58" t="s">
        <v>416</v>
      </c>
      <c r="G58" t="s">
        <v>84</v>
      </c>
      <c r="H58" t="s">
        <v>428</v>
      </c>
      <c r="I58" t="s">
        <v>456</v>
      </c>
      <c r="J58" s="62">
        <v>22575.237119500001</v>
      </c>
      <c r="K58">
        <v>35.00456441</v>
      </c>
      <c r="L58">
        <v>-728447.94129858003</v>
      </c>
      <c r="M58" t="s">
        <v>454</v>
      </c>
      <c r="N58">
        <v>34.471950399999997</v>
      </c>
      <c r="O58">
        <v>-22665.41275476</v>
      </c>
    </row>
    <row r="59" spans="1:15" x14ac:dyDescent="0.25">
      <c r="A59" t="s">
        <v>452</v>
      </c>
      <c r="B59" t="s">
        <v>201</v>
      </c>
      <c r="C59">
        <v>2020</v>
      </c>
      <c r="D59">
        <v>2</v>
      </c>
      <c r="E59" t="s">
        <v>415</v>
      </c>
      <c r="F59" t="s">
        <v>429</v>
      </c>
      <c r="G59" t="s">
        <v>84</v>
      </c>
      <c r="H59" t="s">
        <v>431</v>
      </c>
      <c r="I59" t="s">
        <v>453</v>
      </c>
      <c r="J59" s="62">
        <v>96986.224394429999</v>
      </c>
      <c r="K59">
        <v>35.515985299999997</v>
      </c>
      <c r="L59">
        <v>-3450437.3886349602</v>
      </c>
      <c r="M59" t="s">
        <v>454</v>
      </c>
      <c r="N59">
        <v>34.471950399999997</v>
      </c>
      <c r="O59">
        <v>-101049.45106979999</v>
      </c>
    </row>
    <row r="60" spans="1:15" x14ac:dyDescent="0.25">
      <c r="A60" t="s">
        <v>452</v>
      </c>
      <c r="B60" t="s">
        <v>201</v>
      </c>
      <c r="C60">
        <v>2020</v>
      </c>
      <c r="D60">
        <v>2</v>
      </c>
      <c r="E60" t="s">
        <v>415</v>
      </c>
      <c r="F60" t="s">
        <v>429</v>
      </c>
      <c r="G60" t="s">
        <v>84</v>
      </c>
      <c r="H60" t="s">
        <v>432</v>
      </c>
      <c r="I60" t="s">
        <v>455</v>
      </c>
      <c r="J60" s="62">
        <v>40267.243030550002</v>
      </c>
      <c r="K60">
        <v>36.64929995</v>
      </c>
      <c r="L60">
        <v>-1480759.5176392801</v>
      </c>
      <c r="M60" t="s">
        <v>454</v>
      </c>
      <c r="N60">
        <v>34.471950399999997</v>
      </c>
      <c r="O60">
        <v>-42876.118969620002</v>
      </c>
    </row>
    <row r="61" spans="1:15" x14ac:dyDescent="0.25">
      <c r="A61" t="s">
        <v>452</v>
      </c>
      <c r="B61" t="s">
        <v>201</v>
      </c>
      <c r="C61">
        <v>2020</v>
      </c>
      <c r="D61">
        <v>2</v>
      </c>
      <c r="E61" t="s">
        <v>415</v>
      </c>
      <c r="F61" t="s">
        <v>429</v>
      </c>
      <c r="G61" t="s">
        <v>84</v>
      </c>
      <c r="H61" t="s">
        <v>433</v>
      </c>
      <c r="I61" t="s">
        <v>456</v>
      </c>
      <c r="J61" s="62">
        <v>31106.94776074</v>
      </c>
      <c r="K61">
        <v>35.00456441</v>
      </c>
      <c r="L61">
        <v>-1056195.4498173101</v>
      </c>
      <c r="M61" t="s">
        <v>454</v>
      </c>
      <c r="N61">
        <v>34.471950399999997</v>
      </c>
      <c r="O61">
        <v>-31808.48174961</v>
      </c>
    </row>
    <row r="62" spans="1:15" x14ac:dyDescent="0.25">
      <c r="A62" t="s">
        <v>452</v>
      </c>
      <c r="B62" t="s">
        <v>201</v>
      </c>
      <c r="C62">
        <v>2020</v>
      </c>
      <c r="D62">
        <v>2</v>
      </c>
      <c r="E62" t="s">
        <v>415</v>
      </c>
      <c r="F62" t="s">
        <v>434</v>
      </c>
      <c r="G62" t="s">
        <v>84</v>
      </c>
      <c r="H62" t="s">
        <v>436</v>
      </c>
      <c r="I62" t="s">
        <v>453</v>
      </c>
      <c r="J62" s="62">
        <v>53133.576788159997</v>
      </c>
      <c r="K62">
        <v>35.515985299999997</v>
      </c>
      <c r="L62">
        <v>-2240772.2365808999</v>
      </c>
      <c r="M62" t="s">
        <v>454</v>
      </c>
      <c r="N62">
        <v>34.471950399999997</v>
      </c>
      <c r="O62">
        <v>-54877.705829600003</v>
      </c>
    </row>
    <row r="63" spans="1:15" x14ac:dyDescent="0.25">
      <c r="A63" t="s">
        <v>452</v>
      </c>
      <c r="B63" t="s">
        <v>201</v>
      </c>
      <c r="C63">
        <v>2020</v>
      </c>
      <c r="D63">
        <v>2</v>
      </c>
      <c r="E63" t="s">
        <v>415</v>
      </c>
      <c r="F63" t="s">
        <v>434</v>
      </c>
      <c r="G63" t="s">
        <v>84</v>
      </c>
      <c r="H63" t="s">
        <v>437</v>
      </c>
      <c r="I63" t="s">
        <v>455</v>
      </c>
      <c r="J63" s="62">
        <v>19912.894064470001</v>
      </c>
      <c r="K63">
        <v>36.64929995</v>
      </c>
      <c r="L63">
        <v>-891124.90994208003</v>
      </c>
      <c r="M63" t="s">
        <v>454</v>
      </c>
      <c r="N63">
        <v>34.471950399999997</v>
      </c>
      <c r="O63">
        <v>-21217.39105319</v>
      </c>
    </row>
    <row r="64" spans="1:15" x14ac:dyDescent="0.25">
      <c r="A64" t="s">
        <v>452</v>
      </c>
      <c r="B64" t="s">
        <v>201</v>
      </c>
      <c r="C64">
        <v>2020</v>
      </c>
      <c r="D64">
        <v>2</v>
      </c>
      <c r="E64" t="s">
        <v>415</v>
      </c>
      <c r="F64" t="s">
        <v>434</v>
      </c>
      <c r="G64" t="s">
        <v>84</v>
      </c>
      <c r="H64" t="s">
        <v>438</v>
      </c>
      <c r="I64" t="s">
        <v>456</v>
      </c>
      <c r="J64" s="62">
        <v>16260.03888233</v>
      </c>
      <c r="K64">
        <v>35.00456441</v>
      </c>
      <c r="L64">
        <v>-641368.25215316995</v>
      </c>
      <c r="M64" t="s">
        <v>454</v>
      </c>
      <c r="N64">
        <v>34.471950399999997</v>
      </c>
      <c r="O64">
        <v>-16452.544849999998</v>
      </c>
    </row>
    <row r="65" spans="1:15" x14ac:dyDescent="0.25">
      <c r="A65" t="s">
        <v>452</v>
      </c>
      <c r="B65" t="s">
        <v>440</v>
      </c>
      <c r="C65">
        <v>2021</v>
      </c>
      <c r="D65">
        <v>2</v>
      </c>
      <c r="E65" t="s">
        <v>415</v>
      </c>
      <c r="F65" t="s">
        <v>416</v>
      </c>
      <c r="G65" t="s">
        <v>84</v>
      </c>
      <c r="H65" t="s">
        <v>418</v>
      </c>
      <c r="I65" t="s">
        <v>453</v>
      </c>
      <c r="J65" s="62">
        <v>45746.666203360001</v>
      </c>
      <c r="K65">
        <v>62.151350200000003</v>
      </c>
      <c r="L65">
        <v>-3251083.7658605501</v>
      </c>
      <c r="M65" t="s">
        <v>454</v>
      </c>
      <c r="N65">
        <v>61.015539189999998</v>
      </c>
      <c r="O65">
        <v>-46050.857885129997</v>
      </c>
    </row>
    <row r="66" spans="1:15" x14ac:dyDescent="0.25">
      <c r="A66" t="s">
        <v>452</v>
      </c>
      <c r="B66" t="s">
        <v>440</v>
      </c>
      <c r="C66">
        <v>2021</v>
      </c>
      <c r="D66">
        <v>2</v>
      </c>
      <c r="E66" t="s">
        <v>415</v>
      </c>
      <c r="F66" t="s">
        <v>416</v>
      </c>
      <c r="G66" t="s">
        <v>84</v>
      </c>
      <c r="H66" t="s">
        <v>426</v>
      </c>
      <c r="I66" t="s">
        <v>455</v>
      </c>
      <c r="J66" s="62">
        <v>11492.289250669999</v>
      </c>
      <c r="K66">
        <v>63.942812029999999</v>
      </c>
      <c r="L66">
        <v>-860449.73921679996</v>
      </c>
      <c r="M66" t="s">
        <v>454</v>
      </c>
      <c r="N66">
        <v>61.015539189999998</v>
      </c>
      <c r="O66">
        <v>-12034.50907246</v>
      </c>
    </row>
    <row r="67" spans="1:15" x14ac:dyDescent="0.25">
      <c r="A67" t="s">
        <v>452</v>
      </c>
      <c r="B67" t="s">
        <v>440</v>
      </c>
      <c r="C67">
        <v>2021</v>
      </c>
      <c r="D67">
        <v>2</v>
      </c>
      <c r="E67" t="s">
        <v>415</v>
      </c>
      <c r="F67" t="s">
        <v>416</v>
      </c>
      <c r="G67" t="s">
        <v>84</v>
      </c>
      <c r="H67" t="s">
        <v>428</v>
      </c>
      <c r="I67" t="s">
        <v>456</v>
      </c>
      <c r="J67" s="62">
        <v>10472.896385239999</v>
      </c>
      <c r="K67">
        <v>62.340380369999998</v>
      </c>
      <c r="L67">
        <v>-754644.28351171</v>
      </c>
      <c r="M67" t="s">
        <v>454</v>
      </c>
      <c r="N67">
        <v>61.015539189999998</v>
      </c>
      <c r="O67">
        <v>-10589.802573049999</v>
      </c>
    </row>
    <row r="68" spans="1:15" x14ac:dyDescent="0.25">
      <c r="A68" t="s">
        <v>452</v>
      </c>
      <c r="B68" t="s">
        <v>440</v>
      </c>
      <c r="C68">
        <v>2021</v>
      </c>
      <c r="D68">
        <v>2</v>
      </c>
      <c r="E68" t="s">
        <v>415</v>
      </c>
      <c r="F68" t="s">
        <v>429</v>
      </c>
      <c r="G68" t="s">
        <v>84</v>
      </c>
      <c r="H68" t="s">
        <v>431</v>
      </c>
      <c r="I68" t="s">
        <v>453</v>
      </c>
      <c r="J68" s="62">
        <v>69197.748335509998</v>
      </c>
      <c r="K68">
        <v>62.151350200000003</v>
      </c>
      <c r="L68">
        <v>-3685007.1557896002</v>
      </c>
      <c r="M68" t="s">
        <v>454</v>
      </c>
      <c r="N68">
        <v>61.015539189999998</v>
      </c>
      <c r="O68">
        <v>-71266.127309760006</v>
      </c>
    </row>
    <row r="69" spans="1:15" x14ac:dyDescent="0.25">
      <c r="A69" t="s">
        <v>452</v>
      </c>
      <c r="B69" t="s">
        <v>440</v>
      </c>
      <c r="C69">
        <v>2021</v>
      </c>
      <c r="D69">
        <v>2</v>
      </c>
      <c r="E69" t="s">
        <v>415</v>
      </c>
      <c r="F69" t="s">
        <v>429</v>
      </c>
      <c r="G69" t="s">
        <v>84</v>
      </c>
      <c r="H69" t="s">
        <v>432</v>
      </c>
      <c r="I69" t="s">
        <v>455</v>
      </c>
      <c r="J69" s="62">
        <v>18113.58035294</v>
      </c>
      <c r="K69">
        <v>63.942812029999999</v>
      </c>
      <c r="L69">
        <v>-997754.92682833003</v>
      </c>
      <c r="M69" t="s">
        <v>454</v>
      </c>
      <c r="N69">
        <v>61.015539189999998</v>
      </c>
      <c r="O69">
        <v>-18916.854428490002</v>
      </c>
    </row>
    <row r="70" spans="1:15" x14ac:dyDescent="0.25">
      <c r="A70" t="s">
        <v>452</v>
      </c>
      <c r="B70" t="s">
        <v>440</v>
      </c>
      <c r="C70">
        <v>2021</v>
      </c>
      <c r="D70">
        <v>2</v>
      </c>
      <c r="E70" t="s">
        <v>415</v>
      </c>
      <c r="F70" t="s">
        <v>429</v>
      </c>
      <c r="G70" t="s">
        <v>84</v>
      </c>
      <c r="H70" t="s">
        <v>433</v>
      </c>
      <c r="I70" t="s">
        <v>456</v>
      </c>
      <c r="J70" s="62">
        <v>18224.467222629999</v>
      </c>
      <c r="K70">
        <v>62.340380369999998</v>
      </c>
      <c r="L70">
        <v>-970866.15947816998</v>
      </c>
      <c r="M70" t="s">
        <v>454</v>
      </c>
      <c r="N70">
        <v>61.015539189999998</v>
      </c>
      <c r="O70">
        <v>-18837.503306499999</v>
      </c>
    </row>
    <row r="71" spans="1:15" x14ac:dyDescent="0.25">
      <c r="A71" t="s">
        <v>452</v>
      </c>
      <c r="B71" t="s">
        <v>440</v>
      </c>
      <c r="C71">
        <v>2021</v>
      </c>
      <c r="D71">
        <v>2</v>
      </c>
      <c r="E71" t="s">
        <v>415</v>
      </c>
      <c r="F71" t="s">
        <v>434</v>
      </c>
      <c r="G71" t="s">
        <v>84</v>
      </c>
      <c r="H71" t="s">
        <v>436</v>
      </c>
      <c r="I71" t="s">
        <v>453</v>
      </c>
      <c r="J71" s="62">
        <v>36585.214465210003</v>
      </c>
      <c r="K71">
        <v>62.151350200000003</v>
      </c>
      <c r="L71">
        <v>-2572603.5298474198</v>
      </c>
      <c r="M71" t="s">
        <v>454</v>
      </c>
      <c r="N71">
        <v>61.015539189999998</v>
      </c>
      <c r="O71">
        <v>-37732.074776699999</v>
      </c>
    </row>
    <row r="72" spans="1:15" x14ac:dyDescent="0.25">
      <c r="A72" t="s">
        <v>452</v>
      </c>
      <c r="B72" t="s">
        <v>440</v>
      </c>
      <c r="C72">
        <v>2021</v>
      </c>
      <c r="D72">
        <v>2</v>
      </c>
      <c r="E72" t="s">
        <v>415</v>
      </c>
      <c r="F72" t="s">
        <v>434</v>
      </c>
      <c r="G72" t="s">
        <v>84</v>
      </c>
      <c r="H72" t="s">
        <v>437</v>
      </c>
      <c r="I72" t="s">
        <v>455</v>
      </c>
      <c r="J72" s="62">
        <v>8702.8728330600006</v>
      </c>
      <c r="K72">
        <v>63.942812029999999</v>
      </c>
      <c r="L72">
        <v>-625011.24192330998</v>
      </c>
      <c r="M72" t="s">
        <v>454</v>
      </c>
      <c r="N72">
        <v>61.015539189999998</v>
      </c>
      <c r="O72">
        <v>-9219.4888838799998</v>
      </c>
    </row>
    <row r="73" spans="1:15" x14ac:dyDescent="0.25">
      <c r="A73" t="s">
        <v>452</v>
      </c>
      <c r="B73" t="s">
        <v>440</v>
      </c>
      <c r="C73">
        <v>2021</v>
      </c>
      <c r="D73">
        <v>2</v>
      </c>
      <c r="E73" t="s">
        <v>415</v>
      </c>
      <c r="F73" t="s">
        <v>434</v>
      </c>
      <c r="G73" t="s">
        <v>84</v>
      </c>
      <c r="H73" t="s">
        <v>438</v>
      </c>
      <c r="I73" t="s">
        <v>456</v>
      </c>
      <c r="J73" s="62">
        <v>8794.8913230800008</v>
      </c>
      <c r="K73">
        <v>62.340380369999998</v>
      </c>
      <c r="L73">
        <v>-609995.05402565002</v>
      </c>
      <c r="M73" t="s">
        <v>454</v>
      </c>
      <c r="N73">
        <v>61.015539189999998</v>
      </c>
      <c r="O73">
        <v>-9026.8405861699994</v>
      </c>
    </row>
    <row r="74" spans="1:15" x14ac:dyDescent="0.25">
      <c r="A74" t="s">
        <v>452</v>
      </c>
      <c r="B74" t="s">
        <v>118</v>
      </c>
      <c r="C74">
        <v>2018</v>
      </c>
      <c r="D74">
        <v>3</v>
      </c>
      <c r="E74" t="s">
        <v>415</v>
      </c>
      <c r="F74" t="s">
        <v>416</v>
      </c>
      <c r="G74" t="s">
        <v>84</v>
      </c>
      <c r="H74" t="s">
        <v>418</v>
      </c>
      <c r="I74" t="s">
        <v>453</v>
      </c>
      <c r="J74" s="62">
        <v>17512.25523463</v>
      </c>
      <c r="K74">
        <v>45.998500589999999</v>
      </c>
      <c r="L74">
        <v>-641152.73423070996</v>
      </c>
      <c r="M74" t="s">
        <v>454</v>
      </c>
      <c r="N74">
        <v>45.139737799999999</v>
      </c>
      <c r="O74">
        <v>-17571.45600699</v>
      </c>
    </row>
    <row r="75" spans="1:15" x14ac:dyDescent="0.25">
      <c r="A75" t="s">
        <v>452</v>
      </c>
      <c r="B75" t="s">
        <v>118</v>
      </c>
      <c r="C75">
        <v>2018</v>
      </c>
      <c r="D75">
        <v>3</v>
      </c>
      <c r="E75" t="s">
        <v>415</v>
      </c>
      <c r="F75" t="s">
        <v>416</v>
      </c>
      <c r="G75" t="s">
        <v>84</v>
      </c>
      <c r="H75" t="s">
        <v>426</v>
      </c>
      <c r="I75" t="s">
        <v>455</v>
      </c>
      <c r="J75" s="62">
        <v>4088.38116472</v>
      </c>
      <c r="K75">
        <v>47.7153092</v>
      </c>
      <c r="L75">
        <v>-154941.95669794999</v>
      </c>
      <c r="M75" t="s">
        <v>454</v>
      </c>
      <c r="N75">
        <v>45.139737799999999</v>
      </c>
      <c r="O75">
        <v>-4264.2236021899998</v>
      </c>
    </row>
    <row r="76" spans="1:15" x14ac:dyDescent="0.25">
      <c r="A76" t="s">
        <v>452</v>
      </c>
      <c r="B76" t="s">
        <v>118</v>
      </c>
      <c r="C76">
        <v>2018</v>
      </c>
      <c r="D76">
        <v>3</v>
      </c>
      <c r="E76" t="s">
        <v>415</v>
      </c>
      <c r="F76" t="s">
        <v>416</v>
      </c>
      <c r="G76" t="s">
        <v>84</v>
      </c>
      <c r="H76" t="s">
        <v>428</v>
      </c>
      <c r="I76" t="s">
        <v>456</v>
      </c>
      <c r="J76" s="62">
        <v>6611.7187140899996</v>
      </c>
      <c r="K76">
        <v>45.209260159999999</v>
      </c>
      <c r="L76">
        <v>-241651.73859009999</v>
      </c>
      <c r="M76" t="s">
        <v>454</v>
      </c>
      <c r="N76">
        <v>45.139737799999999</v>
      </c>
      <c r="O76">
        <v>-6579.2838196700004</v>
      </c>
    </row>
    <row r="77" spans="1:15" x14ac:dyDescent="0.25">
      <c r="A77" t="s">
        <v>452</v>
      </c>
      <c r="B77" t="s">
        <v>118</v>
      </c>
      <c r="C77">
        <v>2018</v>
      </c>
      <c r="D77">
        <v>3</v>
      </c>
      <c r="E77" t="s">
        <v>415</v>
      </c>
      <c r="F77" t="s">
        <v>429</v>
      </c>
      <c r="G77" t="s">
        <v>84</v>
      </c>
      <c r="H77" t="s">
        <v>431</v>
      </c>
      <c r="I77" t="s">
        <v>453</v>
      </c>
      <c r="J77" s="62">
        <v>25242.24030931</v>
      </c>
      <c r="K77">
        <v>45.998500589999999</v>
      </c>
      <c r="L77">
        <v>-1318673.8084317099</v>
      </c>
      <c r="M77" t="s">
        <v>454</v>
      </c>
      <c r="N77">
        <v>45.139737799999999</v>
      </c>
      <c r="O77">
        <v>-25878.615142570001</v>
      </c>
    </row>
    <row r="78" spans="1:15" x14ac:dyDescent="0.25">
      <c r="A78" t="s">
        <v>452</v>
      </c>
      <c r="B78" t="s">
        <v>118</v>
      </c>
      <c r="C78">
        <v>2018</v>
      </c>
      <c r="D78">
        <v>3</v>
      </c>
      <c r="E78" t="s">
        <v>415</v>
      </c>
      <c r="F78" t="s">
        <v>429</v>
      </c>
      <c r="G78" t="s">
        <v>84</v>
      </c>
      <c r="H78" t="s">
        <v>432</v>
      </c>
      <c r="I78" t="s">
        <v>455</v>
      </c>
      <c r="J78" s="62">
        <v>6021.2592051800002</v>
      </c>
      <c r="K78">
        <v>47.7153092</v>
      </c>
      <c r="L78">
        <v>-327680.56834987999</v>
      </c>
      <c r="M78" t="s">
        <v>454</v>
      </c>
      <c r="N78">
        <v>45.139737799999999</v>
      </c>
      <c r="O78">
        <v>-6388.3331820900003</v>
      </c>
    </row>
    <row r="79" spans="1:15" x14ac:dyDescent="0.25">
      <c r="A79" t="s">
        <v>452</v>
      </c>
      <c r="B79" t="s">
        <v>118</v>
      </c>
      <c r="C79">
        <v>2018</v>
      </c>
      <c r="D79">
        <v>3</v>
      </c>
      <c r="E79" t="s">
        <v>415</v>
      </c>
      <c r="F79" t="s">
        <v>429</v>
      </c>
      <c r="G79" t="s">
        <v>84</v>
      </c>
      <c r="H79" t="s">
        <v>433</v>
      </c>
      <c r="I79" t="s">
        <v>456</v>
      </c>
      <c r="J79" s="62">
        <v>8685.75394185</v>
      </c>
      <c r="K79">
        <v>45.209260159999999</v>
      </c>
      <c r="L79">
        <v>-445441.79028593999</v>
      </c>
      <c r="M79" t="s">
        <v>454</v>
      </c>
      <c r="N79">
        <v>45.139737799999999</v>
      </c>
      <c r="O79">
        <v>-8720.0521375099997</v>
      </c>
    </row>
    <row r="80" spans="1:15" x14ac:dyDescent="0.25">
      <c r="A80" t="s">
        <v>452</v>
      </c>
      <c r="B80" t="s">
        <v>118</v>
      </c>
      <c r="C80">
        <v>2018</v>
      </c>
      <c r="D80">
        <v>3</v>
      </c>
      <c r="E80" t="s">
        <v>415</v>
      </c>
      <c r="F80" t="s">
        <v>434</v>
      </c>
      <c r="G80" t="s">
        <v>84</v>
      </c>
      <c r="H80" t="s">
        <v>436</v>
      </c>
      <c r="I80" t="s">
        <v>453</v>
      </c>
      <c r="J80" s="62">
        <v>12859.721239709999</v>
      </c>
      <c r="K80">
        <v>45.998500589999999</v>
      </c>
      <c r="L80">
        <v>-705762.61297091004</v>
      </c>
      <c r="M80" t="s">
        <v>454</v>
      </c>
      <c r="N80">
        <v>45.139737799999999</v>
      </c>
      <c r="O80">
        <v>-13169.99056145</v>
      </c>
    </row>
    <row r="81" spans="1:15" x14ac:dyDescent="0.25">
      <c r="A81" t="s">
        <v>452</v>
      </c>
      <c r="B81" t="s">
        <v>118</v>
      </c>
      <c r="C81">
        <v>2018</v>
      </c>
      <c r="D81">
        <v>3</v>
      </c>
      <c r="E81" t="s">
        <v>415</v>
      </c>
      <c r="F81" t="s">
        <v>434</v>
      </c>
      <c r="G81" t="s">
        <v>84</v>
      </c>
      <c r="H81" t="s">
        <v>437</v>
      </c>
      <c r="I81" t="s">
        <v>455</v>
      </c>
      <c r="J81" s="62">
        <v>2860.4814342300001</v>
      </c>
      <c r="K81">
        <v>47.7153092</v>
      </c>
      <c r="L81">
        <v>-161614.14148059001</v>
      </c>
      <c r="M81" t="s">
        <v>454</v>
      </c>
      <c r="N81">
        <v>45.139737799999999</v>
      </c>
      <c r="O81">
        <v>-3023.1768842500001</v>
      </c>
    </row>
    <row r="82" spans="1:15" x14ac:dyDescent="0.25">
      <c r="A82" t="s">
        <v>452</v>
      </c>
      <c r="B82" t="s">
        <v>118</v>
      </c>
      <c r="C82">
        <v>2018</v>
      </c>
      <c r="D82">
        <v>3</v>
      </c>
      <c r="E82" t="s">
        <v>415</v>
      </c>
      <c r="F82" t="s">
        <v>434</v>
      </c>
      <c r="G82" t="s">
        <v>84</v>
      </c>
      <c r="H82" t="s">
        <v>438</v>
      </c>
      <c r="I82" t="s">
        <v>456</v>
      </c>
      <c r="J82" s="62">
        <v>4661.9672419799999</v>
      </c>
      <c r="K82">
        <v>45.209260159999999</v>
      </c>
      <c r="L82">
        <v>-249167.41169673999</v>
      </c>
      <c r="M82" t="s">
        <v>454</v>
      </c>
      <c r="N82">
        <v>45.139737799999999</v>
      </c>
      <c r="O82">
        <v>-4677.03995751</v>
      </c>
    </row>
    <row r="83" spans="1:15" x14ac:dyDescent="0.25">
      <c r="A83" t="s">
        <v>452</v>
      </c>
      <c r="B83" t="s">
        <v>149</v>
      </c>
      <c r="C83">
        <v>2019</v>
      </c>
      <c r="D83">
        <v>3</v>
      </c>
      <c r="E83" t="s">
        <v>415</v>
      </c>
      <c r="F83" t="s">
        <v>416</v>
      </c>
      <c r="G83" t="s">
        <v>84</v>
      </c>
      <c r="H83" t="s">
        <v>418</v>
      </c>
      <c r="I83" t="s">
        <v>453</v>
      </c>
      <c r="J83" s="62">
        <v>29716.074057680002</v>
      </c>
      <c r="K83">
        <v>43.56339397</v>
      </c>
      <c r="L83">
        <v>-1113709.11198674</v>
      </c>
      <c r="M83" t="s">
        <v>454</v>
      </c>
      <c r="N83">
        <v>42.002741030000003</v>
      </c>
      <c r="O83">
        <v>-30489.36422485</v>
      </c>
    </row>
    <row r="84" spans="1:15" x14ac:dyDescent="0.25">
      <c r="A84" t="s">
        <v>452</v>
      </c>
      <c r="B84" t="s">
        <v>149</v>
      </c>
      <c r="C84">
        <v>2019</v>
      </c>
      <c r="D84">
        <v>3</v>
      </c>
      <c r="E84" t="s">
        <v>415</v>
      </c>
      <c r="F84" t="s">
        <v>416</v>
      </c>
      <c r="G84" t="s">
        <v>84</v>
      </c>
      <c r="H84" t="s">
        <v>426</v>
      </c>
      <c r="I84" t="s">
        <v>455</v>
      </c>
      <c r="J84" s="62">
        <v>8205.7885361299996</v>
      </c>
      <c r="K84">
        <v>44.447565079999997</v>
      </c>
      <c r="L84">
        <v>-314403.42495093</v>
      </c>
      <c r="M84" t="s">
        <v>454</v>
      </c>
      <c r="N84">
        <v>42.002741030000003</v>
      </c>
      <c r="O84">
        <v>-8657.4466991200006</v>
      </c>
    </row>
    <row r="85" spans="1:15" x14ac:dyDescent="0.25">
      <c r="A85" t="s">
        <v>452</v>
      </c>
      <c r="B85" t="s">
        <v>149</v>
      </c>
      <c r="C85">
        <v>2019</v>
      </c>
      <c r="D85">
        <v>3</v>
      </c>
      <c r="E85" t="s">
        <v>415</v>
      </c>
      <c r="F85" t="s">
        <v>416</v>
      </c>
      <c r="G85" t="s">
        <v>84</v>
      </c>
      <c r="H85" t="s">
        <v>428</v>
      </c>
      <c r="I85" t="s">
        <v>456</v>
      </c>
      <c r="J85" s="62">
        <v>15672.69570359</v>
      </c>
      <c r="K85">
        <v>42.445404349999997</v>
      </c>
      <c r="L85">
        <v>-575652.85058150999</v>
      </c>
      <c r="M85" t="s">
        <v>454</v>
      </c>
      <c r="N85">
        <v>42.002741030000003</v>
      </c>
      <c r="O85">
        <v>-15815.68964717</v>
      </c>
    </row>
    <row r="86" spans="1:15" x14ac:dyDescent="0.25">
      <c r="A86" t="s">
        <v>452</v>
      </c>
      <c r="B86" t="s">
        <v>149</v>
      </c>
      <c r="C86">
        <v>2019</v>
      </c>
      <c r="D86">
        <v>3</v>
      </c>
      <c r="E86" t="s">
        <v>415</v>
      </c>
      <c r="F86" t="s">
        <v>429</v>
      </c>
      <c r="G86" t="s">
        <v>84</v>
      </c>
      <c r="H86" t="s">
        <v>431</v>
      </c>
      <c r="I86" t="s">
        <v>453</v>
      </c>
      <c r="J86" s="62">
        <v>45847.295759100001</v>
      </c>
      <c r="K86">
        <v>43.56339397</v>
      </c>
      <c r="L86">
        <v>-2150939.6833333098</v>
      </c>
      <c r="M86" t="s">
        <v>454</v>
      </c>
      <c r="N86">
        <v>42.002741030000003</v>
      </c>
      <c r="O86">
        <v>-47694.765985680002</v>
      </c>
    </row>
    <row r="87" spans="1:15" x14ac:dyDescent="0.25">
      <c r="A87" t="s">
        <v>452</v>
      </c>
      <c r="B87" t="s">
        <v>149</v>
      </c>
      <c r="C87">
        <v>2019</v>
      </c>
      <c r="D87">
        <v>3</v>
      </c>
      <c r="E87" t="s">
        <v>415</v>
      </c>
      <c r="F87" t="s">
        <v>429</v>
      </c>
      <c r="G87" t="s">
        <v>84</v>
      </c>
      <c r="H87" t="s">
        <v>432</v>
      </c>
      <c r="I87" t="s">
        <v>455</v>
      </c>
      <c r="J87" s="62">
        <v>12034.107516579999</v>
      </c>
      <c r="K87">
        <v>44.447565079999997</v>
      </c>
      <c r="L87">
        <v>-575774.23736032995</v>
      </c>
      <c r="M87" t="s">
        <v>454</v>
      </c>
      <c r="N87">
        <v>42.002741030000003</v>
      </c>
      <c r="O87">
        <v>-12742.261920299999</v>
      </c>
    </row>
    <row r="88" spans="1:15" x14ac:dyDescent="0.25">
      <c r="A88" t="s">
        <v>452</v>
      </c>
      <c r="B88" t="s">
        <v>149</v>
      </c>
      <c r="C88">
        <v>2019</v>
      </c>
      <c r="D88">
        <v>3</v>
      </c>
      <c r="E88" t="s">
        <v>415</v>
      </c>
      <c r="F88" t="s">
        <v>429</v>
      </c>
      <c r="G88" t="s">
        <v>84</v>
      </c>
      <c r="H88" t="s">
        <v>433</v>
      </c>
      <c r="I88" t="s">
        <v>456</v>
      </c>
      <c r="J88" s="62">
        <v>20928.39625116</v>
      </c>
      <c r="K88">
        <v>42.445404349999997</v>
      </c>
      <c r="L88">
        <v>-937897.51117571001</v>
      </c>
      <c r="M88" t="s">
        <v>454</v>
      </c>
      <c r="N88">
        <v>42.002741030000003</v>
      </c>
      <c r="O88">
        <v>-21145.261203310001</v>
      </c>
    </row>
    <row r="89" spans="1:15" x14ac:dyDescent="0.25">
      <c r="A89" t="s">
        <v>452</v>
      </c>
      <c r="B89" t="s">
        <v>149</v>
      </c>
      <c r="C89">
        <v>2019</v>
      </c>
      <c r="D89">
        <v>3</v>
      </c>
      <c r="E89" t="s">
        <v>415</v>
      </c>
      <c r="F89" t="s">
        <v>434</v>
      </c>
      <c r="G89" t="s">
        <v>84</v>
      </c>
      <c r="H89" t="s">
        <v>436</v>
      </c>
      <c r="I89" t="s">
        <v>453</v>
      </c>
      <c r="J89" s="62">
        <v>23072.735141460002</v>
      </c>
      <c r="K89">
        <v>43.56339397</v>
      </c>
      <c r="L89">
        <v>-1166906.4885976999</v>
      </c>
      <c r="M89" t="s">
        <v>454</v>
      </c>
      <c r="N89">
        <v>42.002741030000003</v>
      </c>
      <c r="O89">
        <v>-24061.50777624</v>
      </c>
    </row>
    <row r="90" spans="1:15" x14ac:dyDescent="0.25">
      <c r="A90" t="s">
        <v>452</v>
      </c>
      <c r="B90" t="s">
        <v>149</v>
      </c>
      <c r="C90">
        <v>2019</v>
      </c>
      <c r="D90">
        <v>3</v>
      </c>
      <c r="E90" t="s">
        <v>415</v>
      </c>
      <c r="F90" t="s">
        <v>434</v>
      </c>
      <c r="G90" t="s">
        <v>84</v>
      </c>
      <c r="H90" t="s">
        <v>437</v>
      </c>
      <c r="I90" t="s">
        <v>455</v>
      </c>
      <c r="J90" s="62">
        <v>5551.2165084500002</v>
      </c>
      <c r="K90">
        <v>44.447565079999997</v>
      </c>
      <c r="L90">
        <v>-283412.75549403002</v>
      </c>
      <c r="M90" t="s">
        <v>454</v>
      </c>
      <c r="N90">
        <v>42.002741030000003</v>
      </c>
      <c r="O90">
        <v>-5853.09035786</v>
      </c>
    </row>
    <row r="91" spans="1:15" x14ac:dyDescent="0.25">
      <c r="A91" t="s">
        <v>452</v>
      </c>
      <c r="B91" t="s">
        <v>149</v>
      </c>
      <c r="C91">
        <v>2019</v>
      </c>
      <c r="D91">
        <v>3</v>
      </c>
      <c r="E91" t="s">
        <v>415</v>
      </c>
      <c r="F91" t="s">
        <v>434</v>
      </c>
      <c r="G91" t="s">
        <v>84</v>
      </c>
      <c r="H91" t="s">
        <v>438</v>
      </c>
      <c r="I91" t="s">
        <v>456</v>
      </c>
      <c r="J91" s="62">
        <v>10915.166704339999</v>
      </c>
      <c r="K91">
        <v>42.445404349999997</v>
      </c>
      <c r="L91">
        <v>-528183.6022808</v>
      </c>
      <c r="M91" t="s">
        <v>454</v>
      </c>
      <c r="N91">
        <v>42.002741030000003</v>
      </c>
      <c r="O91">
        <v>-10992.68056072</v>
      </c>
    </row>
    <row r="92" spans="1:15" x14ac:dyDescent="0.25">
      <c r="A92" t="s">
        <v>452</v>
      </c>
      <c r="B92" t="s">
        <v>205</v>
      </c>
      <c r="C92">
        <v>2020</v>
      </c>
      <c r="D92">
        <v>3</v>
      </c>
      <c r="E92" t="s">
        <v>415</v>
      </c>
      <c r="F92" t="s">
        <v>416</v>
      </c>
      <c r="G92" t="s">
        <v>84</v>
      </c>
      <c r="H92" t="s">
        <v>418</v>
      </c>
      <c r="I92" t="s">
        <v>453</v>
      </c>
      <c r="J92" s="62">
        <v>68707.428080750004</v>
      </c>
      <c r="K92">
        <v>61.730130340000002</v>
      </c>
      <c r="L92">
        <v>-4460967.9335225597</v>
      </c>
      <c r="M92" t="s">
        <v>454</v>
      </c>
      <c r="N92">
        <v>56.781144789999999</v>
      </c>
      <c r="O92">
        <v>-72519.512347030002</v>
      </c>
    </row>
    <row r="93" spans="1:15" x14ac:dyDescent="0.25">
      <c r="A93" t="s">
        <v>452</v>
      </c>
      <c r="B93" t="s">
        <v>205</v>
      </c>
      <c r="C93">
        <v>2020</v>
      </c>
      <c r="D93">
        <v>3</v>
      </c>
      <c r="E93" t="s">
        <v>415</v>
      </c>
      <c r="F93" t="s">
        <v>416</v>
      </c>
      <c r="G93" t="s">
        <v>84</v>
      </c>
      <c r="H93" t="s">
        <v>426</v>
      </c>
      <c r="I93" t="s">
        <v>455</v>
      </c>
      <c r="J93" s="62">
        <v>28885.539257069999</v>
      </c>
      <c r="K93">
        <v>62.108309179999999</v>
      </c>
      <c r="L93">
        <v>-1907640.3428062301</v>
      </c>
      <c r="M93" t="s">
        <v>454</v>
      </c>
      <c r="N93">
        <v>56.781144789999999</v>
      </c>
      <c r="O93">
        <v>-30936.5832624</v>
      </c>
    </row>
    <row r="94" spans="1:15" x14ac:dyDescent="0.25">
      <c r="A94" t="s">
        <v>452</v>
      </c>
      <c r="B94" t="s">
        <v>205</v>
      </c>
      <c r="C94">
        <v>2020</v>
      </c>
      <c r="D94">
        <v>3</v>
      </c>
      <c r="E94" t="s">
        <v>415</v>
      </c>
      <c r="F94" t="s">
        <v>416</v>
      </c>
      <c r="G94" t="s">
        <v>84</v>
      </c>
      <c r="H94" t="s">
        <v>428</v>
      </c>
      <c r="I94" t="s">
        <v>456</v>
      </c>
      <c r="J94" s="62">
        <v>20443.937678660001</v>
      </c>
      <c r="K94">
        <v>59.049170099999998</v>
      </c>
      <c r="L94">
        <v>-1285163.03542228</v>
      </c>
      <c r="M94" t="s">
        <v>454</v>
      </c>
      <c r="N94">
        <v>56.781144789999999</v>
      </c>
      <c r="O94">
        <v>-20841.392119029999</v>
      </c>
    </row>
    <row r="95" spans="1:15" x14ac:dyDescent="0.25">
      <c r="A95" t="s">
        <v>452</v>
      </c>
      <c r="B95" t="s">
        <v>205</v>
      </c>
      <c r="C95">
        <v>2020</v>
      </c>
      <c r="D95">
        <v>3</v>
      </c>
      <c r="E95" t="s">
        <v>415</v>
      </c>
      <c r="F95" t="s">
        <v>429</v>
      </c>
      <c r="G95" t="s">
        <v>84</v>
      </c>
      <c r="H95" t="s">
        <v>431</v>
      </c>
      <c r="I95" t="s">
        <v>453</v>
      </c>
      <c r="J95" s="62">
        <v>99444.043198920001</v>
      </c>
      <c r="K95">
        <v>61.730130340000002</v>
      </c>
      <c r="L95">
        <v>-5380315.0773748104</v>
      </c>
      <c r="M95" t="s">
        <v>454</v>
      </c>
      <c r="N95">
        <v>56.781144789999999</v>
      </c>
      <c r="O95">
        <v>-112501.00451237</v>
      </c>
    </row>
    <row r="96" spans="1:15" x14ac:dyDescent="0.25">
      <c r="A96" t="s">
        <v>452</v>
      </c>
      <c r="B96" t="s">
        <v>205</v>
      </c>
      <c r="C96">
        <v>2020</v>
      </c>
      <c r="D96">
        <v>3</v>
      </c>
      <c r="E96" t="s">
        <v>415</v>
      </c>
      <c r="F96" t="s">
        <v>429</v>
      </c>
      <c r="G96" t="s">
        <v>84</v>
      </c>
      <c r="H96" t="s">
        <v>432</v>
      </c>
      <c r="I96" t="s">
        <v>455</v>
      </c>
      <c r="J96" s="62">
        <v>42593.122358749999</v>
      </c>
      <c r="K96">
        <v>62.108309179999999</v>
      </c>
      <c r="L96">
        <v>-2284502.70349359</v>
      </c>
      <c r="M96" t="s">
        <v>454</v>
      </c>
      <c r="N96">
        <v>56.781144789999999</v>
      </c>
      <c r="O96">
        <v>-48306.225334620001</v>
      </c>
    </row>
    <row r="97" spans="1:15" x14ac:dyDescent="0.25">
      <c r="A97" t="s">
        <v>452</v>
      </c>
      <c r="B97" t="s">
        <v>205</v>
      </c>
      <c r="C97">
        <v>2020</v>
      </c>
      <c r="D97">
        <v>3</v>
      </c>
      <c r="E97" t="s">
        <v>415</v>
      </c>
      <c r="F97" t="s">
        <v>429</v>
      </c>
      <c r="G97" t="s">
        <v>84</v>
      </c>
      <c r="H97" t="s">
        <v>433</v>
      </c>
      <c r="I97" t="s">
        <v>456</v>
      </c>
      <c r="J97" s="62">
        <v>29350.81881348</v>
      </c>
      <c r="K97">
        <v>59.049170099999998</v>
      </c>
      <c r="L97">
        <v>-1507701.04376016</v>
      </c>
      <c r="M97" t="s">
        <v>454</v>
      </c>
      <c r="N97">
        <v>56.781144789999999</v>
      </c>
      <c r="O97">
        <v>-31615.78560435</v>
      </c>
    </row>
    <row r="98" spans="1:15" x14ac:dyDescent="0.25">
      <c r="A98" t="s">
        <v>452</v>
      </c>
      <c r="B98" t="s">
        <v>205</v>
      </c>
      <c r="C98">
        <v>2020</v>
      </c>
      <c r="D98">
        <v>3</v>
      </c>
      <c r="E98" t="s">
        <v>415</v>
      </c>
      <c r="F98" t="s">
        <v>434</v>
      </c>
      <c r="G98" t="s">
        <v>84</v>
      </c>
      <c r="H98" t="s">
        <v>436</v>
      </c>
      <c r="I98" t="s">
        <v>453</v>
      </c>
      <c r="J98" s="62">
        <v>52189.779494100003</v>
      </c>
      <c r="K98">
        <v>61.730130340000002</v>
      </c>
      <c r="L98">
        <v>-4270724.4712654501</v>
      </c>
      <c r="M98" t="s">
        <v>454</v>
      </c>
      <c r="N98">
        <v>56.781144789999999</v>
      </c>
      <c r="O98">
        <v>-57931.72785553</v>
      </c>
    </row>
    <row r="99" spans="1:15" x14ac:dyDescent="0.25">
      <c r="A99" t="s">
        <v>452</v>
      </c>
      <c r="B99" t="s">
        <v>205</v>
      </c>
      <c r="C99">
        <v>2020</v>
      </c>
      <c r="D99">
        <v>3</v>
      </c>
      <c r="E99" t="s">
        <v>415</v>
      </c>
      <c r="F99" t="s">
        <v>434</v>
      </c>
      <c r="G99" t="s">
        <v>84</v>
      </c>
      <c r="H99" t="s">
        <v>437</v>
      </c>
      <c r="I99" t="s">
        <v>455</v>
      </c>
      <c r="J99" s="62">
        <v>19756.90082029</v>
      </c>
      <c r="K99">
        <v>62.108309179999999</v>
      </c>
      <c r="L99">
        <v>-1624392.5682222501</v>
      </c>
      <c r="M99" t="s">
        <v>454</v>
      </c>
      <c r="N99">
        <v>56.781144789999999</v>
      </c>
      <c r="O99">
        <v>-22079.44443028</v>
      </c>
    </row>
    <row r="100" spans="1:15" x14ac:dyDescent="0.25">
      <c r="A100" t="s">
        <v>452</v>
      </c>
      <c r="B100" t="s">
        <v>205</v>
      </c>
      <c r="C100">
        <v>2020</v>
      </c>
      <c r="D100">
        <v>3</v>
      </c>
      <c r="E100" t="s">
        <v>415</v>
      </c>
      <c r="F100" t="s">
        <v>434</v>
      </c>
      <c r="G100" t="s">
        <v>84</v>
      </c>
      <c r="H100" t="s">
        <v>438</v>
      </c>
      <c r="I100" t="s">
        <v>456</v>
      </c>
      <c r="J100" s="62">
        <v>16232.020670399999</v>
      </c>
      <c r="K100">
        <v>59.049170099999998</v>
      </c>
      <c r="L100">
        <v>-1235403.86661069</v>
      </c>
      <c r="M100" t="s">
        <v>454</v>
      </c>
      <c r="N100">
        <v>56.781144789999999</v>
      </c>
      <c r="O100">
        <v>-17088.93240967</v>
      </c>
    </row>
    <row r="101" spans="1:15" x14ac:dyDescent="0.25">
      <c r="A101" t="s">
        <v>452</v>
      </c>
      <c r="B101" t="s">
        <v>441</v>
      </c>
      <c r="C101">
        <v>2021</v>
      </c>
      <c r="D101">
        <v>3</v>
      </c>
      <c r="E101" t="s">
        <v>415</v>
      </c>
      <c r="F101" t="s">
        <v>416</v>
      </c>
      <c r="G101" t="s">
        <v>84</v>
      </c>
      <c r="H101" t="s">
        <v>418</v>
      </c>
      <c r="I101" t="s">
        <v>453</v>
      </c>
      <c r="J101" s="62">
        <v>52103.96309546</v>
      </c>
      <c r="K101">
        <v>68.664349779999995</v>
      </c>
      <c r="L101">
        <v>-3614040.46313158</v>
      </c>
      <c r="M101" t="s">
        <v>454</v>
      </c>
      <c r="N101">
        <v>61.200545529999999</v>
      </c>
      <c r="O101">
        <v>-54901.85232595</v>
      </c>
    </row>
    <row r="102" spans="1:15" x14ac:dyDescent="0.25">
      <c r="A102" t="s">
        <v>452</v>
      </c>
      <c r="B102" t="s">
        <v>441</v>
      </c>
      <c r="C102">
        <v>2021</v>
      </c>
      <c r="D102">
        <v>3</v>
      </c>
      <c r="E102" t="s">
        <v>415</v>
      </c>
      <c r="F102" t="s">
        <v>416</v>
      </c>
      <c r="G102" t="s">
        <v>84</v>
      </c>
      <c r="H102" t="s">
        <v>426</v>
      </c>
      <c r="I102" t="s">
        <v>455</v>
      </c>
      <c r="J102" s="62">
        <v>12585.46374255</v>
      </c>
      <c r="K102">
        <v>69.325567719999995</v>
      </c>
      <c r="L102">
        <v>-893771.88416528003</v>
      </c>
      <c r="M102" t="s">
        <v>454</v>
      </c>
      <c r="N102">
        <v>61.200545529999999</v>
      </c>
      <c r="O102">
        <v>-13567.478996530001</v>
      </c>
    </row>
    <row r="103" spans="1:15" x14ac:dyDescent="0.25">
      <c r="A103" t="s">
        <v>452</v>
      </c>
      <c r="B103" t="s">
        <v>441</v>
      </c>
      <c r="C103">
        <v>2021</v>
      </c>
      <c r="D103">
        <v>3</v>
      </c>
      <c r="E103" t="s">
        <v>415</v>
      </c>
      <c r="F103" t="s">
        <v>416</v>
      </c>
      <c r="G103" t="s">
        <v>84</v>
      </c>
      <c r="H103" t="s">
        <v>428</v>
      </c>
      <c r="I103" t="s">
        <v>456</v>
      </c>
      <c r="J103" s="62">
        <v>18721.949918660001</v>
      </c>
      <c r="K103">
        <v>66.856580649999998</v>
      </c>
      <c r="L103">
        <v>-1278827.4543850899</v>
      </c>
      <c r="M103" t="s">
        <v>454</v>
      </c>
      <c r="N103">
        <v>61.200545529999999</v>
      </c>
      <c r="O103">
        <v>-19268.952877849999</v>
      </c>
    </row>
    <row r="104" spans="1:15" x14ac:dyDescent="0.25">
      <c r="A104" t="s">
        <v>452</v>
      </c>
      <c r="B104" t="s">
        <v>441</v>
      </c>
      <c r="C104">
        <v>2021</v>
      </c>
      <c r="D104">
        <v>3</v>
      </c>
      <c r="E104" t="s">
        <v>415</v>
      </c>
      <c r="F104" t="s">
        <v>429</v>
      </c>
      <c r="G104" t="s">
        <v>84</v>
      </c>
      <c r="H104" t="s">
        <v>431</v>
      </c>
      <c r="I104" t="s">
        <v>453</v>
      </c>
      <c r="J104" s="62">
        <v>84405.93576855</v>
      </c>
      <c r="K104">
        <v>68.664349779999995</v>
      </c>
      <c r="L104">
        <v>-4981329.5965777896</v>
      </c>
      <c r="M104" t="s">
        <v>454</v>
      </c>
      <c r="N104">
        <v>61.200545529999999</v>
      </c>
      <c r="O104">
        <v>-109368.4290849</v>
      </c>
    </row>
    <row r="105" spans="1:15" x14ac:dyDescent="0.25">
      <c r="A105" t="s">
        <v>452</v>
      </c>
      <c r="B105" t="s">
        <v>441</v>
      </c>
      <c r="C105">
        <v>2021</v>
      </c>
      <c r="D105">
        <v>3</v>
      </c>
      <c r="E105" t="s">
        <v>415</v>
      </c>
      <c r="F105" t="s">
        <v>429</v>
      </c>
      <c r="G105" t="s">
        <v>84</v>
      </c>
      <c r="H105" t="s">
        <v>432</v>
      </c>
      <c r="I105" t="s">
        <v>455</v>
      </c>
      <c r="J105" s="62">
        <v>20775.633803929999</v>
      </c>
      <c r="K105">
        <v>69.325567719999995</v>
      </c>
      <c r="L105">
        <v>-1237342.7409016001</v>
      </c>
      <c r="M105" t="s">
        <v>454</v>
      </c>
      <c r="N105">
        <v>61.200545529999999</v>
      </c>
      <c r="O105">
        <v>-26823.2950619</v>
      </c>
    </row>
    <row r="106" spans="1:15" x14ac:dyDescent="0.25">
      <c r="A106" t="s">
        <v>452</v>
      </c>
      <c r="B106" t="s">
        <v>441</v>
      </c>
      <c r="C106">
        <v>2021</v>
      </c>
      <c r="D106">
        <v>3</v>
      </c>
      <c r="E106" t="s">
        <v>415</v>
      </c>
      <c r="F106" t="s">
        <v>429</v>
      </c>
      <c r="G106" t="s">
        <v>84</v>
      </c>
      <c r="H106" t="s">
        <v>433</v>
      </c>
      <c r="I106" t="s">
        <v>456</v>
      </c>
      <c r="J106" s="62">
        <v>32012.829687869998</v>
      </c>
      <c r="K106">
        <v>66.856580649999998</v>
      </c>
      <c r="L106">
        <v>-1861133.1065587499</v>
      </c>
      <c r="M106" t="s">
        <v>454</v>
      </c>
      <c r="N106">
        <v>61.200545529999999</v>
      </c>
      <c r="O106">
        <v>-40601.037573649999</v>
      </c>
    </row>
    <row r="107" spans="1:15" x14ac:dyDescent="0.25">
      <c r="A107" t="s">
        <v>452</v>
      </c>
      <c r="B107" t="s">
        <v>441</v>
      </c>
      <c r="C107">
        <v>2021</v>
      </c>
      <c r="D107">
        <v>3</v>
      </c>
      <c r="E107" t="s">
        <v>415</v>
      </c>
      <c r="F107" t="s">
        <v>434</v>
      </c>
      <c r="G107" t="s">
        <v>84</v>
      </c>
      <c r="H107" t="s">
        <v>436</v>
      </c>
      <c r="I107" t="s">
        <v>453</v>
      </c>
      <c r="J107" s="62">
        <v>43453.861546580003</v>
      </c>
      <c r="K107">
        <v>68.664349779999995</v>
      </c>
      <c r="L107">
        <v>-3979368.5225958</v>
      </c>
      <c r="M107" t="s">
        <v>454</v>
      </c>
      <c r="N107">
        <v>61.200545529999999</v>
      </c>
      <c r="O107">
        <v>-47715.894060179999</v>
      </c>
    </row>
    <row r="108" spans="1:15" x14ac:dyDescent="0.25">
      <c r="A108" t="s">
        <v>452</v>
      </c>
      <c r="B108" t="s">
        <v>441</v>
      </c>
      <c r="C108">
        <v>2021</v>
      </c>
      <c r="D108">
        <v>3</v>
      </c>
      <c r="E108" t="s">
        <v>415</v>
      </c>
      <c r="F108" t="s">
        <v>434</v>
      </c>
      <c r="G108" t="s">
        <v>84</v>
      </c>
      <c r="H108" t="s">
        <v>437</v>
      </c>
      <c r="I108" t="s">
        <v>455</v>
      </c>
      <c r="J108" s="62">
        <v>9532.5721277800003</v>
      </c>
      <c r="K108">
        <v>69.325567719999995</v>
      </c>
      <c r="L108">
        <v>-889054.37157336005</v>
      </c>
      <c r="M108" t="s">
        <v>454</v>
      </c>
      <c r="N108">
        <v>61.200545529999999</v>
      </c>
      <c r="O108">
        <v>-10607.3503962</v>
      </c>
    </row>
    <row r="109" spans="1:15" x14ac:dyDescent="0.25">
      <c r="A109" t="s">
        <v>452</v>
      </c>
      <c r="B109" t="s">
        <v>441</v>
      </c>
      <c r="C109">
        <v>2021</v>
      </c>
      <c r="D109">
        <v>3</v>
      </c>
      <c r="E109" t="s">
        <v>415</v>
      </c>
      <c r="F109" t="s">
        <v>434</v>
      </c>
      <c r="G109" t="s">
        <v>84</v>
      </c>
      <c r="H109" t="s">
        <v>438</v>
      </c>
      <c r="I109" t="s">
        <v>456</v>
      </c>
      <c r="J109" s="62">
        <v>15235.754905829999</v>
      </c>
      <c r="K109">
        <v>66.856580649999998</v>
      </c>
      <c r="L109">
        <v>-1358015.0254224699</v>
      </c>
      <c r="M109" t="s">
        <v>454</v>
      </c>
      <c r="N109">
        <v>61.200545529999999</v>
      </c>
      <c r="O109">
        <v>-16212.16323151</v>
      </c>
    </row>
    <row r="110" spans="1:15" x14ac:dyDescent="0.25">
      <c r="A110" t="s">
        <v>452</v>
      </c>
      <c r="B110" t="s">
        <v>112</v>
      </c>
      <c r="C110">
        <v>2018</v>
      </c>
      <c r="D110">
        <v>4</v>
      </c>
      <c r="E110" t="s">
        <v>415</v>
      </c>
      <c r="F110" t="s">
        <v>416</v>
      </c>
      <c r="G110" t="s">
        <v>84</v>
      </c>
      <c r="H110" t="s">
        <v>418</v>
      </c>
      <c r="I110" t="s">
        <v>453</v>
      </c>
      <c r="J110" s="62">
        <v>13307.990221759999</v>
      </c>
      <c r="K110">
        <v>38.918287370000002</v>
      </c>
      <c r="L110">
        <v>-486689.92489711998</v>
      </c>
      <c r="M110" t="s">
        <v>454</v>
      </c>
      <c r="N110">
        <v>37.979942770000001</v>
      </c>
      <c r="O110">
        <v>-13525.53220729</v>
      </c>
    </row>
    <row r="111" spans="1:15" x14ac:dyDescent="0.25">
      <c r="A111" t="s">
        <v>452</v>
      </c>
      <c r="B111" t="s">
        <v>112</v>
      </c>
      <c r="C111">
        <v>2018</v>
      </c>
      <c r="D111">
        <v>4</v>
      </c>
      <c r="E111" t="s">
        <v>415</v>
      </c>
      <c r="F111" t="s">
        <v>416</v>
      </c>
      <c r="G111" t="s">
        <v>84</v>
      </c>
      <c r="H111" t="s">
        <v>426</v>
      </c>
      <c r="I111" t="s">
        <v>455</v>
      </c>
      <c r="J111" s="62">
        <v>2374.3821972199999</v>
      </c>
      <c r="K111">
        <v>40.642749979999998</v>
      </c>
      <c r="L111">
        <v>-90805.329465219998</v>
      </c>
      <c r="M111" t="s">
        <v>454</v>
      </c>
      <c r="N111">
        <v>37.979942770000001</v>
      </c>
      <c r="O111">
        <v>-2521.3378791700002</v>
      </c>
    </row>
    <row r="112" spans="1:15" x14ac:dyDescent="0.25">
      <c r="A112" t="s">
        <v>452</v>
      </c>
      <c r="B112" t="s">
        <v>112</v>
      </c>
      <c r="C112">
        <v>2018</v>
      </c>
      <c r="D112">
        <v>4</v>
      </c>
      <c r="E112" t="s">
        <v>415</v>
      </c>
      <c r="F112" t="s">
        <v>416</v>
      </c>
      <c r="G112" t="s">
        <v>84</v>
      </c>
      <c r="H112" t="s">
        <v>428</v>
      </c>
      <c r="I112" t="s">
        <v>456</v>
      </c>
      <c r="J112" s="62">
        <v>5475.4642963699998</v>
      </c>
      <c r="K112">
        <v>38.350961900000001</v>
      </c>
      <c r="L112">
        <v>-200476.80712802001</v>
      </c>
      <c r="M112" t="s">
        <v>454</v>
      </c>
      <c r="N112">
        <v>37.979942770000001</v>
      </c>
      <c r="O112">
        <v>-5540.5562435900001</v>
      </c>
    </row>
    <row r="113" spans="1:15" x14ac:dyDescent="0.25">
      <c r="A113" t="s">
        <v>452</v>
      </c>
      <c r="B113" t="s">
        <v>112</v>
      </c>
      <c r="C113">
        <v>2018</v>
      </c>
      <c r="D113">
        <v>4</v>
      </c>
      <c r="E113" t="s">
        <v>415</v>
      </c>
      <c r="F113" t="s">
        <v>429</v>
      </c>
      <c r="G113" t="s">
        <v>84</v>
      </c>
      <c r="H113" t="s">
        <v>431</v>
      </c>
      <c r="I113" t="s">
        <v>453</v>
      </c>
      <c r="J113" s="62">
        <v>19702.941894380001</v>
      </c>
      <c r="K113">
        <v>38.918287370000002</v>
      </c>
      <c r="L113">
        <v>-833862.95470491995</v>
      </c>
      <c r="M113" t="s">
        <v>454</v>
      </c>
      <c r="N113">
        <v>37.979942770000001</v>
      </c>
      <c r="O113">
        <v>-20340.137952929999</v>
      </c>
    </row>
    <row r="114" spans="1:15" x14ac:dyDescent="0.25">
      <c r="A114" t="s">
        <v>452</v>
      </c>
      <c r="B114" t="s">
        <v>112</v>
      </c>
      <c r="C114">
        <v>2018</v>
      </c>
      <c r="D114">
        <v>4</v>
      </c>
      <c r="E114" t="s">
        <v>415</v>
      </c>
      <c r="F114" t="s">
        <v>429</v>
      </c>
      <c r="G114" t="s">
        <v>84</v>
      </c>
      <c r="H114" t="s">
        <v>432</v>
      </c>
      <c r="I114" t="s">
        <v>455</v>
      </c>
      <c r="J114" s="62">
        <v>3736.3369003600001</v>
      </c>
      <c r="K114">
        <v>40.642749979999998</v>
      </c>
      <c r="L114">
        <v>-166795.89530050001</v>
      </c>
      <c r="M114" t="s">
        <v>454</v>
      </c>
      <c r="N114">
        <v>37.979942770000001</v>
      </c>
      <c r="O114">
        <v>-4027.9259451100002</v>
      </c>
    </row>
    <row r="115" spans="1:15" x14ac:dyDescent="0.25">
      <c r="A115" t="s">
        <v>452</v>
      </c>
      <c r="B115" t="s">
        <v>112</v>
      </c>
      <c r="C115">
        <v>2018</v>
      </c>
      <c r="D115">
        <v>4</v>
      </c>
      <c r="E115" t="s">
        <v>415</v>
      </c>
      <c r="F115" t="s">
        <v>429</v>
      </c>
      <c r="G115" t="s">
        <v>84</v>
      </c>
      <c r="H115" t="s">
        <v>433</v>
      </c>
      <c r="I115" t="s">
        <v>456</v>
      </c>
      <c r="J115" s="62">
        <v>7022.5717074499998</v>
      </c>
      <c r="K115">
        <v>38.350961900000001</v>
      </c>
      <c r="L115">
        <v>-289973.94877343997</v>
      </c>
      <c r="M115" t="s">
        <v>454</v>
      </c>
      <c r="N115">
        <v>37.979942770000001</v>
      </c>
      <c r="O115">
        <v>-7097.72540123</v>
      </c>
    </row>
    <row r="116" spans="1:15" x14ac:dyDescent="0.25">
      <c r="A116" t="s">
        <v>452</v>
      </c>
      <c r="B116" t="s">
        <v>112</v>
      </c>
      <c r="C116">
        <v>2018</v>
      </c>
      <c r="D116">
        <v>4</v>
      </c>
      <c r="E116" t="s">
        <v>415</v>
      </c>
      <c r="F116" t="s">
        <v>434</v>
      </c>
      <c r="G116" t="s">
        <v>84</v>
      </c>
      <c r="H116" t="s">
        <v>436</v>
      </c>
      <c r="I116" t="s">
        <v>453</v>
      </c>
      <c r="J116" s="62">
        <v>5899.6516596700003</v>
      </c>
      <c r="K116">
        <v>38.918287370000002</v>
      </c>
      <c r="L116">
        <v>-228992.40664989999</v>
      </c>
      <c r="M116" t="s">
        <v>454</v>
      </c>
      <c r="N116">
        <v>37.979942770000001</v>
      </c>
      <c r="O116">
        <v>-6032.15998184</v>
      </c>
    </row>
    <row r="117" spans="1:15" x14ac:dyDescent="0.25">
      <c r="A117" t="s">
        <v>452</v>
      </c>
      <c r="B117" t="s">
        <v>112</v>
      </c>
      <c r="C117">
        <v>2018</v>
      </c>
      <c r="D117">
        <v>4</v>
      </c>
      <c r="E117" t="s">
        <v>415</v>
      </c>
      <c r="F117" t="s">
        <v>434</v>
      </c>
      <c r="G117" t="s">
        <v>84</v>
      </c>
      <c r="H117" t="s">
        <v>437</v>
      </c>
      <c r="I117" t="s">
        <v>455</v>
      </c>
      <c r="J117" s="62">
        <v>1210.2621379699999</v>
      </c>
      <c r="K117">
        <v>40.642749979999998</v>
      </c>
      <c r="L117">
        <v>-49264.56069513</v>
      </c>
      <c r="M117" t="s">
        <v>454</v>
      </c>
      <c r="N117">
        <v>37.979942770000001</v>
      </c>
      <c r="O117">
        <v>-1292.6734295199999</v>
      </c>
    </row>
    <row r="118" spans="1:15" x14ac:dyDescent="0.25">
      <c r="A118" t="s">
        <v>452</v>
      </c>
      <c r="B118" t="s">
        <v>112</v>
      </c>
      <c r="C118">
        <v>2018</v>
      </c>
      <c r="D118">
        <v>4</v>
      </c>
      <c r="E118" t="s">
        <v>415</v>
      </c>
      <c r="F118" t="s">
        <v>434</v>
      </c>
      <c r="G118" t="s">
        <v>84</v>
      </c>
      <c r="H118" t="s">
        <v>438</v>
      </c>
      <c r="I118" t="s">
        <v>456</v>
      </c>
      <c r="J118" s="62">
        <v>3168.2080827999998</v>
      </c>
      <c r="K118">
        <v>38.350961900000001</v>
      </c>
      <c r="L118">
        <v>-121905.02038805</v>
      </c>
      <c r="M118" t="s">
        <v>454</v>
      </c>
      <c r="N118">
        <v>37.979942770000001</v>
      </c>
      <c r="O118">
        <v>-3186.6792768300002</v>
      </c>
    </row>
    <row r="119" spans="1:15" x14ac:dyDescent="0.25">
      <c r="A119" t="s">
        <v>452</v>
      </c>
      <c r="B119" t="s">
        <v>150</v>
      </c>
      <c r="C119">
        <v>2019</v>
      </c>
      <c r="D119">
        <v>4</v>
      </c>
      <c r="E119" t="s">
        <v>415</v>
      </c>
      <c r="F119" t="s">
        <v>416</v>
      </c>
      <c r="G119" t="s">
        <v>84</v>
      </c>
      <c r="H119" t="s">
        <v>418</v>
      </c>
      <c r="I119" t="s">
        <v>453</v>
      </c>
      <c r="J119" s="62">
        <v>20761.19812225</v>
      </c>
      <c r="K119">
        <v>49.211321269999999</v>
      </c>
      <c r="L119">
        <v>-833994.42720186</v>
      </c>
      <c r="M119" t="s">
        <v>454</v>
      </c>
      <c r="N119">
        <v>47.376387530000002</v>
      </c>
      <c r="O119">
        <v>-21295.62721884</v>
      </c>
    </row>
    <row r="120" spans="1:15" x14ac:dyDescent="0.25">
      <c r="A120" t="s">
        <v>452</v>
      </c>
      <c r="B120" t="s">
        <v>150</v>
      </c>
      <c r="C120">
        <v>2019</v>
      </c>
      <c r="D120">
        <v>4</v>
      </c>
      <c r="E120" t="s">
        <v>415</v>
      </c>
      <c r="F120" t="s">
        <v>416</v>
      </c>
      <c r="G120" t="s">
        <v>84</v>
      </c>
      <c r="H120" t="s">
        <v>426</v>
      </c>
      <c r="I120" t="s">
        <v>455</v>
      </c>
      <c r="J120" s="62">
        <v>4156.7076047999999</v>
      </c>
      <c r="K120">
        <v>50.309524170000003</v>
      </c>
      <c r="L120">
        <v>-172353.57671073999</v>
      </c>
      <c r="M120" t="s">
        <v>454</v>
      </c>
      <c r="N120">
        <v>47.376387530000002</v>
      </c>
      <c r="O120">
        <v>-4392.3801281300002</v>
      </c>
    </row>
    <row r="121" spans="1:15" x14ac:dyDescent="0.25">
      <c r="A121" t="s">
        <v>452</v>
      </c>
      <c r="B121" t="s">
        <v>150</v>
      </c>
      <c r="C121">
        <v>2019</v>
      </c>
      <c r="D121">
        <v>4</v>
      </c>
      <c r="E121" t="s">
        <v>415</v>
      </c>
      <c r="F121" t="s">
        <v>416</v>
      </c>
      <c r="G121" t="s">
        <v>84</v>
      </c>
      <c r="H121" t="s">
        <v>428</v>
      </c>
      <c r="I121" t="s">
        <v>456</v>
      </c>
      <c r="J121" s="62">
        <v>12080.468163899999</v>
      </c>
      <c r="K121">
        <v>47.746527399999998</v>
      </c>
      <c r="L121">
        <v>-474495.89157232002</v>
      </c>
      <c r="M121" t="s">
        <v>454</v>
      </c>
      <c r="N121">
        <v>47.376387530000002</v>
      </c>
      <c r="O121">
        <v>-12200.88174445</v>
      </c>
    </row>
    <row r="122" spans="1:15" x14ac:dyDescent="0.25">
      <c r="A122" t="s">
        <v>452</v>
      </c>
      <c r="B122" t="s">
        <v>150</v>
      </c>
      <c r="C122">
        <v>2019</v>
      </c>
      <c r="D122">
        <v>4</v>
      </c>
      <c r="E122" t="s">
        <v>415</v>
      </c>
      <c r="F122" t="s">
        <v>429</v>
      </c>
      <c r="G122" t="s">
        <v>84</v>
      </c>
      <c r="H122" t="s">
        <v>431</v>
      </c>
      <c r="I122" t="s">
        <v>453</v>
      </c>
      <c r="J122" s="62">
        <v>35452.910450609997</v>
      </c>
      <c r="K122">
        <v>49.211321269999999</v>
      </c>
      <c r="L122">
        <v>-2082734.8268167099</v>
      </c>
      <c r="M122" t="s">
        <v>454</v>
      </c>
      <c r="N122">
        <v>47.376387530000002</v>
      </c>
      <c r="O122">
        <v>-37309.888431009997</v>
      </c>
    </row>
    <row r="123" spans="1:15" x14ac:dyDescent="0.25">
      <c r="A123" t="s">
        <v>452</v>
      </c>
      <c r="B123" t="s">
        <v>150</v>
      </c>
      <c r="C123">
        <v>2019</v>
      </c>
      <c r="D123">
        <v>4</v>
      </c>
      <c r="E123" t="s">
        <v>415</v>
      </c>
      <c r="F123" t="s">
        <v>429</v>
      </c>
      <c r="G123" t="s">
        <v>84</v>
      </c>
      <c r="H123" t="s">
        <v>432</v>
      </c>
      <c r="I123" t="s">
        <v>455</v>
      </c>
      <c r="J123" s="62">
        <v>6855.7305068200003</v>
      </c>
      <c r="K123">
        <v>50.309524170000003</v>
      </c>
      <c r="L123">
        <v>-414673.67651382001</v>
      </c>
      <c r="M123" t="s">
        <v>454</v>
      </c>
      <c r="N123">
        <v>47.376387530000002</v>
      </c>
      <c r="O123">
        <v>-7338.1736732400004</v>
      </c>
    </row>
    <row r="124" spans="1:15" x14ac:dyDescent="0.25">
      <c r="A124" t="s">
        <v>452</v>
      </c>
      <c r="B124" t="s">
        <v>150</v>
      </c>
      <c r="C124">
        <v>2019</v>
      </c>
      <c r="D124">
        <v>4</v>
      </c>
      <c r="E124" t="s">
        <v>415</v>
      </c>
      <c r="F124" t="s">
        <v>429</v>
      </c>
      <c r="G124" t="s">
        <v>84</v>
      </c>
      <c r="H124" t="s">
        <v>433</v>
      </c>
      <c r="I124" t="s">
        <v>456</v>
      </c>
      <c r="J124" s="62">
        <v>16275.671669339999</v>
      </c>
      <c r="K124">
        <v>47.746527399999998</v>
      </c>
      <c r="L124">
        <v>-914553.39194907004</v>
      </c>
      <c r="M124" t="s">
        <v>454</v>
      </c>
      <c r="N124">
        <v>47.376387530000002</v>
      </c>
      <c r="O124">
        <v>-16449.205816590002</v>
      </c>
    </row>
    <row r="125" spans="1:15" x14ac:dyDescent="0.25">
      <c r="A125" t="s">
        <v>452</v>
      </c>
      <c r="B125" t="s">
        <v>150</v>
      </c>
      <c r="C125">
        <v>2019</v>
      </c>
      <c r="D125">
        <v>4</v>
      </c>
      <c r="E125" t="s">
        <v>415</v>
      </c>
      <c r="F125" t="s">
        <v>434</v>
      </c>
      <c r="G125" t="s">
        <v>84</v>
      </c>
      <c r="H125" t="s">
        <v>436</v>
      </c>
      <c r="I125" t="s">
        <v>453</v>
      </c>
      <c r="J125" s="62">
        <v>11717.99169099</v>
      </c>
      <c r="K125">
        <v>49.211321269999999</v>
      </c>
      <c r="L125">
        <v>-589303.05921584996</v>
      </c>
      <c r="M125" t="s">
        <v>454</v>
      </c>
      <c r="N125">
        <v>47.376387530000002</v>
      </c>
      <c r="O125">
        <v>-12041.37519579</v>
      </c>
    </row>
    <row r="126" spans="1:15" x14ac:dyDescent="0.25">
      <c r="A126" t="s">
        <v>452</v>
      </c>
      <c r="B126" t="s">
        <v>150</v>
      </c>
      <c r="C126">
        <v>2019</v>
      </c>
      <c r="D126">
        <v>4</v>
      </c>
      <c r="E126" t="s">
        <v>415</v>
      </c>
      <c r="F126" t="s">
        <v>434</v>
      </c>
      <c r="G126" t="s">
        <v>84</v>
      </c>
      <c r="H126" t="s">
        <v>437</v>
      </c>
      <c r="I126" t="s">
        <v>455</v>
      </c>
      <c r="J126" s="62">
        <v>2278.2855849500002</v>
      </c>
      <c r="K126">
        <v>50.309524170000003</v>
      </c>
      <c r="L126">
        <v>-116929.038791</v>
      </c>
      <c r="M126" t="s">
        <v>454</v>
      </c>
      <c r="N126">
        <v>47.376387530000002</v>
      </c>
      <c r="O126">
        <v>-2387.96355976</v>
      </c>
    </row>
    <row r="127" spans="1:15" x14ac:dyDescent="0.25">
      <c r="A127" t="s">
        <v>452</v>
      </c>
      <c r="B127" t="s">
        <v>150</v>
      </c>
      <c r="C127">
        <v>2019</v>
      </c>
      <c r="D127">
        <v>4</v>
      </c>
      <c r="E127" t="s">
        <v>415</v>
      </c>
      <c r="F127" t="s">
        <v>434</v>
      </c>
      <c r="G127" t="s">
        <v>84</v>
      </c>
      <c r="H127" t="s">
        <v>438</v>
      </c>
      <c r="I127" t="s">
        <v>456</v>
      </c>
      <c r="J127" s="62">
        <v>6726.7522196700002</v>
      </c>
      <c r="K127">
        <v>47.746527399999998</v>
      </c>
      <c r="L127">
        <v>-324516.20370675001</v>
      </c>
      <c r="M127" t="s">
        <v>454</v>
      </c>
      <c r="N127">
        <v>47.376387530000002</v>
      </c>
      <c r="O127">
        <v>-6702.4391943700002</v>
      </c>
    </row>
    <row r="128" spans="1:15" x14ac:dyDescent="0.25">
      <c r="A128" t="s">
        <v>452</v>
      </c>
      <c r="B128" t="s">
        <v>209</v>
      </c>
      <c r="C128">
        <v>2020</v>
      </c>
      <c r="D128">
        <v>4</v>
      </c>
      <c r="E128" t="s">
        <v>415</v>
      </c>
      <c r="F128" t="s">
        <v>416</v>
      </c>
      <c r="G128" t="s">
        <v>84</v>
      </c>
      <c r="H128" t="s">
        <v>418</v>
      </c>
      <c r="I128" t="s">
        <v>453</v>
      </c>
      <c r="J128" s="62">
        <v>51812.257102659998</v>
      </c>
      <c r="K128">
        <v>45.622093800000002</v>
      </c>
      <c r="L128">
        <v>-2103736.2115049302</v>
      </c>
      <c r="M128" t="s">
        <v>454</v>
      </c>
      <c r="N128">
        <v>37.4868004</v>
      </c>
      <c r="O128">
        <v>-55855.071358699999</v>
      </c>
    </row>
    <row r="129" spans="1:15" x14ac:dyDescent="0.25">
      <c r="A129" t="s">
        <v>452</v>
      </c>
      <c r="B129" t="s">
        <v>209</v>
      </c>
      <c r="C129">
        <v>2020</v>
      </c>
      <c r="D129">
        <v>4</v>
      </c>
      <c r="E129" t="s">
        <v>415</v>
      </c>
      <c r="F129" t="s">
        <v>416</v>
      </c>
      <c r="G129" t="s">
        <v>84</v>
      </c>
      <c r="H129" t="s">
        <v>426</v>
      </c>
      <c r="I129" t="s">
        <v>455</v>
      </c>
      <c r="J129" s="62">
        <v>22043.377499769998</v>
      </c>
      <c r="K129">
        <v>45.771220040000003</v>
      </c>
      <c r="L129">
        <v>-921120.36417111999</v>
      </c>
      <c r="M129" t="s">
        <v>454</v>
      </c>
      <c r="N129">
        <v>37.4868004</v>
      </c>
      <c r="O129">
        <v>-24469.393391490001</v>
      </c>
    </row>
    <row r="130" spans="1:15" x14ac:dyDescent="0.25">
      <c r="A130" t="s">
        <v>452</v>
      </c>
      <c r="B130" t="s">
        <v>209</v>
      </c>
      <c r="C130">
        <v>2020</v>
      </c>
      <c r="D130">
        <v>4</v>
      </c>
      <c r="E130" t="s">
        <v>415</v>
      </c>
      <c r="F130" t="s">
        <v>416</v>
      </c>
      <c r="G130" t="s">
        <v>84</v>
      </c>
      <c r="H130" t="s">
        <v>428</v>
      </c>
      <c r="I130" t="s">
        <v>456</v>
      </c>
      <c r="J130" s="62">
        <v>23798.281638920002</v>
      </c>
      <c r="K130">
        <v>44.147030649999998</v>
      </c>
      <c r="L130">
        <v>-922920.94902812003</v>
      </c>
      <c r="M130" t="s">
        <v>454</v>
      </c>
      <c r="N130">
        <v>37.4868004</v>
      </c>
      <c r="O130">
        <v>-24540.690092010002</v>
      </c>
    </row>
    <row r="131" spans="1:15" x14ac:dyDescent="0.25">
      <c r="A131" t="s">
        <v>452</v>
      </c>
      <c r="B131" t="s">
        <v>209</v>
      </c>
      <c r="C131">
        <v>2020</v>
      </c>
      <c r="D131">
        <v>4</v>
      </c>
      <c r="E131" t="s">
        <v>415</v>
      </c>
      <c r="F131" t="s">
        <v>429</v>
      </c>
      <c r="G131" t="s">
        <v>84</v>
      </c>
      <c r="H131" t="s">
        <v>431</v>
      </c>
      <c r="I131" t="s">
        <v>453</v>
      </c>
      <c r="J131" s="62">
        <v>82306.441339259996</v>
      </c>
      <c r="K131">
        <v>45.622093800000002</v>
      </c>
      <c r="L131">
        <v>-3863436.8796359999</v>
      </c>
      <c r="M131" t="s">
        <v>454</v>
      </c>
      <c r="N131">
        <v>37.4868004</v>
      </c>
      <c r="O131">
        <v>-121830.02852598</v>
      </c>
    </row>
    <row r="132" spans="1:15" x14ac:dyDescent="0.25">
      <c r="A132" t="s">
        <v>452</v>
      </c>
      <c r="B132" t="s">
        <v>209</v>
      </c>
      <c r="C132">
        <v>2020</v>
      </c>
      <c r="D132">
        <v>4</v>
      </c>
      <c r="E132" t="s">
        <v>415</v>
      </c>
      <c r="F132" t="s">
        <v>429</v>
      </c>
      <c r="G132" t="s">
        <v>84</v>
      </c>
      <c r="H132" t="s">
        <v>432</v>
      </c>
      <c r="I132" t="s">
        <v>455</v>
      </c>
      <c r="J132" s="62">
        <v>31158.782876649999</v>
      </c>
      <c r="K132">
        <v>45.771220040000003</v>
      </c>
      <c r="L132">
        <v>-1443962.2564880699</v>
      </c>
      <c r="M132" t="s">
        <v>454</v>
      </c>
      <c r="N132">
        <v>37.4868004</v>
      </c>
      <c r="O132">
        <v>-45680.075787549998</v>
      </c>
    </row>
    <row r="133" spans="1:15" x14ac:dyDescent="0.25">
      <c r="A133" t="s">
        <v>452</v>
      </c>
      <c r="B133" t="s">
        <v>209</v>
      </c>
      <c r="C133">
        <v>2020</v>
      </c>
      <c r="D133">
        <v>4</v>
      </c>
      <c r="E133" t="s">
        <v>415</v>
      </c>
      <c r="F133" t="s">
        <v>429</v>
      </c>
      <c r="G133" t="s">
        <v>84</v>
      </c>
      <c r="H133" t="s">
        <v>433</v>
      </c>
      <c r="I133" t="s">
        <v>456</v>
      </c>
      <c r="J133" s="62">
        <v>33245.341511430001</v>
      </c>
      <c r="K133">
        <v>44.147030649999998</v>
      </c>
      <c r="L133">
        <v>-1493403.16692839</v>
      </c>
      <c r="M133" t="s">
        <v>454</v>
      </c>
      <c r="N133">
        <v>37.4868004</v>
      </c>
      <c r="O133">
        <v>-47117.969742300003</v>
      </c>
    </row>
    <row r="134" spans="1:15" x14ac:dyDescent="0.25">
      <c r="A134" t="s">
        <v>452</v>
      </c>
      <c r="B134" t="s">
        <v>209</v>
      </c>
      <c r="C134">
        <v>2020</v>
      </c>
      <c r="D134">
        <v>4</v>
      </c>
      <c r="E134" t="s">
        <v>415</v>
      </c>
      <c r="F134" t="s">
        <v>434</v>
      </c>
      <c r="G134" t="s">
        <v>84</v>
      </c>
      <c r="H134" t="s">
        <v>436</v>
      </c>
      <c r="I134" t="s">
        <v>453</v>
      </c>
      <c r="J134" s="62">
        <v>35937.364726129999</v>
      </c>
      <c r="K134">
        <v>45.622093800000002</v>
      </c>
      <c r="L134">
        <v>-2031009.1982946</v>
      </c>
      <c r="M134" t="s">
        <v>454</v>
      </c>
      <c r="N134">
        <v>37.4868004</v>
      </c>
      <c r="O134">
        <v>-39430.000816610001</v>
      </c>
    </row>
    <row r="135" spans="1:15" x14ac:dyDescent="0.25">
      <c r="A135" t="s">
        <v>452</v>
      </c>
      <c r="B135" t="s">
        <v>209</v>
      </c>
      <c r="C135">
        <v>2020</v>
      </c>
      <c r="D135">
        <v>4</v>
      </c>
      <c r="E135" t="s">
        <v>415</v>
      </c>
      <c r="F135" t="s">
        <v>434</v>
      </c>
      <c r="G135" t="s">
        <v>84</v>
      </c>
      <c r="H135" t="s">
        <v>437</v>
      </c>
      <c r="I135" t="s">
        <v>455</v>
      </c>
      <c r="J135" s="62">
        <v>10070.0506756</v>
      </c>
      <c r="K135">
        <v>45.771220040000003</v>
      </c>
      <c r="L135">
        <v>-574314.75322987</v>
      </c>
      <c r="M135" t="s">
        <v>454</v>
      </c>
      <c r="N135">
        <v>37.4868004</v>
      </c>
      <c r="O135">
        <v>-11094.28314089</v>
      </c>
    </row>
    <row r="136" spans="1:15" x14ac:dyDescent="0.25">
      <c r="A136" t="s">
        <v>452</v>
      </c>
      <c r="B136" t="s">
        <v>209</v>
      </c>
      <c r="C136">
        <v>2020</v>
      </c>
      <c r="D136">
        <v>4</v>
      </c>
      <c r="E136" t="s">
        <v>415</v>
      </c>
      <c r="F136" t="s">
        <v>434</v>
      </c>
      <c r="G136" t="s">
        <v>84</v>
      </c>
      <c r="H136" t="s">
        <v>438</v>
      </c>
      <c r="I136" t="s">
        <v>456</v>
      </c>
      <c r="J136" s="62">
        <v>16547.407060320002</v>
      </c>
      <c r="K136">
        <v>44.147030649999998</v>
      </c>
      <c r="L136">
        <v>-892082.72831752</v>
      </c>
      <c r="M136" t="s">
        <v>454</v>
      </c>
      <c r="N136">
        <v>37.4868004</v>
      </c>
      <c r="O136">
        <v>-17569.24571608</v>
      </c>
    </row>
    <row r="137" spans="1:15" x14ac:dyDescent="0.25">
      <c r="A137" t="s">
        <v>452</v>
      </c>
      <c r="B137" t="s">
        <v>120</v>
      </c>
      <c r="C137">
        <v>2018</v>
      </c>
      <c r="D137">
        <v>5</v>
      </c>
      <c r="E137" t="s">
        <v>415</v>
      </c>
      <c r="F137" t="s">
        <v>416</v>
      </c>
      <c r="G137" t="s">
        <v>84</v>
      </c>
      <c r="H137" t="s">
        <v>418</v>
      </c>
      <c r="I137" t="s">
        <v>453</v>
      </c>
      <c r="J137" s="62">
        <v>12648.473965990001</v>
      </c>
      <c r="K137">
        <v>52.345238100000003</v>
      </c>
      <c r="L137">
        <v>-588084.21989983995</v>
      </c>
      <c r="M137" t="s">
        <v>454</v>
      </c>
      <c r="N137">
        <v>50.20530806</v>
      </c>
      <c r="O137">
        <v>-13120.934276120001</v>
      </c>
    </row>
    <row r="138" spans="1:15" x14ac:dyDescent="0.25">
      <c r="A138" t="s">
        <v>452</v>
      </c>
      <c r="B138" t="s">
        <v>120</v>
      </c>
      <c r="C138">
        <v>2018</v>
      </c>
      <c r="D138">
        <v>5</v>
      </c>
      <c r="E138" t="s">
        <v>415</v>
      </c>
      <c r="F138" t="s">
        <v>416</v>
      </c>
      <c r="G138" t="s">
        <v>84</v>
      </c>
      <c r="H138" t="s">
        <v>426</v>
      </c>
      <c r="I138" t="s">
        <v>455</v>
      </c>
      <c r="J138" s="62">
        <v>2361.3359233299998</v>
      </c>
      <c r="K138">
        <v>54.005089949999999</v>
      </c>
      <c r="L138">
        <v>-112617.77604168</v>
      </c>
      <c r="M138" t="s">
        <v>454</v>
      </c>
      <c r="N138">
        <v>50.20530806</v>
      </c>
      <c r="O138">
        <v>-2521.2738760100001</v>
      </c>
    </row>
    <row r="139" spans="1:15" x14ac:dyDescent="0.25">
      <c r="A139" t="s">
        <v>452</v>
      </c>
      <c r="B139" t="s">
        <v>120</v>
      </c>
      <c r="C139">
        <v>2018</v>
      </c>
      <c r="D139">
        <v>5</v>
      </c>
      <c r="E139" t="s">
        <v>415</v>
      </c>
      <c r="F139" t="s">
        <v>416</v>
      </c>
      <c r="G139" t="s">
        <v>84</v>
      </c>
      <c r="H139" t="s">
        <v>428</v>
      </c>
      <c r="I139" t="s">
        <v>456</v>
      </c>
      <c r="J139" s="62">
        <v>5593.0390386899999</v>
      </c>
      <c r="K139">
        <v>51.582076020000002</v>
      </c>
      <c r="L139">
        <v>-261471.8539937</v>
      </c>
      <c r="M139" t="s">
        <v>454</v>
      </c>
      <c r="N139">
        <v>50.20530806</v>
      </c>
      <c r="O139">
        <v>-5775.1310947299999</v>
      </c>
    </row>
    <row r="140" spans="1:15" x14ac:dyDescent="0.25">
      <c r="A140" t="s">
        <v>452</v>
      </c>
      <c r="B140" t="s">
        <v>120</v>
      </c>
      <c r="C140">
        <v>2018</v>
      </c>
      <c r="D140">
        <v>5</v>
      </c>
      <c r="E140" t="s">
        <v>415</v>
      </c>
      <c r="F140" t="s">
        <v>429</v>
      </c>
      <c r="G140" t="s">
        <v>84</v>
      </c>
      <c r="H140" t="s">
        <v>431</v>
      </c>
      <c r="I140" t="s">
        <v>453</v>
      </c>
      <c r="J140" s="62">
        <v>18528.346512519998</v>
      </c>
      <c r="K140">
        <v>52.345238100000003</v>
      </c>
      <c r="L140">
        <v>-1055841.4151532601</v>
      </c>
      <c r="M140" t="s">
        <v>454</v>
      </c>
      <c r="N140">
        <v>50.20530806</v>
      </c>
      <c r="O140">
        <v>-19338.292099480001</v>
      </c>
    </row>
    <row r="141" spans="1:15" x14ac:dyDescent="0.25">
      <c r="A141" t="s">
        <v>452</v>
      </c>
      <c r="B141" t="s">
        <v>120</v>
      </c>
      <c r="C141">
        <v>2018</v>
      </c>
      <c r="D141">
        <v>5</v>
      </c>
      <c r="E141" t="s">
        <v>415</v>
      </c>
      <c r="F141" t="s">
        <v>429</v>
      </c>
      <c r="G141" t="s">
        <v>84</v>
      </c>
      <c r="H141" t="s">
        <v>432</v>
      </c>
      <c r="I141" t="s">
        <v>455</v>
      </c>
      <c r="J141" s="62">
        <v>2874.7735137</v>
      </c>
      <c r="K141">
        <v>54.005089949999999</v>
      </c>
      <c r="L141">
        <v>-167720.70208613001</v>
      </c>
      <c r="M141" t="s">
        <v>454</v>
      </c>
      <c r="N141">
        <v>50.20530806</v>
      </c>
      <c r="O141">
        <v>-3092.98205934</v>
      </c>
    </row>
    <row r="142" spans="1:15" x14ac:dyDescent="0.25">
      <c r="A142" t="s">
        <v>452</v>
      </c>
      <c r="B142" t="s">
        <v>120</v>
      </c>
      <c r="C142">
        <v>2018</v>
      </c>
      <c r="D142">
        <v>5</v>
      </c>
      <c r="E142" t="s">
        <v>415</v>
      </c>
      <c r="F142" t="s">
        <v>429</v>
      </c>
      <c r="G142" t="s">
        <v>84</v>
      </c>
      <c r="H142" t="s">
        <v>433</v>
      </c>
      <c r="I142" t="s">
        <v>456</v>
      </c>
      <c r="J142" s="62">
        <v>6915.3530321899998</v>
      </c>
      <c r="K142">
        <v>51.582076020000002</v>
      </c>
      <c r="L142">
        <v>-387452.74995565001</v>
      </c>
      <c r="M142" t="s">
        <v>454</v>
      </c>
      <c r="N142">
        <v>50.20530806</v>
      </c>
      <c r="O142">
        <v>-7081.2819738600001</v>
      </c>
    </row>
    <row r="143" spans="1:15" x14ac:dyDescent="0.25">
      <c r="A143" t="s">
        <v>452</v>
      </c>
      <c r="B143" t="s">
        <v>120</v>
      </c>
      <c r="C143">
        <v>2018</v>
      </c>
      <c r="D143">
        <v>5</v>
      </c>
      <c r="E143" t="s">
        <v>415</v>
      </c>
      <c r="F143" t="s">
        <v>434</v>
      </c>
      <c r="G143" t="s">
        <v>84</v>
      </c>
      <c r="H143" t="s">
        <v>436</v>
      </c>
      <c r="I143" t="s">
        <v>453</v>
      </c>
      <c r="J143" s="62">
        <v>6629.3883360099999</v>
      </c>
      <c r="K143">
        <v>52.345238100000003</v>
      </c>
      <c r="L143">
        <v>-374753.63411993999</v>
      </c>
      <c r="M143" t="s">
        <v>454</v>
      </c>
      <c r="N143">
        <v>50.20530806</v>
      </c>
      <c r="O143">
        <v>-6919.1418564100004</v>
      </c>
    </row>
    <row r="144" spans="1:15" x14ac:dyDescent="0.25">
      <c r="A144" t="s">
        <v>452</v>
      </c>
      <c r="B144" t="s">
        <v>120</v>
      </c>
      <c r="C144">
        <v>2018</v>
      </c>
      <c r="D144">
        <v>5</v>
      </c>
      <c r="E144" t="s">
        <v>415</v>
      </c>
      <c r="F144" t="s">
        <v>434</v>
      </c>
      <c r="G144" t="s">
        <v>84</v>
      </c>
      <c r="H144" t="s">
        <v>437</v>
      </c>
      <c r="I144" t="s">
        <v>455</v>
      </c>
      <c r="J144" s="62">
        <v>1293.4637284400001</v>
      </c>
      <c r="K144">
        <v>54.005089949999999</v>
      </c>
      <c r="L144">
        <v>-75480.153417780006</v>
      </c>
      <c r="M144" t="s">
        <v>454</v>
      </c>
      <c r="N144">
        <v>50.20530806</v>
      </c>
      <c r="O144">
        <v>-1396.38828827</v>
      </c>
    </row>
    <row r="145" spans="1:15" x14ac:dyDescent="0.25">
      <c r="A145" t="s">
        <v>452</v>
      </c>
      <c r="B145" t="s">
        <v>120</v>
      </c>
      <c r="C145">
        <v>2018</v>
      </c>
      <c r="D145">
        <v>5</v>
      </c>
      <c r="E145" t="s">
        <v>415</v>
      </c>
      <c r="F145" t="s">
        <v>434</v>
      </c>
      <c r="G145" t="s">
        <v>84</v>
      </c>
      <c r="H145" t="s">
        <v>438</v>
      </c>
      <c r="I145" t="s">
        <v>456</v>
      </c>
      <c r="J145" s="62">
        <v>3490.70336309</v>
      </c>
      <c r="K145">
        <v>51.582076020000002</v>
      </c>
      <c r="L145">
        <v>-195022.56270888</v>
      </c>
      <c r="M145" t="s">
        <v>454</v>
      </c>
      <c r="N145">
        <v>50.20530806</v>
      </c>
      <c r="O145">
        <v>-3576.8051413200001</v>
      </c>
    </row>
    <row r="146" spans="1:15" x14ac:dyDescent="0.25">
      <c r="A146" t="s">
        <v>452</v>
      </c>
      <c r="B146" t="s">
        <v>152</v>
      </c>
      <c r="C146">
        <v>2019</v>
      </c>
      <c r="D146">
        <v>5</v>
      </c>
      <c r="E146" t="s">
        <v>415</v>
      </c>
      <c r="F146" t="s">
        <v>416</v>
      </c>
      <c r="G146" t="s">
        <v>84</v>
      </c>
      <c r="H146" t="s">
        <v>418</v>
      </c>
      <c r="I146" t="s">
        <v>453</v>
      </c>
      <c r="J146" s="62">
        <v>20377.458082190002</v>
      </c>
      <c r="K146">
        <v>48.926037800000003</v>
      </c>
      <c r="L146">
        <v>-876386.88529016997</v>
      </c>
      <c r="M146" t="s">
        <v>454</v>
      </c>
      <c r="N146">
        <v>46.991665240000003</v>
      </c>
      <c r="O146">
        <v>-20979.25674859</v>
      </c>
    </row>
    <row r="147" spans="1:15" x14ac:dyDescent="0.25">
      <c r="A147" t="s">
        <v>452</v>
      </c>
      <c r="B147" t="s">
        <v>152</v>
      </c>
      <c r="C147">
        <v>2019</v>
      </c>
      <c r="D147">
        <v>5</v>
      </c>
      <c r="E147" t="s">
        <v>415</v>
      </c>
      <c r="F147" t="s">
        <v>416</v>
      </c>
      <c r="G147" t="s">
        <v>84</v>
      </c>
      <c r="H147" t="s">
        <v>426</v>
      </c>
      <c r="I147" t="s">
        <v>455</v>
      </c>
      <c r="J147" s="62">
        <v>4580.7041253300004</v>
      </c>
      <c r="K147">
        <v>50.048947089999999</v>
      </c>
      <c r="L147">
        <v>-203134.52955648</v>
      </c>
      <c r="M147" t="s">
        <v>454</v>
      </c>
      <c r="N147">
        <v>46.991665240000003</v>
      </c>
      <c r="O147">
        <v>-4865.1164243699995</v>
      </c>
    </row>
    <row r="148" spans="1:15" x14ac:dyDescent="0.25">
      <c r="A148" t="s">
        <v>452</v>
      </c>
      <c r="B148" t="s">
        <v>152</v>
      </c>
      <c r="C148">
        <v>2019</v>
      </c>
      <c r="D148">
        <v>5</v>
      </c>
      <c r="E148" t="s">
        <v>415</v>
      </c>
      <c r="F148" t="s">
        <v>416</v>
      </c>
      <c r="G148" t="s">
        <v>84</v>
      </c>
      <c r="H148" t="s">
        <v>428</v>
      </c>
      <c r="I148" t="s">
        <v>456</v>
      </c>
      <c r="J148" s="62">
        <v>11387.94193391</v>
      </c>
      <c r="K148">
        <v>47.877579500000003</v>
      </c>
      <c r="L148">
        <v>-482671.37744423002</v>
      </c>
      <c r="M148" t="s">
        <v>454</v>
      </c>
      <c r="N148">
        <v>46.991665240000003</v>
      </c>
      <c r="O148">
        <v>-11580.711558110001</v>
      </c>
    </row>
    <row r="149" spans="1:15" x14ac:dyDescent="0.25">
      <c r="A149" t="s">
        <v>452</v>
      </c>
      <c r="B149" t="s">
        <v>152</v>
      </c>
      <c r="C149">
        <v>2019</v>
      </c>
      <c r="D149">
        <v>5</v>
      </c>
      <c r="E149" t="s">
        <v>415</v>
      </c>
      <c r="F149" t="s">
        <v>429</v>
      </c>
      <c r="G149" t="s">
        <v>84</v>
      </c>
      <c r="H149" t="s">
        <v>431</v>
      </c>
      <c r="I149" t="s">
        <v>453</v>
      </c>
      <c r="J149" s="62">
        <v>30316.914570370001</v>
      </c>
      <c r="K149">
        <v>48.926037800000003</v>
      </c>
      <c r="L149">
        <v>-1597296.84113371</v>
      </c>
      <c r="M149" t="s">
        <v>454</v>
      </c>
      <c r="N149">
        <v>46.991665240000003</v>
      </c>
      <c r="O149">
        <v>-31876.915981030001</v>
      </c>
    </row>
    <row r="150" spans="1:15" x14ac:dyDescent="0.25">
      <c r="A150" t="s">
        <v>452</v>
      </c>
      <c r="B150" t="s">
        <v>152</v>
      </c>
      <c r="C150">
        <v>2019</v>
      </c>
      <c r="D150">
        <v>5</v>
      </c>
      <c r="E150" t="s">
        <v>415</v>
      </c>
      <c r="F150" t="s">
        <v>429</v>
      </c>
      <c r="G150" t="s">
        <v>84</v>
      </c>
      <c r="H150" t="s">
        <v>432</v>
      </c>
      <c r="I150" t="s">
        <v>455</v>
      </c>
      <c r="J150" s="62">
        <v>5532.8086712000004</v>
      </c>
      <c r="K150">
        <v>50.048947089999999</v>
      </c>
      <c r="L150">
        <v>-296739.15817431</v>
      </c>
      <c r="M150" t="s">
        <v>454</v>
      </c>
      <c r="N150">
        <v>46.991665240000003</v>
      </c>
      <c r="O150">
        <v>-5916.0337680399998</v>
      </c>
    </row>
    <row r="151" spans="1:15" x14ac:dyDescent="0.25">
      <c r="A151" t="s">
        <v>452</v>
      </c>
      <c r="B151" t="s">
        <v>152</v>
      </c>
      <c r="C151">
        <v>2019</v>
      </c>
      <c r="D151">
        <v>5</v>
      </c>
      <c r="E151" t="s">
        <v>415</v>
      </c>
      <c r="F151" t="s">
        <v>429</v>
      </c>
      <c r="G151" t="s">
        <v>84</v>
      </c>
      <c r="H151" t="s">
        <v>433</v>
      </c>
      <c r="I151" t="s">
        <v>456</v>
      </c>
      <c r="J151" s="62">
        <v>14741.85858075</v>
      </c>
      <c r="K151">
        <v>47.877579500000003</v>
      </c>
      <c r="L151">
        <v>-746206.64614891005</v>
      </c>
      <c r="M151" t="s">
        <v>454</v>
      </c>
      <c r="N151">
        <v>46.991665240000003</v>
      </c>
      <c r="O151">
        <v>-15044.213063810001</v>
      </c>
    </row>
    <row r="152" spans="1:15" x14ac:dyDescent="0.25">
      <c r="A152" t="s">
        <v>452</v>
      </c>
      <c r="B152" t="s">
        <v>152</v>
      </c>
      <c r="C152">
        <v>2019</v>
      </c>
      <c r="D152">
        <v>5</v>
      </c>
      <c r="E152" t="s">
        <v>415</v>
      </c>
      <c r="F152" t="s">
        <v>434</v>
      </c>
      <c r="G152" t="s">
        <v>84</v>
      </c>
      <c r="H152" t="s">
        <v>436</v>
      </c>
      <c r="I152" t="s">
        <v>453</v>
      </c>
      <c r="J152" s="62">
        <v>13333.504388519999</v>
      </c>
      <c r="K152">
        <v>48.926037800000003</v>
      </c>
      <c r="L152">
        <v>-718084.66672922997</v>
      </c>
      <c r="M152" t="s">
        <v>454</v>
      </c>
      <c r="N152">
        <v>46.991665240000003</v>
      </c>
      <c r="O152">
        <v>-13825.619362130001</v>
      </c>
    </row>
    <row r="153" spans="1:15" x14ac:dyDescent="0.25">
      <c r="A153" t="s">
        <v>452</v>
      </c>
      <c r="B153" t="s">
        <v>152</v>
      </c>
      <c r="C153">
        <v>2019</v>
      </c>
      <c r="D153">
        <v>5</v>
      </c>
      <c r="E153" t="s">
        <v>415</v>
      </c>
      <c r="F153" t="s">
        <v>434</v>
      </c>
      <c r="G153" t="s">
        <v>84</v>
      </c>
      <c r="H153" t="s">
        <v>437</v>
      </c>
      <c r="I153" t="s">
        <v>455</v>
      </c>
      <c r="J153" s="62">
        <v>2443.8576782300001</v>
      </c>
      <c r="K153">
        <v>50.048947089999999</v>
      </c>
      <c r="L153">
        <v>-134283.64158366999</v>
      </c>
      <c r="M153" t="s">
        <v>454</v>
      </c>
      <c r="N153">
        <v>46.991665240000003</v>
      </c>
      <c r="O153">
        <v>-2587.9844136299998</v>
      </c>
    </row>
    <row r="154" spans="1:15" x14ac:dyDescent="0.25">
      <c r="A154" t="s">
        <v>452</v>
      </c>
      <c r="B154" t="s">
        <v>152</v>
      </c>
      <c r="C154">
        <v>2019</v>
      </c>
      <c r="D154">
        <v>5</v>
      </c>
      <c r="E154" t="s">
        <v>415</v>
      </c>
      <c r="F154" t="s">
        <v>434</v>
      </c>
      <c r="G154" t="s">
        <v>84</v>
      </c>
      <c r="H154" t="s">
        <v>438</v>
      </c>
      <c r="I154" t="s">
        <v>456</v>
      </c>
      <c r="J154" s="62">
        <v>7077.7054262600004</v>
      </c>
      <c r="K154">
        <v>47.877579500000003</v>
      </c>
      <c r="L154">
        <v>-374518.69324022002</v>
      </c>
      <c r="M154" t="s">
        <v>454</v>
      </c>
      <c r="N154">
        <v>46.991665240000003</v>
      </c>
      <c r="O154">
        <v>-7196.7359302100003</v>
      </c>
    </row>
    <row r="155" spans="1:15" x14ac:dyDescent="0.25">
      <c r="A155" t="s">
        <v>452</v>
      </c>
      <c r="B155" t="s">
        <v>216</v>
      </c>
      <c r="C155">
        <v>2020</v>
      </c>
      <c r="D155">
        <v>5</v>
      </c>
      <c r="E155" t="s">
        <v>415</v>
      </c>
      <c r="F155" t="s">
        <v>416</v>
      </c>
      <c r="G155" t="s">
        <v>84</v>
      </c>
      <c r="H155" t="s">
        <v>418</v>
      </c>
      <c r="I155" t="s">
        <v>453</v>
      </c>
      <c r="J155" s="62">
        <v>50313.865700000002</v>
      </c>
      <c r="K155">
        <v>40.175110920000002</v>
      </c>
      <c r="L155">
        <v>-1720658.07094857</v>
      </c>
      <c r="M155" t="s">
        <v>454</v>
      </c>
      <c r="N155">
        <v>36.859294730000002</v>
      </c>
      <c r="O155">
        <v>-52272.209223270002</v>
      </c>
    </row>
    <row r="156" spans="1:15" x14ac:dyDescent="0.25">
      <c r="A156" t="s">
        <v>452</v>
      </c>
      <c r="B156" t="s">
        <v>216</v>
      </c>
      <c r="C156">
        <v>2020</v>
      </c>
      <c r="D156">
        <v>5</v>
      </c>
      <c r="E156" t="s">
        <v>415</v>
      </c>
      <c r="F156" t="s">
        <v>416</v>
      </c>
      <c r="G156" t="s">
        <v>84</v>
      </c>
      <c r="H156" t="s">
        <v>426</v>
      </c>
      <c r="I156" t="s">
        <v>455</v>
      </c>
      <c r="J156" s="62">
        <v>17876.325209719998</v>
      </c>
      <c r="K156">
        <v>40.913689689999998</v>
      </c>
      <c r="L156">
        <v>-624370.01420881995</v>
      </c>
      <c r="M156" t="s">
        <v>454</v>
      </c>
      <c r="N156">
        <v>36.859294730000002</v>
      </c>
      <c r="O156">
        <v>-18978.234929239999</v>
      </c>
    </row>
    <row r="157" spans="1:15" x14ac:dyDescent="0.25">
      <c r="A157" t="s">
        <v>452</v>
      </c>
      <c r="B157" t="s">
        <v>216</v>
      </c>
      <c r="C157">
        <v>2020</v>
      </c>
      <c r="D157">
        <v>5</v>
      </c>
      <c r="E157" t="s">
        <v>415</v>
      </c>
      <c r="F157" t="s">
        <v>416</v>
      </c>
      <c r="G157" t="s">
        <v>84</v>
      </c>
      <c r="H157" t="s">
        <v>428</v>
      </c>
      <c r="I157" t="s">
        <v>456</v>
      </c>
      <c r="J157" s="62">
        <v>24287.014211999998</v>
      </c>
      <c r="K157">
        <v>39.377544129999997</v>
      </c>
      <c r="L157">
        <v>-817800.40317249997</v>
      </c>
      <c r="M157" t="s">
        <v>454</v>
      </c>
      <c r="N157">
        <v>36.859294730000002</v>
      </c>
      <c r="O157">
        <v>-24852.313315650001</v>
      </c>
    </row>
    <row r="158" spans="1:15" x14ac:dyDescent="0.25">
      <c r="A158" t="s">
        <v>452</v>
      </c>
      <c r="B158" t="s">
        <v>216</v>
      </c>
      <c r="C158">
        <v>2020</v>
      </c>
      <c r="D158">
        <v>5</v>
      </c>
      <c r="E158" t="s">
        <v>415</v>
      </c>
      <c r="F158" t="s">
        <v>429</v>
      </c>
      <c r="G158" t="s">
        <v>84</v>
      </c>
      <c r="H158" t="s">
        <v>431</v>
      </c>
      <c r="I158" t="s">
        <v>453</v>
      </c>
      <c r="J158" s="62">
        <v>70320.937767369993</v>
      </c>
      <c r="K158">
        <v>40.175110920000002</v>
      </c>
      <c r="L158">
        <v>-2826069.5840082499</v>
      </c>
      <c r="M158" t="s">
        <v>454</v>
      </c>
      <c r="N158">
        <v>36.859294730000002</v>
      </c>
      <c r="O158">
        <v>-82808.034573640005</v>
      </c>
    </row>
    <row r="159" spans="1:15" x14ac:dyDescent="0.25">
      <c r="A159" t="s">
        <v>452</v>
      </c>
      <c r="B159" t="s">
        <v>216</v>
      </c>
      <c r="C159">
        <v>2020</v>
      </c>
      <c r="D159">
        <v>5</v>
      </c>
      <c r="E159" t="s">
        <v>415</v>
      </c>
      <c r="F159" t="s">
        <v>429</v>
      </c>
      <c r="G159" t="s">
        <v>84</v>
      </c>
      <c r="H159" t="s">
        <v>432</v>
      </c>
      <c r="I159" t="s">
        <v>455</v>
      </c>
      <c r="J159" s="62">
        <v>23722.572026260001</v>
      </c>
      <c r="K159">
        <v>40.913689689999998</v>
      </c>
      <c r="L159">
        <v>-943745.02678383002</v>
      </c>
      <c r="M159" t="s">
        <v>454</v>
      </c>
      <c r="N159">
        <v>36.859294730000002</v>
      </c>
      <c r="O159">
        <v>-27986.421576190001</v>
      </c>
    </row>
    <row r="160" spans="1:15" x14ac:dyDescent="0.25">
      <c r="A160" t="s">
        <v>452</v>
      </c>
      <c r="B160" t="s">
        <v>216</v>
      </c>
      <c r="C160">
        <v>2020</v>
      </c>
      <c r="D160">
        <v>5</v>
      </c>
      <c r="E160" t="s">
        <v>415</v>
      </c>
      <c r="F160" t="s">
        <v>429</v>
      </c>
      <c r="G160" t="s">
        <v>84</v>
      </c>
      <c r="H160" t="s">
        <v>433</v>
      </c>
      <c r="I160" t="s">
        <v>456</v>
      </c>
      <c r="J160" s="62">
        <v>29615.803185100001</v>
      </c>
      <c r="K160">
        <v>39.377544129999997</v>
      </c>
      <c r="L160">
        <v>-1188327.2325433199</v>
      </c>
      <c r="M160" t="s">
        <v>454</v>
      </c>
      <c r="N160">
        <v>36.859294730000002</v>
      </c>
      <c r="O160">
        <v>-34257.272851579997</v>
      </c>
    </row>
    <row r="161" spans="1:15" x14ac:dyDescent="0.25">
      <c r="A161" t="s">
        <v>452</v>
      </c>
      <c r="B161" t="s">
        <v>216</v>
      </c>
      <c r="C161">
        <v>2020</v>
      </c>
      <c r="D161">
        <v>5</v>
      </c>
      <c r="E161" t="s">
        <v>415</v>
      </c>
      <c r="F161" t="s">
        <v>434</v>
      </c>
      <c r="G161" t="s">
        <v>84</v>
      </c>
      <c r="H161" t="s">
        <v>436</v>
      </c>
      <c r="I161" t="s">
        <v>453</v>
      </c>
      <c r="J161" s="62">
        <v>39337.967609849999</v>
      </c>
      <c r="K161">
        <v>40.175110920000002</v>
      </c>
      <c r="L161">
        <v>-2116556.9682218698</v>
      </c>
      <c r="M161" t="s">
        <v>454</v>
      </c>
      <c r="N161">
        <v>36.859294730000002</v>
      </c>
      <c r="O161">
        <v>-41230.034107660002</v>
      </c>
    </row>
    <row r="162" spans="1:15" x14ac:dyDescent="0.25">
      <c r="A162" t="s">
        <v>452</v>
      </c>
      <c r="B162" t="s">
        <v>216</v>
      </c>
      <c r="C162">
        <v>2020</v>
      </c>
      <c r="D162">
        <v>5</v>
      </c>
      <c r="E162" t="s">
        <v>415</v>
      </c>
      <c r="F162" t="s">
        <v>434</v>
      </c>
      <c r="G162" t="s">
        <v>84</v>
      </c>
      <c r="H162" t="s">
        <v>437</v>
      </c>
      <c r="I162" t="s">
        <v>455</v>
      </c>
      <c r="J162" s="62">
        <v>10092.93128768</v>
      </c>
      <c r="K162">
        <v>40.913689689999998</v>
      </c>
      <c r="L162">
        <v>-557153.20155351004</v>
      </c>
      <c r="M162" t="s">
        <v>454</v>
      </c>
      <c r="N162">
        <v>36.859294730000002</v>
      </c>
      <c r="O162">
        <v>-10831.17839587</v>
      </c>
    </row>
    <row r="163" spans="1:15" x14ac:dyDescent="0.25">
      <c r="A163" t="s">
        <v>452</v>
      </c>
      <c r="B163" t="s">
        <v>216</v>
      </c>
      <c r="C163">
        <v>2020</v>
      </c>
      <c r="D163">
        <v>5</v>
      </c>
      <c r="E163" t="s">
        <v>415</v>
      </c>
      <c r="F163" t="s">
        <v>434</v>
      </c>
      <c r="G163" t="s">
        <v>84</v>
      </c>
      <c r="H163" t="s">
        <v>438</v>
      </c>
      <c r="I163" t="s">
        <v>456</v>
      </c>
      <c r="J163" s="62">
        <v>18455.619529790001</v>
      </c>
      <c r="K163">
        <v>39.377544129999997</v>
      </c>
      <c r="L163">
        <v>-980191.17886234995</v>
      </c>
      <c r="M163" t="s">
        <v>454</v>
      </c>
      <c r="N163">
        <v>36.859294730000002</v>
      </c>
      <c r="O163">
        <v>-19023.06741087</v>
      </c>
    </row>
    <row r="164" spans="1:15" x14ac:dyDescent="0.25">
      <c r="A164" t="s">
        <v>452</v>
      </c>
      <c r="B164" t="s">
        <v>126</v>
      </c>
      <c r="C164">
        <v>2018</v>
      </c>
      <c r="D164">
        <v>6</v>
      </c>
      <c r="E164" t="s">
        <v>415</v>
      </c>
      <c r="F164" t="s">
        <v>416</v>
      </c>
      <c r="G164" t="s">
        <v>84</v>
      </c>
      <c r="H164" t="s">
        <v>418</v>
      </c>
      <c r="I164" t="s">
        <v>453</v>
      </c>
      <c r="J164" s="62">
        <v>11658.39226284</v>
      </c>
      <c r="K164">
        <v>55.462908830000003</v>
      </c>
      <c r="L164">
        <v>-522373.92417761998</v>
      </c>
      <c r="M164" t="s">
        <v>454</v>
      </c>
      <c r="N164">
        <v>50.629417590000003</v>
      </c>
      <c r="O164">
        <v>-12308.22718233</v>
      </c>
    </row>
    <row r="165" spans="1:15" x14ac:dyDescent="0.25">
      <c r="A165" t="s">
        <v>452</v>
      </c>
      <c r="B165" t="s">
        <v>126</v>
      </c>
      <c r="C165">
        <v>2018</v>
      </c>
      <c r="D165">
        <v>6</v>
      </c>
      <c r="E165" t="s">
        <v>415</v>
      </c>
      <c r="F165" t="s">
        <v>416</v>
      </c>
      <c r="G165" t="s">
        <v>84</v>
      </c>
      <c r="H165" t="s">
        <v>426</v>
      </c>
      <c r="I165" t="s">
        <v>455</v>
      </c>
      <c r="J165" s="62">
        <v>2098.9114909499999</v>
      </c>
      <c r="K165">
        <v>55.443935260000003</v>
      </c>
      <c r="L165">
        <v>-96076.524122119998</v>
      </c>
      <c r="M165" t="s">
        <v>454</v>
      </c>
      <c r="N165">
        <v>50.629417590000003</v>
      </c>
      <c r="O165">
        <v>-2266.8590851899999</v>
      </c>
    </row>
    <row r="166" spans="1:15" x14ac:dyDescent="0.25">
      <c r="A166" t="s">
        <v>452</v>
      </c>
      <c r="B166" t="s">
        <v>126</v>
      </c>
      <c r="C166">
        <v>2018</v>
      </c>
      <c r="D166">
        <v>6</v>
      </c>
      <c r="E166" t="s">
        <v>415</v>
      </c>
      <c r="F166" t="s">
        <v>416</v>
      </c>
      <c r="G166" t="s">
        <v>84</v>
      </c>
      <c r="H166" t="s">
        <v>428</v>
      </c>
      <c r="I166" t="s">
        <v>456</v>
      </c>
      <c r="J166" s="62">
        <v>5495.6569612100002</v>
      </c>
      <c r="K166">
        <v>54.52333934</v>
      </c>
      <c r="L166">
        <v>-243626.42755915999</v>
      </c>
      <c r="M166" t="s">
        <v>454</v>
      </c>
      <c r="N166">
        <v>50.629417590000003</v>
      </c>
      <c r="O166">
        <v>-5780.5191184300002</v>
      </c>
    </row>
    <row r="167" spans="1:15" x14ac:dyDescent="0.25">
      <c r="A167" t="s">
        <v>452</v>
      </c>
      <c r="B167" t="s">
        <v>126</v>
      </c>
      <c r="C167">
        <v>2018</v>
      </c>
      <c r="D167">
        <v>6</v>
      </c>
      <c r="E167" t="s">
        <v>415</v>
      </c>
      <c r="F167" t="s">
        <v>429</v>
      </c>
      <c r="G167" t="s">
        <v>84</v>
      </c>
      <c r="H167" t="s">
        <v>431</v>
      </c>
      <c r="I167" t="s">
        <v>453</v>
      </c>
      <c r="J167" s="62">
        <v>16856.795818170001</v>
      </c>
      <c r="K167">
        <v>55.462908830000003</v>
      </c>
      <c r="L167">
        <v>-1064237.9085783099</v>
      </c>
      <c r="M167" t="s">
        <v>454</v>
      </c>
      <c r="N167">
        <v>50.629417590000003</v>
      </c>
      <c r="O167">
        <v>-18816.836342039998</v>
      </c>
    </row>
    <row r="168" spans="1:15" x14ac:dyDescent="0.25">
      <c r="A168" t="s">
        <v>452</v>
      </c>
      <c r="B168" t="s">
        <v>126</v>
      </c>
      <c r="C168">
        <v>2018</v>
      </c>
      <c r="D168">
        <v>6</v>
      </c>
      <c r="E168" t="s">
        <v>415</v>
      </c>
      <c r="F168" t="s">
        <v>429</v>
      </c>
      <c r="G168" t="s">
        <v>84</v>
      </c>
      <c r="H168" t="s">
        <v>432</v>
      </c>
      <c r="I168" t="s">
        <v>455</v>
      </c>
      <c r="J168" s="62">
        <v>2488.6536909400002</v>
      </c>
      <c r="K168">
        <v>55.443935260000003</v>
      </c>
      <c r="L168">
        <v>-154747.60121622999</v>
      </c>
      <c r="M168" t="s">
        <v>454</v>
      </c>
      <c r="N168">
        <v>50.629417590000003</v>
      </c>
      <c r="O168">
        <v>-2754.0249714199999</v>
      </c>
    </row>
    <row r="169" spans="1:15" x14ac:dyDescent="0.25">
      <c r="A169" t="s">
        <v>452</v>
      </c>
      <c r="B169" t="s">
        <v>126</v>
      </c>
      <c r="C169">
        <v>2018</v>
      </c>
      <c r="D169">
        <v>6</v>
      </c>
      <c r="E169" t="s">
        <v>415</v>
      </c>
      <c r="F169" t="s">
        <v>429</v>
      </c>
      <c r="G169" t="s">
        <v>84</v>
      </c>
      <c r="H169" t="s">
        <v>433</v>
      </c>
      <c r="I169" t="s">
        <v>456</v>
      </c>
      <c r="J169" s="62">
        <v>6661.05420435</v>
      </c>
      <c r="K169">
        <v>54.52333934</v>
      </c>
      <c r="L169">
        <v>-408735.91001485998</v>
      </c>
      <c r="M169" t="s">
        <v>454</v>
      </c>
      <c r="N169">
        <v>50.629417590000003</v>
      </c>
      <c r="O169">
        <v>-7308.6661870999997</v>
      </c>
    </row>
    <row r="170" spans="1:15" x14ac:dyDescent="0.25">
      <c r="A170" t="s">
        <v>452</v>
      </c>
      <c r="B170" t="s">
        <v>126</v>
      </c>
      <c r="C170">
        <v>2018</v>
      </c>
      <c r="D170">
        <v>6</v>
      </c>
      <c r="E170" t="s">
        <v>415</v>
      </c>
      <c r="F170" t="s">
        <v>434</v>
      </c>
      <c r="G170" t="s">
        <v>84</v>
      </c>
      <c r="H170" t="s">
        <v>436</v>
      </c>
      <c r="I170" t="s">
        <v>453</v>
      </c>
      <c r="J170" s="62">
        <v>7181.62083876</v>
      </c>
      <c r="K170">
        <v>55.462908830000003</v>
      </c>
      <c r="L170">
        <v>-450376.68440731999</v>
      </c>
      <c r="M170" t="s">
        <v>454</v>
      </c>
      <c r="N170">
        <v>50.629417590000003</v>
      </c>
      <c r="O170">
        <v>-7796.0650238099997</v>
      </c>
    </row>
    <row r="171" spans="1:15" x14ac:dyDescent="0.25">
      <c r="A171" t="s">
        <v>452</v>
      </c>
      <c r="B171" t="s">
        <v>126</v>
      </c>
      <c r="C171">
        <v>2018</v>
      </c>
      <c r="D171">
        <v>6</v>
      </c>
      <c r="E171" t="s">
        <v>415</v>
      </c>
      <c r="F171" t="s">
        <v>434</v>
      </c>
      <c r="G171" t="s">
        <v>84</v>
      </c>
      <c r="H171" t="s">
        <v>437</v>
      </c>
      <c r="I171" t="s">
        <v>455</v>
      </c>
      <c r="J171" s="62">
        <v>1339.0643030599999</v>
      </c>
      <c r="K171">
        <v>55.443935260000003</v>
      </c>
      <c r="L171">
        <v>-83559.656796249998</v>
      </c>
      <c r="M171" t="s">
        <v>454</v>
      </c>
      <c r="N171">
        <v>50.629417590000003</v>
      </c>
      <c r="O171">
        <v>-1452.84372661</v>
      </c>
    </row>
    <row r="172" spans="1:15" x14ac:dyDescent="0.25">
      <c r="A172" t="s">
        <v>452</v>
      </c>
      <c r="B172" t="s">
        <v>126</v>
      </c>
      <c r="C172">
        <v>2018</v>
      </c>
      <c r="D172">
        <v>6</v>
      </c>
      <c r="E172" t="s">
        <v>415</v>
      </c>
      <c r="F172" t="s">
        <v>434</v>
      </c>
      <c r="G172" t="s">
        <v>84</v>
      </c>
      <c r="H172" t="s">
        <v>438</v>
      </c>
      <c r="I172" t="s">
        <v>456</v>
      </c>
      <c r="J172" s="62">
        <v>3789.5880287700002</v>
      </c>
      <c r="K172">
        <v>54.52333934</v>
      </c>
      <c r="L172">
        <v>-232116.38822277999</v>
      </c>
      <c r="M172" t="s">
        <v>454</v>
      </c>
      <c r="N172">
        <v>50.629417590000003</v>
      </c>
      <c r="O172">
        <v>-4020.7243229400001</v>
      </c>
    </row>
    <row r="173" spans="1:15" x14ac:dyDescent="0.25">
      <c r="A173" t="s">
        <v>452</v>
      </c>
      <c r="B173" t="s">
        <v>153</v>
      </c>
      <c r="C173">
        <v>2019</v>
      </c>
      <c r="D173">
        <v>6</v>
      </c>
      <c r="E173" t="s">
        <v>415</v>
      </c>
      <c r="F173" t="s">
        <v>416</v>
      </c>
      <c r="G173" t="s">
        <v>84</v>
      </c>
      <c r="H173" t="s">
        <v>418</v>
      </c>
      <c r="I173" t="s">
        <v>453</v>
      </c>
      <c r="J173" s="62">
        <v>19084.629832400002</v>
      </c>
      <c r="K173">
        <v>38.023354060000003</v>
      </c>
      <c r="L173">
        <v>-696695.80967071</v>
      </c>
      <c r="M173" t="s">
        <v>454</v>
      </c>
      <c r="N173">
        <v>36.496354269999998</v>
      </c>
      <c r="O173">
        <v>-19717.123673260001</v>
      </c>
    </row>
    <row r="174" spans="1:15" x14ac:dyDescent="0.25">
      <c r="A174" t="s">
        <v>452</v>
      </c>
      <c r="B174" t="s">
        <v>153</v>
      </c>
      <c r="C174">
        <v>2019</v>
      </c>
      <c r="D174">
        <v>6</v>
      </c>
      <c r="E174" t="s">
        <v>415</v>
      </c>
      <c r="F174" t="s">
        <v>416</v>
      </c>
      <c r="G174" t="s">
        <v>84</v>
      </c>
      <c r="H174" t="s">
        <v>426</v>
      </c>
      <c r="I174" t="s">
        <v>455</v>
      </c>
      <c r="J174" s="62">
        <v>3737.5105907799998</v>
      </c>
      <c r="K174">
        <v>39.299068699999999</v>
      </c>
      <c r="L174">
        <v>-140779.66208514001</v>
      </c>
      <c r="M174" t="s">
        <v>454</v>
      </c>
      <c r="N174">
        <v>36.496354269999998</v>
      </c>
      <c r="O174">
        <v>-3990.0716482799999</v>
      </c>
    </row>
    <row r="175" spans="1:15" x14ac:dyDescent="0.25">
      <c r="A175" t="s">
        <v>452</v>
      </c>
      <c r="B175" t="s">
        <v>153</v>
      </c>
      <c r="C175">
        <v>2019</v>
      </c>
      <c r="D175">
        <v>6</v>
      </c>
      <c r="E175" t="s">
        <v>415</v>
      </c>
      <c r="F175" t="s">
        <v>416</v>
      </c>
      <c r="G175" t="s">
        <v>84</v>
      </c>
      <c r="H175" t="s">
        <v>428</v>
      </c>
      <c r="I175" t="s">
        <v>456</v>
      </c>
      <c r="J175" s="62">
        <v>10109.98774477</v>
      </c>
      <c r="K175">
        <v>37.321784630000003</v>
      </c>
      <c r="L175">
        <v>-364929.76850528998</v>
      </c>
      <c r="M175" t="s">
        <v>454</v>
      </c>
      <c r="N175">
        <v>36.496354269999998</v>
      </c>
      <c r="O175">
        <v>-10326.84174489</v>
      </c>
    </row>
    <row r="176" spans="1:15" x14ac:dyDescent="0.25">
      <c r="A176" t="s">
        <v>452</v>
      </c>
      <c r="B176" t="s">
        <v>153</v>
      </c>
      <c r="C176">
        <v>2019</v>
      </c>
      <c r="D176">
        <v>6</v>
      </c>
      <c r="E176" t="s">
        <v>415</v>
      </c>
      <c r="F176" t="s">
        <v>429</v>
      </c>
      <c r="G176" t="s">
        <v>84</v>
      </c>
      <c r="H176" t="s">
        <v>431</v>
      </c>
      <c r="I176" t="s">
        <v>453</v>
      </c>
      <c r="J176" s="62">
        <v>28695.154490630001</v>
      </c>
      <c r="K176">
        <v>38.023354060000003</v>
      </c>
      <c r="L176">
        <v>-1124762.60344655</v>
      </c>
      <c r="M176" t="s">
        <v>454</v>
      </c>
      <c r="N176">
        <v>36.496354269999998</v>
      </c>
      <c r="O176">
        <v>-30332.553880920001</v>
      </c>
    </row>
    <row r="177" spans="1:15" x14ac:dyDescent="0.25">
      <c r="A177" t="s">
        <v>452</v>
      </c>
      <c r="B177" t="s">
        <v>153</v>
      </c>
      <c r="C177">
        <v>2019</v>
      </c>
      <c r="D177">
        <v>6</v>
      </c>
      <c r="E177" t="s">
        <v>415</v>
      </c>
      <c r="F177" t="s">
        <v>429</v>
      </c>
      <c r="G177" t="s">
        <v>84</v>
      </c>
      <c r="H177" t="s">
        <v>432</v>
      </c>
      <c r="I177" t="s">
        <v>455</v>
      </c>
      <c r="J177" s="62">
        <v>4595.8862216500002</v>
      </c>
      <c r="K177">
        <v>39.299068699999999</v>
      </c>
      <c r="L177">
        <v>-187092.87000301</v>
      </c>
      <c r="M177" t="s">
        <v>454</v>
      </c>
      <c r="N177">
        <v>36.496354269999998</v>
      </c>
      <c r="O177">
        <v>-5058.3050332000003</v>
      </c>
    </row>
    <row r="178" spans="1:15" x14ac:dyDescent="0.25">
      <c r="A178" t="s">
        <v>452</v>
      </c>
      <c r="B178" t="s">
        <v>153</v>
      </c>
      <c r="C178">
        <v>2019</v>
      </c>
      <c r="D178">
        <v>6</v>
      </c>
      <c r="E178" t="s">
        <v>415</v>
      </c>
      <c r="F178" t="s">
        <v>429</v>
      </c>
      <c r="G178" t="s">
        <v>84</v>
      </c>
      <c r="H178" t="s">
        <v>433</v>
      </c>
      <c r="I178" t="s">
        <v>456</v>
      </c>
      <c r="J178" s="62">
        <v>13417.61603861</v>
      </c>
      <c r="K178">
        <v>37.321784630000003</v>
      </c>
      <c r="L178">
        <v>-512129.84037383</v>
      </c>
      <c r="M178" t="s">
        <v>454</v>
      </c>
      <c r="N178">
        <v>36.496354269999998</v>
      </c>
      <c r="O178">
        <v>-13821.26307852</v>
      </c>
    </row>
    <row r="179" spans="1:15" x14ac:dyDescent="0.25">
      <c r="A179" t="s">
        <v>452</v>
      </c>
      <c r="B179" t="s">
        <v>153</v>
      </c>
      <c r="C179">
        <v>2019</v>
      </c>
      <c r="D179">
        <v>6</v>
      </c>
      <c r="E179" t="s">
        <v>415</v>
      </c>
      <c r="F179" t="s">
        <v>434</v>
      </c>
      <c r="G179" t="s">
        <v>84</v>
      </c>
      <c r="H179" t="s">
        <v>436</v>
      </c>
      <c r="I179" t="s">
        <v>453</v>
      </c>
      <c r="J179" s="62">
        <v>13317.439561159999</v>
      </c>
      <c r="K179">
        <v>38.023354060000003</v>
      </c>
      <c r="L179">
        <v>-524792.72195194999</v>
      </c>
      <c r="M179" t="s">
        <v>454</v>
      </c>
      <c r="N179">
        <v>36.496354269999998</v>
      </c>
      <c r="O179">
        <v>-13705.30720211</v>
      </c>
    </row>
    <row r="180" spans="1:15" x14ac:dyDescent="0.25">
      <c r="A180" t="s">
        <v>452</v>
      </c>
      <c r="B180" t="s">
        <v>153</v>
      </c>
      <c r="C180">
        <v>2019</v>
      </c>
      <c r="D180">
        <v>6</v>
      </c>
      <c r="E180" t="s">
        <v>415</v>
      </c>
      <c r="F180" t="s">
        <v>434</v>
      </c>
      <c r="G180" t="s">
        <v>84</v>
      </c>
      <c r="H180" t="s">
        <v>437</v>
      </c>
      <c r="I180" t="s">
        <v>455</v>
      </c>
      <c r="J180" s="62">
        <v>2390.3421406799998</v>
      </c>
      <c r="K180">
        <v>39.299068699999999</v>
      </c>
      <c r="L180">
        <v>-96058.851352629994</v>
      </c>
      <c r="M180" t="s">
        <v>454</v>
      </c>
      <c r="N180">
        <v>36.496354269999998</v>
      </c>
      <c r="O180">
        <v>-2507.0816822400002</v>
      </c>
    </row>
    <row r="181" spans="1:15" x14ac:dyDescent="0.25">
      <c r="A181" t="s">
        <v>452</v>
      </c>
      <c r="B181" t="s">
        <v>153</v>
      </c>
      <c r="C181">
        <v>2019</v>
      </c>
      <c r="D181">
        <v>6</v>
      </c>
      <c r="E181" t="s">
        <v>415</v>
      </c>
      <c r="F181" t="s">
        <v>434</v>
      </c>
      <c r="G181" t="s">
        <v>84</v>
      </c>
      <c r="H181" t="s">
        <v>438</v>
      </c>
      <c r="I181" t="s">
        <v>456</v>
      </c>
      <c r="J181" s="62">
        <v>6712.9302553899997</v>
      </c>
      <c r="K181">
        <v>37.321784630000003</v>
      </c>
      <c r="L181">
        <v>-260199.07910840001</v>
      </c>
      <c r="M181" t="s">
        <v>454</v>
      </c>
      <c r="N181">
        <v>36.496354269999998</v>
      </c>
      <c r="O181">
        <v>-6786.2071164500003</v>
      </c>
    </row>
    <row r="182" spans="1:15" x14ac:dyDescent="0.25">
      <c r="A182" t="s">
        <v>452</v>
      </c>
      <c r="B182" t="s">
        <v>223</v>
      </c>
      <c r="C182">
        <v>2020</v>
      </c>
      <c r="D182">
        <v>6</v>
      </c>
      <c r="E182" t="s">
        <v>415</v>
      </c>
      <c r="F182" t="s">
        <v>416</v>
      </c>
      <c r="G182" t="s">
        <v>84</v>
      </c>
      <c r="H182" t="s">
        <v>418</v>
      </c>
      <c r="I182" t="s">
        <v>453</v>
      </c>
      <c r="J182" s="62">
        <v>40223.700239999998</v>
      </c>
      <c r="K182">
        <v>46.802534059999999</v>
      </c>
      <c r="L182">
        <v>-1322347.4578343399</v>
      </c>
      <c r="M182" t="s">
        <v>454</v>
      </c>
      <c r="N182">
        <v>33.908816469999998</v>
      </c>
      <c r="O182">
        <v>-43717.697438939998</v>
      </c>
    </row>
    <row r="183" spans="1:15" x14ac:dyDescent="0.25">
      <c r="A183" t="s">
        <v>452</v>
      </c>
      <c r="B183" t="s">
        <v>223</v>
      </c>
      <c r="C183">
        <v>2020</v>
      </c>
      <c r="D183">
        <v>6</v>
      </c>
      <c r="E183" t="s">
        <v>415</v>
      </c>
      <c r="F183" t="s">
        <v>416</v>
      </c>
      <c r="G183" t="s">
        <v>84</v>
      </c>
      <c r="H183" t="s">
        <v>426</v>
      </c>
      <c r="I183" t="s">
        <v>455</v>
      </c>
      <c r="J183" s="62">
        <v>8606.6010247199993</v>
      </c>
      <c r="K183">
        <v>46.765641770000002</v>
      </c>
      <c r="L183">
        <v>-282636.59143946</v>
      </c>
      <c r="M183" t="s">
        <v>454</v>
      </c>
      <c r="N183">
        <v>33.908816469999998</v>
      </c>
      <c r="O183">
        <v>-9390.6125812400005</v>
      </c>
    </row>
    <row r="184" spans="1:15" x14ac:dyDescent="0.25">
      <c r="A184" t="s">
        <v>452</v>
      </c>
      <c r="B184" t="s">
        <v>223</v>
      </c>
      <c r="C184">
        <v>2020</v>
      </c>
      <c r="D184">
        <v>6</v>
      </c>
      <c r="E184" t="s">
        <v>415</v>
      </c>
      <c r="F184" t="s">
        <v>416</v>
      </c>
      <c r="G184" t="s">
        <v>84</v>
      </c>
      <c r="H184" t="s">
        <v>428</v>
      </c>
      <c r="I184" t="s">
        <v>456</v>
      </c>
      <c r="J184" s="62">
        <v>25267.476182769999</v>
      </c>
      <c r="K184">
        <v>45.165299109999999</v>
      </c>
      <c r="L184">
        <v>-801439.54166962998</v>
      </c>
      <c r="M184" t="s">
        <v>454</v>
      </c>
      <c r="N184">
        <v>33.908816469999998</v>
      </c>
      <c r="O184">
        <v>-26691.759262060001</v>
      </c>
    </row>
    <row r="185" spans="1:15" x14ac:dyDescent="0.25">
      <c r="A185" t="s">
        <v>452</v>
      </c>
      <c r="B185" t="s">
        <v>223</v>
      </c>
      <c r="C185">
        <v>2020</v>
      </c>
      <c r="D185">
        <v>6</v>
      </c>
      <c r="E185" t="s">
        <v>415</v>
      </c>
      <c r="F185" t="s">
        <v>429</v>
      </c>
      <c r="G185" t="s">
        <v>84</v>
      </c>
      <c r="H185" t="s">
        <v>431</v>
      </c>
      <c r="I185" t="s">
        <v>453</v>
      </c>
      <c r="J185" s="62">
        <v>60180.10028803</v>
      </c>
      <c r="K185">
        <v>46.802534059999999</v>
      </c>
      <c r="L185">
        <v>-3591558.8020457402</v>
      </c>
      <c r="M185" t="s">
        <v>454</v>
      </c>
      <c r="N185">
        <v>33.908816469999998</v>
      </c>
      <c r="O185">
        <v>-119825.7267932</v>
      </c>
    </row>
    <row r="186" spans="1:15" x14ac:dyDescent="0.25">
      <c r="A186" t="s">
        <v>452</v>
      </c>
      <c r="B186" t="s">
        <v>223</v>
      </c>
      <c r="C186">
        <v>2020</v>
      </c>
      <c r="D186">
        <v>6</v>
      </c>
      <c r="E186" t="s">
        <v>415</v>
      </c>
      <c r="F186" t="s">
        <v>429</v>
      </c>
      <c r="G186" t="s">
        <v>84</v>
      </c>
      <c r="H186" t="s">
        <v>432</v>
      </c>
      <c r="I186" t="s">
        <v>455</v>
      </c>
      <c r="J186" s="62">
        <v>10522.82184076</v>
      </c>
      <c r="K186">
        <v>46.765641770000002</v>
      </c>
      <c r="L186">
        <v>-618978.12718525995</v>
      </c>
      <c r="M186" t="s">
        <v>454</v>
      </c>
      <c r="N186">
        <v>33.908816469999998</v>
      </c>
      <c r="O186">
        <v>-20575.179258280001</v>
      </c>
    </row>
    <row r="187" spans="1:15" x14ac:dyDescent="0.25">
      <c r="A187" t="s">
        <v>452</v>
      </c>
      <c r="B187" t="s">
        <v>223</v>
      </c>
      <c r="C187">
        <v>2020</v>
      </c>
      <c r="D187">
        <v>6</v>
      </c>
      <c r="E187" t="s">
        <v>415</v>
      </c>
      <c r="F187" t="s">
        <v>429</v>
      </c>
      <c r="G187" t="s">
        <v>84</v>
      </c>
      <c r="H187" t="s">
        <v>433</v>
      </c>
      <c r="I187" t="s">
        <v>456</v>
      </c>
      <c r="J187" s="62">
        <v>33578.321915640001</v>
      </c>
      <c r="K187">
        <v>45.165299109999999</v>
      </c>
      <c r="L187">
        <v>-1939584.5577974501</v>
      </c>
      <c r="M187" t="s">
        <v>454</v>
      </c>
      <c r="N187">
        <v>33.908816469999998</v>
      </c>
      <c r="O187">
        <v>-64769.962888399998</v>
      </c>
    </row>
    <row r="188" spans="1:15" x14ac:dyDescent="0.25">
      <c r="A188" t="s">
        <v>452</v>
      </c>
      <c r="B188" t="s">
        <v>223</v>
      </c>
      <c r="C188">
        <v>2020</v>
      </c>
      <c r="D188">
        <v>6</v>
      </c>
      <c r="E188" t="s">
        <v>415</v>
      </c>
      <c r="F188" t="s">
        <v>434</v>
      </c>
      <c r="G188" t="s">
        <v>84</v>
      </c>
      <c r="H188" t="s">
        <v>436</v>
      </c>
      <c r="I188" t="s">
        <v>453</v>
      </c>
      <c r="J188" s="62">
        <v>32063.902913409998</v>
      </c>
      <c r="K188">
        <v>46.802534059999999</v>
      </c>
      <c r="L188">
        <v>-1626926.1702796</v>
      </c>
      <c r="M188" t="s">
        <v>454</v>
      </c>
      <c r="N188">
        <v>33.908816469999998</v>
      </c>
      <c r="O188">
        <v>-34915.10881297</v>
      </c>
    </row>
    <row r="189" spans="1:15" x14ac:dyDescent="0.25">
      <c r="A189" t="s">
        <v>452</v>
      </c>
      <c r="B189" t="s">
        <v>223</v>
      </c>
      <c r="C189">
        <v>2020</v>
      </c>
      <c r="D189">
        <v>6</v>
      </c>
      <c r="E189" t="s">
        <v>415</v>
      </c>
      <c r="F189" t="s">
        <v>434</v>
      </c>
      <c r="G189" t="s">
        <v>84</v>
      </c>
      <c r="H189" t="s">
        <v>437</v>
      </c>
      <c r="I189" t="s">
        <v>455</v>
      </c>
      <c r="J189" s="62">
        <v>5969.5231387100002</v>
      </c>
      <c r="K189">
        <v>46.765641770000002</v>
      </c>
      <c r="L189">
        <v>-303888.37061490997</v>
      </c>
      <c r="M189" t="s">
        <v>454</v>
      </c>
      <c r="N189">
        <v>33.908816469999998</v>
      </c>
      <c r="O189">
        <v>-6499.10438273</v>
      </c>
    </row>
    <row r="190" spans="1:15" x14ac:dyDescent="0.25">
      <c r="A190" t="s">
        <v>452</v>
      </c>
      <c r="B190" t="s">
        <v>223</v>
      </c>
      <c r="C190">
        <v>2020</v>
      </c>
      <c r="D190">
        <v>6</v>
      </c>
      <c r="E190" t="s">
        <v>415</v>
      </c>
      <c r="F190" t="s">
        <v>434</v>
      </c>
      <c r="G190" t="s">
        <v>84</v>
      </c>
      <c r="H190" t="s">
        <v>438</v>
      </c>
      <c r="I190" t="s">
        <v>456</v>
      </c>
      <c r="J190" s="62">
        <v>17502.872386039999</v>
      </c>
      <c r="K190">
        <v>45.165299109999999</v>
      </c>
      <c r="L190">
        <v>-861571.61784603004</v>
      </c>
      <c r="M190" t="s">
        <v>454</v>
      </c>
      <c r="N190">
        <v>33.908816469999998</v>
      </c>
      <c r="O190">
        <v>-18462.53412299</v>
      </c>
    </row>
    <row r="191" spans="1:15" x14ac:dyDescent="0.25">
      <c r="A191" t="s">
        <v>452</v>
      </c>
      <c r="B191" t="s">
        <v>139</v>
      </c>
      <c r="C191">
        <v>2018</v>
      </c>
      <c r="D191">
        <v>7</v>
      </c>
      <c r="E191" t="s">
        <v>415</v>
      </c>
      <c r="F191" t="s">
        <v>416</v>
      </c>
      <c r="G191" t="s">
        <v>84</v>
      </c>
      <c r="H191" t="s">
        <v>418</v>
      </c>
      <c r="I191" t="s">
        <v>453</v>
      </c>
      <c r="J191" s="62">
        <v>11223.753834020001</v>
      </c>
      <c r="K191">
        <v>45.850782389999999</v>
      </c>
      <c r="L191">
        <v>-488210.65671080002</v>
      </c>
      <c r="M191" t="s">
        <v>454</v>
      </c>
      <c r="N191">
        <v>44.878492510000001</v>
      </c>
      <c r="O191">
        <v>-11421.38133835</v>
      </c>
    </row>
    <row r="192" spans="1:15" x14ac:dyDescent="0.25">
      <c r="A192" t="s">
        <v>452</v>
      </c>
      <c r="B192" t="s">
        <v>139</v>
      </c>
      <c r="C192">
        <v>2018</v>
      </c>
      <c r="D192">
        <v>7</v>
      </c>
      <c r="E192" t="s">
        <v>415</v>
      </c>
      <c r="F192" t="s">
        <v>416</v>
      </c>
      <c r="G192" t="s">
        <v>84</v>
      </c>
      <c r="H192" t="s">
        <v>426</v>
      </c>
      <c r="I192" t="s">
        <v>455</v>
      </c>
      <c r="J192" s="62">
        <v>2084.8163360600001</v>
      </c>
      <c r="K192">
        <v>48.160085670000001</v>
      </c>
      <c r="L192">
        <v>-94408.576016899999</v>
      </c>
      <c r="M192" t="s">
        <v>454</v>
      </c>
      <c r="N192">
        <v>44.878492510000001</v>
      </c>
      <c r="O192">
        <v>-2216.4083068599998</v>
      </c>
    </row>
    <row r="193" spans="1:15" x14ac:dyDescent="0.25">
      <c r="A193" t="s">
        <v>452</v>
      </c>
      <c r="B193" t="s">
        <v>139</v>
      </c>
      <c r="C193">
        <v>2018</v>
      </c>
      <c r="D193">
        <v>7</v>
      </c>
      <c r="E193" t="s">
        <v>415</v>
      </c>
      <c r="F193" t="s">
        <v>416</v>
      </c>
      <c r="G193" t="s">
        <v>84</v>
      </c>
      <c r="H193" t="s">
        <v>428</v>
      </c>
      <c r="I193" t="s">
        <v>456</v>
      </c>
      <c r="J193" s="62">
        <v>5720.8248127400002</v>
      </c>
      <c r="K193">
        <v>45.632513299999999</v>
      </c>
      <c r="L193">
        <v>-248952.42073322</v>
      </c>
      <c r="M193" t="s">
        <v>454</v>
      </c>
      <c r="N193">
        <v>44.878492510000001</v>
      </c>
      <c r="O193">
        <v>-5820.4651057600004</v>
      </c>
    </row>
    <row r="194" spans="1:15" x14ac:dyDescent="0.25">
      <c r="A194" t="s">
        <v>452</v>
      </c>
      <c r="B194" t="s">
        <v>139</v>
      </c>
      <c r="C194">
        <v>2018</v>
      </c>
      <c r="D194">
        <v>7</v>
      </c>
      <c r="E194" t="s">
        <v>415</v>
      </c>
      <c r="F194" t="s">
        <v>429</v>
      </c>
      <c r="G194" t="s">
        <v>84</v>
      </c>
      <c r="H194" t="s">
        <v>431</v>
      </c>
      <c r="I194" t="s">
        <v>453</v>
      </c>
      <c r="J194" s="62">
        <v>15788.494892889999</v>
      </c>
      <c r="K194">
        <v>45.850782389999999</v>
      </c>
      <c r="L194">
        <v>-750875.87585464003</v>
      </c>
      <c r="M194" t="s">
        <v>454</v>
      </c>
      <c r="N194">
        <v>44.878492510000001</v>
      </c>
      <c r="O194">
        <v>-16213.501070800001</v>
      </c>
    </row>
    <row r="195" spans="1:15" x14ac:dyDescent="0.25">
      <c r="A195" t="s">
        <v>452</v>
      </c>
      <c r="B195" t="s">
        <v>139</v>
      </c>
      <c r="C195">
        <v>2018</v>
      </c>
      <c r="D195">
        <v>7</v>
      </c>
      <c r="E195" t="s">
        <v>415</v>
      </c>
      <c r="F195" t="s">
        <v>429</v>
      </c>
      <c r="G195" t="s">
        <v>84</v>
      </c>
      <c r="H195" t="s">
        <v>432</v>
      </c>
      <c r="I195" t="s">
        <v>455</v>
      </c>
      <c r="J195" s="62">
        <v>2450.5280441</v>
      </c>
      <c r="K195">
        <v>48.160085670000001</v>
      </c>
      <c r="L195">
        <v>-121082.48372773999</v>
      </c>
      <c r="M195" t="s">
        <v>454</v>
      </c>
      <c r="N195">
        <v>44.878492510000001</v>
      </c>
      <c r="O195">
        <v>-2641.1505194000001</v>
      </c>
    </row>
    <row r="196" spans="1:15" x14ac:dyDescent="0.25">
      <c r="A196" t="s">
        <v>452</v>
      </c>
      <c r="B196" t="s">
        <v>139</v>
      </c>
      <c r="C196">
        <v>2018</v>
      </c>
      <c r="D196">
        <v>7</v>
      </c>
      <c r="E196" t="s">
        <v>415</v>
      </c>
      <c r="F196" t="s">
        <v>429</v>
      </c>
      <c r="G196" t="s">
        <v>84</v>
      </c>
      <c r="H196" t="s">
        <v>433</v>
      </c>
      <c r="I196" t="s">
        <v>456</v>
      </c>
      <c r="J196" s="62">
        <v>6855.1728169300004</v>
      </c>
      <c r="K196">
        <v>45.632513299999999</v>
      </c>
      <c r="L196">
        <v>-318855.48146521999</v>
      </c>
      <c r="M196" t="s">
        <v>454</v>
      </c>
      <c r="N196">
        <v>44.878492510000001</v>
      </c>
      <c r="O196">
        <v>-6976.2200829200001</v>
      </c>
    </row>
    <row r="197" spans="1:15" x14ac:dyDescent="0.25">
      <c r="A197" t="s">
        <v>452</v>
      </c>
      <c r="B197" t="s">
        <v>139</v>
      </c>
      <c r="C197">
        <v>2018</v>
      </c>
      <c r="D197">
        <v>7</v>
      </c>
      <c r="E197" t="s">
        <v>415</v>
      </c>
      <c r="F197" t="s">
        <v>434</v>
      </c>
      <c r="G197" t="s">
        <v>84</v>
      </c>
      <c r="H197" t="s">
        <v>436</v>
      </c>
      <c r="I197" t="s">
        <v>453</v>
      </c>
      <c r="J197" s="62">
        <v>7322.4428039699997</v>
      </c>
      <c r="K197">
        <v>45.850782389999999</v>
      </c>
      <c r="L197">
        <v>-355595.31934052001</v>
      </c>
      <c r="M197" t="s">
        <v>454</v>
      </c>
      <c r="N197">
        <v>44.878492510000001</v>
      </c>
      <c r="O197">
        <v>-7417.0992841099996</v>
      </c>
    </row>
    <row r="198" spans="1:15" x14ac:dyDescent="0.25">
      <c r="A198" t="s">
        <v>452</v>
      </c>
      <c r="B198" t="s">
        <v>139</v>
      </c>
      <c r="C198">
        <v>2018</v>
      </c>
      <c r="D198">
        <v>7</v>
      </c>
      <c r="E198" t="s">
        <v>415</v>
      </c>
      <c r="F198" t="s">
        <v>434</v>
      </c>
      <c r="G198" t="s">
        <v>84</v>
      </c>
      <c r="H198" t="s">
        <v>437</v>
      </c>
      <c r="I198" t="s">
        <v>455</v>
      </c>
      <c r="J198" s="62">
        <v>1379.9471952199999</v>
      </c>
      <c r="K198">
        <v>48.160085670000001</v>
      </c>
      <c r="L198">
        <v>-71153.280159350004</v>
      </c>
      <c r="M198" t="s">
        <v>454</v>
      </c>
      <c r="N198">
        <v>44.878492510000001</v>
      </c>
      <c r="O198">
        <v>-1486.08162085</v>
      </c>
    </row>
    <row r="199" spans="1:15" x14ac:dyDescent="0.25">
      <c r="A199" t="s">
        <v>452</v>
      </c>
      <c r="B199" t="s">
        <v>139</v>
      </c>
      <c r="C199">
        <v>2018</v>
      </c>
      <c r="D199">
        <v>7</v>
      </c>
      <c r="E199" t="s">
        <v>415</v>
      </c>
      <c r="F199" t="s">
        <v>434</v>
      </c>
      <c r="G199" t="s">
        <v>84</v>
      </c>
      <c r="H199" t="s">
        <v>438</v>
      </c>
      <c r="I199" t="s">
        <v>456</v>
      </c>
      <c r="J199" s="62">
        <v>4009.5273123500001</v>
      </c>
      <c r="K199">
        <v>45.632513299999999</v>
      </c>
      <c r="L199">
        <v>-193589.94120818001</v>
      </c>
      <c r="M199" t="s">
        <v>454</v>
      </c>
      <c r="N199">
        <v>44.878492510000001</v>
      </c>
      <c r="O199">
        <v>-4051.9258086899999</v>
      </c>
    </row>
    <row r="200" spans="1:15" x14ac:dyDescent="0.25">
      <c r="A200" t="s">
        <v>452</v>
      </c>
      <c r="B200" t="s">
        <v>146</v>
      </c>
      <c r="C200">
        <v>2019</v>
      </c>
      <c r="D200">
        <v>7</v>
      </c>
      <c r="E200" t="s">
        <v>415</v>
      </c>
      <c r="F200" t="s">
        <v>416</v>
      </c>
      <c r="G200" t="s">
        <v>84</v>
      </c>
      <c r="H200" t="s">
        <v>418</v>
      </c>
      <c r="I200" t="s">
        <v>453</v>
      </c>
      <c r="J200" s="62">
        <v>18549.580854709999</v>
      </c>
      <c r="K200">
        <v>35.419128809999997</v>
      </c>
      <c r="L200">
        <v>-629913.94311739004</v>
      </c>
      <c r="M200" t="s">
        <v>454</v>
      </c>
      <c r="N200">
        <v>33.973087700000001</v>
      </c>
      <c r="O200">
        <v>-19071.96514136</v>
      </c>
    </row>
    <row r="201" spans="1:15" x14ac:dyDescent="0.25">
      <c r="A201" t="s">
        <v>452</v>
      </c>
      <c r="B201" t="s">
        <v>146</v>
      </c>
      <c r="C201">
        <v>2019</v>
      </c>
      <c r="D201">
        <v>7</v>
      </c>
      <c r="E201" t="s">
        <v>415</v>
      </c>
      <c r="F201" t="s">
        <v>416</v>
      </c>
      <c r="G201" t="s">
        <v>84</v>
      </c>
      <c r="H201" t="s">
        <v>426</v>
      </c>
      <c r="I201" t="s">
        <v>455</v>
      </c>
      <c r="J201" s="62">
        <v>3883.16640091</v>
      </c>
      <c r="K201">
        <v>36.175786219999999</v>
      </c>
      <c r="L201">
        <v>-135740.51787054999</v>
      </c>
      <c r="M201" t="s">
        <v>454</v>
      </c>
      <c r="N201">
        <v>33.973087700000001</v>
      </c>
      <c r="O201">
        <v>-4118.2382621699999</v>
      </c>
    </row>
    <row r="202" spans="1:15" x14ac:dyDescent="0.25">
      <c r="A202" t="s">
        <v>452</v>
      </c>
      <c r="B202" t="s">
        <v>146</v>
      </c>
      <c r="C202">
        <v>2019</v>
      </c>
      <c r="D202">
        <v>7</v>
      </c>
      <c r="E202" t="s">
        <v>415</v>
      </c>
      <c r="F202" t="s">
        <v>416</v>
      </c>
      <c r="G202" t="s">
        <v>84</v>
      </c>
      <c r="H202" t="s">
        <v>428</v>
      </c>
      <c r="I202" t="s">
        <v>456</v>
      </c>
      <c r="J202" s="62">
        <v>9951.5891886400004</v>
      </c>
      <c r="K202">
        <v>34.894250159999999</v>
      </c>
      <c r="L202">
        <v>-336554.73158856999</v>
      </c>
      <c r="M202" t="s">
        <v>454</v>
      </c>
      <c r="N202">
        <v>33.973087700000001</v>
      </c>
      <c r="O202">
        <v>-10189.81335171</v>
      </c>
    </row>
    <row r="203" spans="1:15" x14ac:dyDescent="0.25">
      <c r="A203" t="s">
        <v>452</v>
      </c>
      <c r="B203" t="s">
        <v>146</v>
      </c>
      <c r="C203">
        <v>2019</v>
      </c>
      <c r="D203">
        <v>7</v>
      </c>
      <c r="E203" t="s">
        <v>415</v>
      </c>
      <c r="F203" t="s">
        <v>429</v>
      </c>
      <c r="G203" t="s">
        <v>84</v>
      </c>
      <c r="H203" t="s">
        <v>431</v>
      </c>
      <c r="I203" t="s">
        <v>453</v>
      </c>
      <c r="J203" s="62">
        <v>27545.988387140002</v>
      </c>
      <c r="K203">
        <v>35.419128809999997</v>
      </c>
      <c r="L203">
        <v>-1001369.2823327699</v>
      </c>
      <c r="M203" t="s">
        <v>454</v>
      </c>
      <c r="N203">
        <v>33.973087700000001</v>
      </c>
      <c r="O203">
        <v>-29416.645102570001</v>
      </c>
    </row>
    <row r="204" spans="1:15" x14ac:dyDescent="0.25">
      <c r="A204" t="s">
        <v>452</v>
      </c>
      <c r="B204" t="s">
        <v>146</v>
      </c>
      <c r="C204">
        <v>2019</v>
      </c>
      <c r="D204">
        <v>7</v>
      </c>
      <c r="E204" t="s">
        <v>415</v>
      </c>
      <c r="F204" t="s">
        <v>429</v>
      </c>
      <c r="G204" t="s">
        <v>84</v>
      </c>
      <c r="H204" t="s">
        <v>432</v>
      </c>
      <c r="I204" t="s">
        <v>455</v>
      </c>
      <c r="J204" s="62">
        <v>4550.1453192299996</v>
      </c>
      <c r="K204">
        <v>36.175786219999999</v>
      </c>
      <c r="L204">
        <v>-166115.54618885001</v>
      </c>
      <c r="M204" t="s">
        <v>454</v>
      </c>
      <c r="N204">
        <v>33.973087700000001</v>
      </c>
      <c r="O204">
        <v>-4896.78035344</v>
      </c>
    </row>
    <row r="205" spans="1:15" x14ac:dyDescent="0.25">
      <c r="A205" t="s">
        <v>452</v>
      </c>
      <c r="B205" t="s">
        <v>146</v>
      </c>
      <c r="C205">
        <v>2019</v>
      </c>
      <c r="D205">
        <v>7</v>
      </c>
      <c r="E205" t="s">
        <v>415</v>
      </c>
      <c r="F205" t="s">
        <v>429</v>
      </c>
      <c r="G205" t="s">
        <v>84</v>
      </c>
      <c r="H205" t="s">
        <v>433</v>
      </c>
      <c r="I205" t="s">
        <v>456</v>
      </c>
      <c r="J205" s="62">
        <v>13675.39322321</v>
      </c>
      <c r="K205">
        <v>34.894250159999999</v>
      </c>
      <c r="L205">
        <v>-481151.88159523002</v>
      </c>
      <c r="M205" t="s">
        <v>454</v>
      </c>
      <c r="N205">
        <v>33.973087700000001</v>
      </c>
      <c r="O205">
        <v>-14173.758581849999</v>
      </c>
    </row>
    <row r="206" spans="1:15" x14ac:dyDescent="0.25">
      <c r="A206" t="s">
        <v>452</v>
      </c>
      <c r="B206" t="s">
        <v>146</v>
      </c>
      <c r="C206">
        <v>2019</v>
      </c>
      <c r="D206">
        <v>7</v>
      </c>
      <c r="E206" t="s">
        <v>415</v>
      </c>
      <c r="F206" t="s">
        <v>434</v>
      </c>
      <c r="G206" t="s">
        <v>84</v>
      </c>
      <c r="H206" t="s">
        <v>436</v>
      </c>
      <c r="I206" t="s">
        <v>453</v>
      </c>
      <c r="J206" s="62">
        <v>14252.813841339999</v>
      </c>
      <c r="K206">
        <v>35.419128809999997</v>
      </c>
      <c r="L206">
        <v>-526695.36523651995</v>
      </c>
      <c r="M206" t="s">
        <v>454</v>
      </c>
      <c r="N206">
        <v>33.973087700000001</v>
      </c>
      <c r="O206">
        <v>-14559.4941115</v>
      </c>
    </row>
    <row r="207" spans="1:15" x14ac:dyDescent="0.25">
      <c r="A207" t="s">
        <v>452</v>
      </c>
      <c r="B207" t="s">
        <v>146</v>
      </c>
      <c r="C207">
        <v>2019</v>
      </c>
      <c r="D207">
        <v>7</v>
      </c>
      <c r="E207" t="s">
        <v>415</v>
      </c>
      <c r="F207" t="s">
        <v>434</v>
      </c>
      <c r="G207" t="s">
        <v>84</v>
      </c>
      <c r="H207" t="s">
        <v>437</v>
      </c>
      <c r="I207" t="s">
        <v>455</v>
      </c>
      <c r="J207" s="62">
        <v>2565.2903165299999</v>
      </c>
      <c r="K207">
        <v>36.175786219999999</v>
      </c>
      <c r="L207">
        <v>-97695.832100130006</v>
      </c>
      <c r="M207" t="s">
        <v>454</v>
      </c>
      <c r="N207">
        <v>33.973087700000001</v>
      </c>
      <c r="O207">
        <v>-2698.3673837699998</v>
      </c>
    </row>
    <row r="208" spans="1:15" x14ac:dyDescent="0.25">
      <c r="A208" t="s">
        <v>452</v>
      </c>
      <c r="B208" t="s">
        <v>146</v>
      </c>
      <c r="C208">
        <v>2019</v>
      </c>
      <c r="D208">
        <v>7</v>
      </c>
      <c r="E208" t="s">
        <v>415</v>
      </c>
      <c r="F208" t="s">
        <v>434</v>
      </c>
      <c r="G208" t="s">
        <v>84</v>
      </c>
      <c r="H208" t="s">
        <v>438</v>
      </c>
      <c r="I208" t="s">
        <v>456</v>
      </c>
      <c r="J208" s="62">
        <v>7467.2087550300002</v>
      </c>
      <c r="K208">
        <v>34.894250159999999</v>
      </c>
      <c r="L208">
        <v>-274524.11432992999</v>
      </c>
      <c r="M208" t="s">
        <v>454</v>
      </c>
      <c r="N208">
        <v>33.973087700000001</v>
      </c>
      <c r="O208">
        <v>-7588.2361478399998</v>
      </c>
    </row>
    <row r="209" spans="1:15" x14ac:dyDescent="0.25">
      <c r="A209" t="s">
        <v>452</v>
      </c>
      <c r="B209" t="s">
        <v>230</v>
      </c>
      <c r="C209">
        <v>2020</v>
      </c>
      <c r="D209">
        <v>7</v>
      </c>
      <c r="E209" t="s">
        <v>415</v>
      </c>
      <c r="F209" t="s">
        <v>416</v>
      </c>
      <c r="G209" t="s">
        <v>84</v>
      </c>
      <c r="H209" t="s">
        <v>418</v>
      </c>
      <c r="I209" t="s">
        <v>453</v>
      </c>
      <c r="J209" s="62">
        <v>41172.233914440003</v>
      </c>
      <c r="K209">
        <v>26.860588190000001</v>
      </c>
      <c r="L209">
        <v>-991621.30622222996</v>
      </c>
      <c r="M209" t="s">
        <v>454</v>
      </c>
      <c r="N209">
        <v>24.591228879999999</v>
      </c>
      <c r="O209">
        <v>-42097.959892300001</v>
      </c>
    </row>
    <row r="210" spans="1:15" x14ac:dyDescent="0.25">
      <c r="A210" t="s">
        <v>452</v>
      </c>
      <c r="B210" t="s">
        <v>230</v>
      </c>
      <c r="C210">
        <v>2020</v>
      </c>
      <c r="D210">
        <v>7</v>
      </c>
      <c r="E210" t="s">
        <v>415</v>
      </c>
      <c r="F210" t="s">
        <v>416</v>
      </c>
      <c r="G210" t="s">
        <v>84</v>
      </c>
      <c r="H210" t="s">
        <v>426</v>
      </c>
      <c r="I210" t="s">
        <v>455</v>
      </c>
      <c r="J210" s="62">
        <v>8393.1380617899995</v>
      </c>
      <c r="K210">
        <v>27.549965239999999</v>
      </c>
      <c r="L210">
        <v>-208489.8488945</v>
      </c>
      <c r="M210" t="s">
        <v>454</v>
      </c>
      <c r="N210">
        <v>24.591228879999999</v>
      </c>
      <c r="O210">
        <v>-8864.9454050999993</v>
      </c>
    </row>
    <row r="211" spans="1:15" x14ac:dyDescent="0.25">
      <c r="A211" t="s">
        <v>452</v>
      </c>
      <c r="B211" t="s">
        <v>230</v>
      </c>
      <c r="C211">
        <v>2020</v>
      </c>
      <c r="D211">
        <v>7</v>
      </c>
      <c r="E211" t="s">
        <v>415</v>
      </c>
      <c r="F211" t="s">
        <v>416</v>
      </c>
      <c r="G211" t="s">
        <v>84</v>
      </c>
      <c r="H211" t="s">
        <v>428</v>
      </c>
      <c r="I211" t="s">
        <v>456</v>
      </c>
      <c r="J211" s="62">
        <v>28511.56978672</v>
      </c>
      <c r="K211">
        <v>26.655360569999999</v>
      </c>
      <c r="L211">
        <v>-686786.30711599998</v>
      </c>
      <c r="M211" t="s">
        <v>454</v>
      </c>
      <c r="N211">
        <v>24.591228879999999</v>
      </c>
      <c r="O211">
        <v>-29082.656366259998</v>
      </c>
    </row>
    <row r="212" spans="1:15" x14ac:dyDescent="0.25">
      <c r="A212" t="s">
        <v>452</v>
      </c>
      <c r="B212" t="s">
        <v>230</v>
      </c>
      <c r="C212">
        <v>2020</v>
      </c>
      <c r="D212">
        <v>7</v>
      </c>
      <c r="E212" t="s">
        <v>415</v>
      </c>
      <c r="F212" t="s">
        <v>429</v>
      </c>
      <c r="G212" t="s">
        <v>84</v>
      </c>
      <c r="H212" t="s">
        <v>431</v>
      </c>
      <c r="I212" t="s">
        <v>453</v>
      </c>
      <c r="J212" s="62">
        <v>60134.091606659997</v>
      </c>
      <c r="K212">
        <v>26.860588190000001</v>
      </c>
      <c r="L212">
        <v>-1693419.4013817401</v>
      </c>
      <c r="M212" t="s">
        <v>454</v>
      </c>
      <c r="N212">
        <v>24.591228879999999</v>
      </c>
      <c r="O212">
        <v>-70993.394447479994</v>
      </c>
    </row>
    <row r="213" spans="1:15" x14ac:dyDescent="0.25">
      <c r="A213" t="s">
        <v>452</v>
      </c>
      <c r="B213" t="s">
        <v>230</v>
      </c>
      <c r="C213">
        <v>2020</v>
      </c>
      <c r="D213">
        <v>7</v>
      </c>
      <c r="E213" t="s">
        <v>415</v>
      </c>
      <c r="F213" t="s">
        <v>429</v>
      </c>
      <c r="G213" t="s">
        <v>84</v>
      </c>
      <c r="H213" t="s">
        <v>432</v>
      </c>
      <c r="I213" t="s">
        <v>455</v>
      </c>
      <c r="J213" s="62">
        <v>9377.3219018899999</v>
      </c>
      <c r="K213">
        <v>27.549965239999999</v>
      </c>
      <c r="L213">
        <v>-270358.32734179002</v>
      </c>
      <c r="M213" t="s">
        <v>454</v>
      </c>
      <c r="N213">
        <v>24.591228879999999</v>
      </c>
      <c r="O213">
        <v>-11290.616558760001</v>
      </c>
    </row>
    <row r="214" spans="1:15" x14ac:dyDescent="0.25">
      <c r="A214" t="s">
        <v>452</v>
      </c>
      <c r="B214" t="s">
        <v>230</v>
      </c>
      <c r="C214">
        <v>2020</v>
      </c>
      <c r="D214">
        <v>7</v>
      </c>
      <c r="E214" t="s">
        <v>415</v>
      </c>
      <c r="F214" t="s">
        <v>429</v>
      </c>
      <c r="G214" t="s">
        <v>84</v>
      </c>
      <c r="H214" t="s">
        <v>433</v>
      </c>
      <c r="I214" t="s">
        <v>456</v>
      </c>
      <c r="J214" s="62">
        <v>34146.742086849998</v>
      </c>
      <c r="K214">
        <v>26.655360569999999</v>
      </c>
      <c r="L214">
        <v>-927200.90866543003</v>
      </c>
      <c r="M214" t="s">
        <v>454</v>
      </c>
      <c r="N214">
        <v>24.591228879999999</v>
      </c>
      <c r="O214">
        <v>-39219.434482769997</v>
      </c>
    </row>
    <row r="215" spans="1:15" x14ac:dyDescent="0.25">
      <c r="A215" t="s">
        <v>452</v>
      </c>
      <c r="B215" t="s">
        <v>230</v>
      </c>
      <c r="C215">
        <v>2020</v>
      </c>
      <c r="D215">
        <v>7</v>
      </c>
      <c r="E215" t="s">
        <v>415</v>
      </c>
      <c r="F215" t="s">
        <v>434</v>
      </c>
      <c r="G215" t="s">
        <v>84</v>
      </c>
      <c r="H215" t="s">
        <v>436</v>
      </c>
      <c r="I215" t="s">
        <v>453</v>
      </c>
      <c r="J215" s="62">
        <v>33310.424542710003</v>
      </c>
      <c r="K215">
        <v>26.860588190000001</v>
      </c>
      <c r="L215">
        <v>-1024928.68789868</v>
      </c>
      <c r="M215" t="s">
        <v>454</v>
      </c>
      <c r="N215">
        <v>24.591228879999999</v>
      </c>
      <c r="O215">
        <v>-34317.281667629999</v>
      </c>
    </row>
    <row r="216" spans="1:15" x14ac:dyDescent="0.25">
      <c r="A216" t="s">
        <v>452</v>
      </c>
      <c r="B216" t="s">
        <v>230</v>
      </c>
      <c r="C216">
        <v>2020</v>
      </c>
      <c r="D216">
        <v>7</v>
      </c>
      <c r="E216" t="s">
        <v>415</v>
      </c>
      <c r="F216" t="s">
        <v>434</v>
      </c>
      <c r="G216" t="s">
        <v>84</v>
      </c>
      <c r="H216" t="s">
        <v>437</v>
      </c>
      <c r="I216" t="s">
        <v>455</v>
      </c>
      <c r="J216" s="62">
        <v>6244.7344571800004</v>
      </c>
      <c r="K216">
        <v>27.549965239999999</v>
      </c>
      <c r="L216">
        <v>-195890.16060787</v>
      </c>
      <c r="M216" t="s">
        <v>454</v>
      </c>
      <c r="N216">
        <v>24.591228879999999</v>
      </c>
      <c r="O216">
        <v>-6563.1231859400004</v>
      </c>
    </row>
    <row r="217" spans="1:15" x14ac:dyDescent="0.25">
      <c r="A217" t="s">
        <v>452</v>
      </c>
      <c r="B217" t="s">
        <v>230</v>
      </c>
      <c r="C217">
        <v>2020</v>
      </c>
      <c r="D217">
        <v>7</v>
      </c>
      <c r="E217" t="s">
        <v>415</v>
      </c>
      <c r="F217" t="s">
        <v>434</v>
      </c>
      <c r="G217" t="s">
        <v>84</v>
      </c>
      <c r="H217" t="s">
        <v>438</v>
      </c>
      <c r="I217" t="s">
        <v>456</v>
      </c>
      <c r="J217" s="62">
        <v>19134.333251979999</v>
      </c>
      <c r="K217">
        <v>26.655360569999999</v>
      </c>
      <c r="L217">
        <v>-582322.16626332002</v>
      </c>
      <c r="M217" t="s">
        <v>454</v>
      </c>
      <c r="N217">
        <v>24.591228879999999</v>
      </c>
      <c r="O217">
        <v>-19518.865435780001</v>
      </c>
    </row>
    <row r="218" spans="1:15" x14ac:dyDescent="0.25">
      <c r="A218" t="s">
        <v>452</v>
      </c>
      <c r="B218" t="s">
        <v>140</v>
      </c>
      <c r="C218">
        <v>2018</v>
      </c>
      <c r="D218">
        <v>8</v>
      </c>
      <c r="E218" t="s">
        <v>415</v>
      </c>
      <c r="F218" t="s">
        <v>416</v>
      </c>
      <c r="G218" t="s">
        <v>84</v>
      </c>
      <c r="H218" t="s">
        <v>418</v>
      </c>
      <c r="I218" t="s">
        <v>453</v>
      </c>
      <c r="J218" s="62">
        <v>10217.35205564</v>
      </c>
      <c r="K218">
        <v>56.530208999999999</v>
      </c>
      <c r="L218">
        <v>-549794.78008727997</v>
      </c>
      <c r="M218" t="s">
        <v>454</v>
      </c>
      <c r="N218">
        <v>54.38641853</v>
      </c>
      <c r="O218">
        <v>-10559.014251549999</v>
      </c>
    </row>
    <row r="219" spans="1:15" x14ac:dyDescent="0.25">
      <c r="A219" t="s">
        <v>452</v>
      </c>
      <c r="B219" t="s">
        <v>140</v>
      </c>
      <c r="C219">
        <v>2018</v>
      </c>
      <c r="D219">
        <v>8</v>
      </c>
      <c r="E219" t="s">
        <v>415</v>
      </c>
      <c r="F219" t="s">
        <v>416</v>
      </c>
      <c r="G219" t="s">
        <v>84</v>
      </c>
      <c r="H219" t="s">
        <v>426</v>
      </c>
      <c r="I219" t="s">
        <v>455</v>
      </c>
      <c r="J219" s="62">
        <v>2020.7342858899999</v>
      </c>
      <c r="K219">
        <v>58.555701769999999</v>
      </c>
      <c r="L219">
        <v>-112458.87543809001</v>
      </c>
      <c r="M219" t="s">
        <v>454</v>
      </c>
      <c r="N219">
        <v>54.38641853</v>
      </c>
      <c r="O219">
        <v>-2187.0638018700001</v>
      </c>
    </row>
    <row r="220" spans="1:15" x14ac:dyDescent="0.25">
      <c r="A220" t="s">
        <v>452</v>
      </c>
      <c r="B220" t="s">
        <v>140</v>
      </c>
      <c r="C220">
        <v>2018</v>
      </c>
      <c r="D220">
        <v>8</v>
      </c>
      <c r="E220" t="s">
        <v>415</v>
      </c>
      <c r="F220" t="s">
        <v>416</v>
      </c>
      <c r="G220" t="s">
        <v>84</v>
      </c>
      <c r="H220" t="s">
        <v>428</v>
      </c>
      <c r="I220" t="s">
        <v>456</v>
      </c>
      <c r="J220" s="62">
        <v>5408.5478092800004</v>
      </c>
      <c r="K220">
        <v>55.554174740000001</v>
      </c>
      <c r="L220">
        <v>-288242.10205494001</v>
      </c>
      <c r="M220" t="s">
        <v>454</v>
      </c>
      <c r="N220">
        <v>54.38641853</v>
      </c>
      <c r="O220">
        <v>-5594.8413387800001</v>
      </c>
    </row>
    <row r="221" spans="1:15" x14ac:dyDescent="0.25">
      <c r="A221" t="s">
        <v>452</v>
      </c>
      <c r="B221" t="s">
        <v>140</v>
      </c>
      <c r="C221">
        <v>2018</v>
      </c>
      <c r="D221">
        <v>8</v>
      </c>
      <c r="E221" t="s">
        <v>415</v>
      </c>
      <c r="F221" t="s">
        <v>429</v>
      </c>
      <c r="G221" t="s">
        <v>84</v>
      </c>
      <c r="H221" t="s">
        <v>431</v>
      </c>
      <c r="I221" t="s">
        <v>453</v>
      </c>
      <c r="J221" s="62">
        <v>14437.16057342</v>
      </c>
      <c r="K221">
        <v>56.530208999999999</v>
      </c>
      <c r="L221">
        <v>-870409.84342779999</v>
      </c>
      <c r="M221" t="s">
        <v>454</v>
      </c>
      <c r="N221">
        <v>54.38641853</v>
      </c>
      <c r="O221">
        <v>-15084.609977939999</v>
      </c>
    </row>
    <row r="222" spans="1:15" x14ac:dyDescent="0.25">
      <c r="A222" t="s">
        <v>452</v>
      </c>
      <c r="B222" t="s">
        <v>140</v>
      </c>
      <c r="C222">
        <v>2018</v>
      </c>
      <c r="D222">
        <v>8</v>
      </c>
      <c r="E222" t="s">
        <v>415</v>
      </c>
      <c r="F222" t="s">
        <v>429</v>
      </c>
      <c r="G222" t="s">
        <v>84</v>
      </c>
      <c r="H222" t="s">
        <v>432</v>
      </c>
      <c r="I222" t="s">
        <v>455</v>
      </c>
      <c r="J222" s="62">
        <v>2582.7047859499999</v>
      </c>
      <c r="K222">
        <v>58.555701769999999</v>
      </c>
      <c r="L222">
        <v>-162870.50998531</v>
      </c>
      <c r="M222" t="s">
        <v>454</v>
      </c>
      <c r="N222">
        <v>54.38641853</v>
      </c>
      <c r="O222">
        <v>-2784.7108564700002</v>
      </c>
    </row>
    <row r="223" spans="1:15" x14ac:dyDescent="0.25">
      <c r="A223" t="s">
        <v>452</v>
      </c>
      <c r="B223" t="s">
        <v>140</v>
      </c>
      <c r="C223">
        <v>2018</v>
      </c>
      <c r="D223">
        <v>8</v>
      </c>
      <c r="E223" t="s">
        <v>415</v>
      </c>
      <c r="F223" t="s">
        <v>429</v>
      </c>
      <c r="G223" t="s">
        <v>84</v>
      </c>
      <c r="H223" t="s">
        <v>433</v>
      </c>
      <c r="I223" t="s">
        <v>456</v>
      </c>
      <c r="J223" s="62">
        <v>6249.9577901499997</v>
      </c>
      <c r="K223">
        <v>55.554174740000001</v>
      </c>
      <c r="L223">
        <v>-355751.61734706</v>
      </c>
      <c r="M223" t="s">
        <v>454</v>
      </c>
      <c r="N223">
        <v>54.38641853</v>
      </c>
      <c r="O223">
        <v>-6368.4594925399997</v>
      </c>
    </row>
    <row r="224" spans="1:15" x14ac:dyDescent="0.25">
      <c r="A224" t="s">
        <v>452</v>
      </c>
      <c r="B224" t="s">
        <v>140</v>
      </c>
      <c r="C224">
        <v>2018</v>
      </c>
      <c r="D224">
        <v>8</v>
      </c>
      <c r="E224" t="s">
        <v>415</v>
      </c>
      <c r="F224" t="s">
        <v>434</v>
      </c>
      <c r="G224" t="s">
        <v>84</v>
      </c>
      <c r="H224" t="s">
        <v>436</v>
      </c>
      <c r="I224" t="s">
        <v>453</v>
      </c>
      <c r="J224" s="62">
        <v>6680.3696331000001</v>
      </c>
      <c r="K224">
        <v>56.530208999999999</v>
      </c>
      <c r="L224">
        <v>-397549.93796044</v>
      </c>
      <c r="M224" t="s">
        <v>454</v>
      </c>
      <c r="N224">
        <v>54.38641853</v>
      </c>
      <c r="O224">
        <v>-6829.3540854900002</v>
      </c>
    </row>
    <row r="225" spans="1:15" x14ac:dyDescent="0.25">
      <c r="A225" t="s">
        <v>452</v>
      </c>
      <c r="B225" t="s">
        <v>140</v>
      </c>
      <c r="C225">
        <v>2018</v>
      </c>
      <c r="D225">
        <v>8</v>
      </c>
      <c r="E225" t="s">
        <v>415</v>
      </c>
      <c r="F225" t="s">
        <v>434</v>
      </c>
      <c r="G225" t="s">
        <v>84</v>
      </c>
      <c r="H225" t="s">
        <v>437</v>
      </c>
      <c r="I225" t="s">
        <v>455</v>
      </c>
      <c r="J225" s="62">
        <v>1319.8019597</v>
      </c>
      <c r="K225">
        <v>58.555701769999999</v>
      </c>
      <c r="L225">
        <v>-82738.457667900002</v>
      </c>
      <c r="M225" t="s">
        <v>454</v>
      </c>
      <c r="N225">
        <v>54.38641853</v>
      </c>
      <c r="O225">
        <v>-1408.68920759</v>
      </c>
    </row>
    <row r="226" spans="1:15" x14ac:dyDescent="0.25">
      <c r="A226" t="s">
        <v>452</v>
      </c>
      <c r="B226" t="s">
        <v>140</v>
      </c>
      <c r="C226">
        <v>2018</v>
      </c>
      <c r="D226">
        <v>8</v>
      </c>
      <c r="E226" t="s">
        <v>415</v>
      </c>
      <c r="F226" t="s">
        <v>434</v>
      </c>
      <c r="G226" t="s">
        <v>84</v>
      </c>
      <c r="H226" t="s">
        <v>438</v>
      </c>
      <c r="I226" t="s">
        <v>456</v>
      </c>
      <c r="J226" s="62">
        <v>3635.5520713199999</v>
      </c>
      <c r="K226">
        <v>55.554174740000001</v>
      </c>
      <c r="L226">
        <v>-209557.60820205</v>
      </c>
      <c r="M226" t="s">
        <v>454</v>
      </c>
      <c r="N226">
        <v>54.38641853</v>
      </c>
      <c r="O226">
        <v>-3662.1757750299998</v>
      </c>
    </row>
    <row r="227" spans="1:15" x14ac:dyDescent="0.25">
      <c r="A227" t="s">
        <v>452</v>
      </c>
      <c r="B227" t="s">
        <v>151</v>
      </c>
      <c r="C227">
        <v>2019</v>
      </c>
      <c r="D227">
        <v>8</v>
      </c>
      <c r="E227" t="s">
        <v>415</v>
      </c>
      <c r="F227" t="s">
        <v>416</v>
      </c>
      <c r="G227" t="s">
        <v>84</v>
      </c>
      <c r="H227" t="s">
        <v>418</v>
      </c>
      <c r="I227" t="s">
        <v>453</v>
      </c>
      <c r="J227" s="62">
        <v>17850.931257780001</v>
      </c>
      <c r="K227">
        <v>37.771038269999998</v>
      </c>
      <c r="L227">
        <v>-658904.51124655001</v>
      </c>
      <c r="M227" t="s">
        <v>454</v>
      </c>
      <c r="N227">
        <v>37.105262709999998</v>
      </c>
      <c r="O227">
        <v>-17858.760241970002</v>
      </c>
    </row>
    <row r="228" spans="1:15" x14ac:dyDescent="0.25">
      <c r="A228" t="s">
        <v>452</v>
      </c>
      <c r="B228" t="s">
        <v>151</v>
      </c>
      <c r="C228">
        <v>2019</v>
      </c>
      <c r="D228">
        <v>8</v>
      </c>
      <c r="E228" t="s">
        <v>415</v>
      </c>
      <c r="F228" t="s">
        <v>416</v>
      </c>
      <c r="G228" t="s">
        <v>84</v>
      </c>
      <c r="H228" t="s">
        <v>426</v>
      </c>
      <c r="I228" t="s">
        <v>455</v>
      </c>
      <c r="J228" s="62">
        <v>4392.0891241999998</v>
      </c>
      <c r="K228">
        <v>39.244610219999998</v>
      </c>
      <c r="L228">
        <v>-168521.85041121999</v>
      </c>
      <c r="M228" t="s">
        <v>454</v>
      </c>
      <c r="N228">
        <v>37.105262709999998</v>
      </c>
      <c r="O228">
        <v>-4610.6033941599999</v>
      </c>
    </row>
    <row r="229" spans="1:15" x14ac:dyDescent="0.25">
      <c r="A229" t="s">
        <v>452</v>
      </c>
      <c r="B229" t="s">
        <v>151</v>
      </c>
      <c r="C229">
        <v>2019</v>
      </c>
      <c r="D229">
        <v>8</v>
      </c>
      <c r="E229" t="s">
        <v>415</v>
      </c>
      <c r="F229" t="s">
        <v>416</v>
      </c>
      <c r="G229" t="s">
        <v>84</v>
      </c>
      <c r="H229" t="s">
        <v>428</v>
      </c>
      <c r="I229" t="s">
        <v>456</v>
      </c>
      <c r="J229" s="62">
        <v>8273.7282870399995</v>
      </c>
      <c r="K229">
        <v>37.925079889999999</v>
      </c>
      <c r="L229">
        <v>-310120.22782964999</v>
      </c>
      <c r="M229" t="s">
        <v>454</v>
      </c>
      <c r="N229">
        <v>37.105262709999998</v>
      </c>
      <c r="O229">
        <v>-8379.1372421600008</v>
      </c>
    </row>
    <row r="230" spans="1:15" x14ac:dyDescent="0.25">
      <c r="A230" t="s">
        <v>452</v>
      </c>
      <c r="B230" t="s">
        <v>151</v>
      </c>
      <c r="C230">
        <v>2019</v>
      </c>
      <c r="D230">
        <v>8</v>
      </c>
      <c r="E230" t="s">
        <v>415</v>
      </c>
      <c r="F230" t="s">
        <v>429</v>
      </c>
      <c r="G230" t="s">
        <v>84</v>
      </c>
      <c r="H230" t="s">
        <v>431</v>
      </c>
      <c r="I230" t="s">
        <v>453</v>
      </c>
      <c r="J230" s="62">
        <v>25442.632945419999</v>
      </c>
      <c r="K230">
        <v>37.771038269999998</v>
      </c>
      <c r="L230">
        <v>-961525.08422352001</v>
      </c>
      <c r="M230" t="s">
        <v>454</v>
      </c>
      <c r="N230">
        <v>37.105262709999998</v>
      </c>
      <c r="O230">
        <v>-26872.404695099998</v>
      </c>
    </row>
    <row r="231" spans="1:15" x14ac:dyDescent="0.25">
      <c r="A231" t="s">
        <v>452</v>
      </c>
      <c r="B231" t="s">
        <v>151</v>
      </c>
      <c r="C231">
        <v>2019</v>
      </c>
      <c r="D231">
        <v>8</v>
      </c>
      <c r="E231" t="s">
        <v>415</v>
      </c>
      <c r="F231" t="s">
        <v>429</v>
      </c>
      <c r="G231" t="s">
        <v>84</v>
      </c>
      <c r="H231" t="s">
        <v>432</v>
      </c>
      <c r="I231" t="s">
        <v>455</v>
      </c>
      <c r="J231" s="62">
        <v>5542.7784915700004</v>
      </c>
      <c r="K231">
        <v>39.244610219999998</v>
      </c>
      <c r="L231">
        <v>-212391.2873504</v>
      </c>
      <c r="M231" t="s">
        <v>454</v>
      </c>
      <c r="N231">
        <v>37.105262709999998</v>
      </c>
      <c r="O231">
        <v>-6036.0656467999997</v>
      </c>
    </row>
    <row r="232" spans="1:15" x14ac:dyDescent="0.25">
      <c r="A232" t="s">
        <v>452</v>
      </c>
      <c r="B232" t="s">
        <v>151</v>
      </c>
      <c r="C232">
        <v>2019</v>
      </c>
      <c r="D232">
        <v>8</v>
      </c>
      <c r="E232" t="s">
        <v>415</v>
      </c>
      <c r="F232" t="s">
        <v>429</v>
      </c>
      <c r="G232" t="s">
        <v>84</v>
      </c>
      <c r="H232" t="s">
        <v>433</v>
      </c>
      <c r="I232" t="s">
        <v>456</v>
      </c>
      <c r="J232" s="62">
        <v>11621.381342459999</v>
      </c>
      <c r="K232">
        <v>37.925079889999999</v>
      </c>
      <c r="L232">
        <v>-434191.02874764003</v>
      </c>
      <c r="M232" t="s">
        <v>454</v>
      </c>
      <c r="N232">
        <v>37.105262709999998</v>
      </c>
      <c r="O232">
        <v>-12134.60593759</v>
      </c>
    </row>
    <row r="233" spans="1:15" x14ac:dyDescent="0.25">
      <c r="A233" t="s">
        <v>452</v>
      </c>
      <c r="B233" t="s">
        <v>151</v>
      </c>
      <c r="C233">
        <v>2019</v>
      </c>
      <c r="D233">
        <v>8</v>
      </c>
      <c r="E233" t="s">
        <v>415</v>
      </c>
      <c r="F233" t="s">
        <v>434</v>
      </c>
      <c r="G233" t="s">
        <v>84</v>
      </c>
      <c r="H233" t="s">
        <v>436</v>
      </c>
      <c r="I233" t="s">
        <v>453</v>
      </c>
      <c r="J233" s="62">
        <v>13327.96742709</v>
      </c>
      <c r="K233">
        <v>37.771038269999998</v>
      </c>
      <c r="L233">
        <v>-535008.25138932001</v>
      </c>
      <c r="M233" t="s">
        <v>454</v>
      </c>
      <c r="N233">
        <v>37.105262709999998</v>
      </c>
      <c r="O233">
        <v>-13130.211375540001</v>
      </c>
    </row>
    <row r="234" spans="1:15" x14ac:dyDescent="0.25">
      <c r="A234" t="s">
        <v>452</v>
      </c>
      <c r="B234" t="s">
        <v>151</v>
      </c>
      <c r="C234">
        <v>2019</v>
      </c>
      <c r="D234">
        <v>8</v>
      </c>
      <c r="E234" t="s">
        <v>415</v>
      </c>
      <c r="F234" t="s">
        <v>434</v>
      </c>
      <c r="G234" t="s">
        <v>84</v>
      </c>
      <c r="H234" t="s">
        <v>437</v>
      </c>
      <c r="I234" t="s">
        <v>455</v>
      </c>
      <c r="J234" s="62">
        <v>2959.1470765399999</v>
      </c>
      <c r="K234">
        <v>39.244610219999998</v>
      </c>
      <c r="L234">
        <v>-123652.90589404</v>
      </c>
      <c r="M234" t="s">
        <v>454</v>
      </c>
      <c r="N234">
        <v>37.105262709999998</v>
      </c>
      <c r="O234">
        <v>-3058.5965037599999</v>
      </c>
    </row>
    <row r="235" spans="1:15" x14ac:dyDescent="0.25">
      <c r="A235" t="s">
        <v>452</v>
      </c>
      <c r="B235" t="s">
        <v>151</v>
      </c>
      <c r="C235">
        <v>2019</v>
      </c>
      <c r="D235">
        <v>8</v>
      </c>
      <c r="E235" t="s">
        <v>415</v>
      </c>
      <c r="F235" t="s">
        <v>434</v>
      </c>
      <c r="G235" t="s">
        <v>84</v>
      </c>
      <c r="H235" t="s">
        <v>438</v>
      </c>
      <c r="I235" t="s">
        <v>456</v>
      </c>
      <c r="J235" s="62">
        <v>6428.6689017899998</v>
      </c>
      <c r="K235">
        <v>37.925079889999999</v>
      </c>
      <c r="L235">
        <v>-262132.14236319999</v>
      </c>
      <c r="M235" t="s">
        <v>454</v>
      </c>
      <c r="N235">
        <v>37.105262709999998</v>
      </c>
      <c r="O235">
        <v>-6421.8532704899999</v>
      </c>
    </row>
    <row r="236" spans="1:15" x14ac:dyDescent="0.25">
      <c r="A236" t="s">
        <v>452</v>
      </c>
      <c r="B236" t="s">
        <v>237</v>
      </c>
      <c r="C236">
        <v>2020</v>
      </c>
      <c r="D236">
        <v>8</v>
      </c>
      <c r="E236" t="s">
        <v>415</v>
      </c>
      <c r="F236" t="s">
        <v>416</v>
      </c>
      <c r="G236" t="s">
        <v>84</v>
      </c>
      <c r="H236" t="s">
        <v>418</v>
      </c>
      <c r="I236" t="s">
        <v>453</v>
      </c>
      <c r="J236" s="62">
        <v>40883.180628310001</v>
      </c>
      <c r="K236">
        <v>25.08230094</v>
      </c>
      <c r="L236">
        <v>-977642.23927065998</v>
      </c>
      <c r="M236" t="s">
        <v>454</v>
      </c>
      <c r="N236">
        <v>24.490003380000001</v>
      </c>
      <c r="O236">
        <v>-41489.059759839998</v>
      </c>
    </row>
    <row r="237" spans="1:15" x14ac:dyDescent="0.25">
      <c r="A237" t="s">
        <v>452</v>
      </c>
      <c r="B237" t="s">
        <v>237</v>
      </c>
      <c r="C237">
        <v>2020</v>
      </c>
      <c r="D237">
        <v>8</v>
      </c>
      <c r="E237" t="s">
        <v>415</v>
      </c>
      <c r="F237" t="s">
        <v>416</v>
      </c>
      <c r="G237" t="s">
        <v>84</v>
      </c>
      <c r="H237" t="s">
        <v>426</v>
      </c>
      <c r="I237" t="s">
        <v>455</v>
      </c>
      <c r="J237" s="62">
        <v>6796.2340345599996</v>
      </c>
      <c r="K237">
        <v>25.826531259999999</v>
      </c>
      <c r="L237">
        <v>-168548.62401145999</v>
      </c>
      <c r="M237" t="s">
        <v>454</v>
      </c>
      <c r="N237">
        <v>24.490003380000001</v>
      </c>
      <c r="O237">
        <v>-7131.4660186499996</v>
      </c>
    </row>
    <row r="238" spans="1:15" x14ac:dyDescent="0.25">
      <c r="A238" t="s">
        <v>452</v>
      </c>
      <c r="B238" t="s">
        <v>237</v>
      </c>
      <c r="C238">
        <v>2020</v>
      </c>
      <c r="D238">
        <v>8</v>
      </c>
      <c r="E238" t="s">
        <v>415</v>
      </c>
      <c r="F238" t="s">
        <v>416</v>
      </c>
      <c r="G238" t="s">
        <v>84</v>
      </c>
      <c r="H238" t="s">
        <v>428</v>
      </c>
      <c r="I238" t="s">
        <v>456</v>
      </c>
      <c r="J238" s="62">
        <v>19116.828202370001</v>
      </c>
      <c r="K238">
        <v>25.01721491</v>
      </c>
      <c r="L238">
        <v>-453460.67012341</v>
      </c>
      <c r="M238" t="s">
        <v>454</v>
      </c>
      <c r="N238">
        <v>24.490003380000001</v>
      </c>
      <c r="O238">
        <v>-19401.183915310001</v>
      </c>
    </row>
    <row r="239" spans="1:15" x14ac:dyDescent="0.25">
      <c r="A239" t="s">
        <v>452</v>
      </c>
      <c r="B239" t="s">
        <v>237</v>
      </c>
      <c r="C239">
        <v>2020</v>
      </c>
      <c r="D239">
        <v>8</v>
      </c>
      <c r="E239" t="s">
        <v>415</v>
      </c>
      <c r="F239" t="s">
        <v>429</v>
      </c>
      <c r="G239" t="s">
        <v>84</v>
      </c>
      <c r="H239" t="s">
        <v>431</v>
      </c>
      <c r="I239" t="s">
        <v>453</v>
      </c>
      <c r="J239" s="62">
        <v>56558.055522549999</v>
      </c>
      <c r="K239">
        <v>25.08230094</v>
      </c>
      <c r="L239">
        <v>-1248777.4422776899</v>
      </c>
      <c r="M239" t="s">
        <v>454</v>
      </c>
      <c r="N239">
        <v>24.490003380000001</v>
      </c>
      <c r="O239">
        <v>-53496.977832290002</v>
      </c>
    </row>
    <row r="240" spans="1:15" x14ac:dyDescent="0.25">
      <c r="A240" t="s">
        <v>452</v>
      </c>
      <c r="B240" t="s">
        <v>237</v>
      </c>
      <c r="C240">
        <v>2020</v>
      </c>
      <c r="D240">
        <v>8</v>
      </c>
      <c r="E240" t="s">
        <v>415</v>
      </c>
      <c r="F240" t="s">
        <v>429</v>
      </c>
      <c r="G240" t="s">
        <v>84</v>
      </c>
      <c r="H240" t="s">
        <v>432</v>
      </c>
      <c r="I240" t="s">
        <v>455</v>
      </c>
      <c r="J240" s="62">
        <v>8281.5331217300009</v>
      </c>
      <c r="K240">
        <v>25.826531259999999</v>
      </c>
      <c r="L240">
        <v>-182976.62827577</v>
      </c>
      <c r="M240" t="s">
        <v>454</v>
      </c>
      <c r="N240">
        <v>24.490003380000001</v>
      </c>
      <c r="O240">
        <v>-7972.81664034</v>
      </c>
    </row>
    <row r="241" spans="1:15" x14ac:dyDescent="0.25">
      <c r="A241" t="s">
        <v>452</v>
      </c>
      <c r="B241" t="s">
        <v>237</v>
      </c>
      <c r="C241">
        <v>2020</v>
      </c>
      <c r="D241">
        <v>8</v>
      </c>
      <c r="E241" t="s">
        <v>415</v>
      </c>
      <c r="F241" t="s">
        <v>429</v>
      </c>
      <c r="G241" t="s">
        <v>84</v>
      </c>
      <c r="H241" t="s">
        <v>433</v>
      </c>
      <c r="I241" t="s">
        <v>456</v>
      </c>
      <c r="J241" s="62">
        <v>25367.872248290001</v>
      </c>
      <c r="K241">
        <v>25.01721491</v>
      </c>
      <c r="L241">
        <v>-550114.34358330001</v>
      </c>
      <c r="M241" t="s">
        <v>454</v>
      </c>
      <c r="N241">
        <v>24.490003380000001</v>
      </c>
      <c r="O241">
        <v>-23803.24792319</v>
      </c>
    </row>
    <row r="242" spans="1:15" x14ac:dyDescent="0.25">
      <c r="A242" t="s">
        <v>452</v>
      </c>
      <c r="B242" t="s">
        <v>237</v>
      </c>
      <c r="C242">
        <v>2020</v>
      </c>
      <c r="D242">
        <v>8</v>
      </c>
      <c r="E242" t="s">
        <v>415</v>
      </c>
      <c r="F242" t="s">
        <v>434</v>
      </c>
      <c r="G242" t="s">
        <v>84</v>
      </c>
      <c r="H242" t="s">
        <v>436</v>
      </c>
      <c r="I242" t="s">
        <v>453</v>
      </c>
      <c r="J242" s="62">
        <v>33509.697209669997</v>
      </c>
      <c r="K242">
        <v>25.08230094</v>
      </c>
      <c r="L242">
        <v>-1156349.55255765</v>
      </c>
      <c r="M242" t="s">
        <v>454</v>
      </c>
      <c r="N242">
        <v>24.490003380000001</v>
      </c>
      <c r="O242">
        <v>-34103.902108670001</v>
      </c>
    </row>
    <row r="243" spans="1:15" x14ac:dyDescent="0.25">
      <c r="A243" t="s">
        <v>452</v>
      </c>
      <c r="B243" t="s">
        <v>237</v>
      </c>
      <c r="C243">
        <v>2020</v>
      </c>
      <c r="D243">
        <v>8</v>
      </c>
      <c r="E243" t="s">
        <v>415</v>
      </c>
      <c r="F243" t="s">
        <v>434</v>
      </c>
      <c r="G243" t="s">
        <v>84</v>
      </c>
      <c r="H243" t="s">
        <v>437</v>
      </c>
      <c r="I243" t="s">
        <v>455</v>
      </c>
      <c r="J243" s="62">
        <v>5032.91323156</v>
      </c>
      <c r="K243">
        <v>25.826531259999999</v>
      </c>
      <c r="L243">
        <v>-180102.46024916001</v>
      </c>
      <c r="M243" t="s">
        <v>454</v>
      </c>
      <c r="N243">
        <v>24.490003380000001</v>
      </c>
      <c r="O243">
        <v>-5283.8463589599996</v>
      </c>
    </row>
    <row r="244" spans="1:15" x14ac:dyDescent="0.25">
      <c r="A244" t="s">
        <v>452</v>
      </c>
      <c r="B244" t="s">
        <v>237</v>
      </c>
      <c r="C244">
        <v>2020</v>
      </c>
      <c r="D244">
        <v>8</v>
      </c>
      <c r="E244" t="s">
        <v>415</v>
      </c>
      <c r="F244" t="s">
        <v>434</v>
      </c>
      <c r="G244" t="s">
        <v>84</v>
      </c>
      <c r="H244" t="s">
        <v>438</v>
      </c>
      <c r="I244" t="s">
        <v>456</v>
      </c>
      <c r="J244" s="62">
        <v>14699.24522031</v>
      </c>
      <c r="K244">
        <v>25.01721491</v>
      </c>
      <c r="L244">
        <v>-489512.92908278998</v>
      </c>
      <c r="M244" t="s">
        <v>454</v>
      </c>
      <c r="N244">
        <v>24.490003380000001</v>
      </c>
      <c r="O244">
        <v>-14908.721984919999</v>
      </c>
    </row>
    <row r="245" spans="1:15" x14ac:dyDescent="0.25">
      <c r="A245" t="s">
        <v>452</v>
      </c>
      <c r="B245" t="s">
        <v>113</v>
      </c>
      <c r="C245">
        <v>2018</v>
      </c>
      <c r="D245">
        <v>9</v>
      </c>
      <c r="E245" t="s">
        <v>415</v>
      </c>
      <c r="F245" t="s">
        <v>416</v>
      </c>
      <c r="G245" t="s">
        <v>84</v>
      </c>
      <c r="H245" t="s">
        <v>418</v>
      </c>
      <c r="I245" t="s">
        <v>453</v>
      </c>
      <c r="J245" s="62">
        <v>8637.1622508100008</v>
      </c>
      <c r="K245">
        <v>42.482064299999998</v>
      </c>
      <c r="L245">
        <v>-347642.86934511998</v>
      </c>
      <c r="M245" t="s">
        <v>454</v>
      </c>
      <c r="N245">
        <v>40.402541720000002</v>
      </c>
      <c r="O245">
        <v>-8606.1503362399999</v>
      </c>
    </row>
    <row r="246" spans="1:15" x14ac:dyDescent="0.25">
      <c r="A246" t="s">
        <v>452</v>
      </c>
      <c r="B246" t="s">
        <v>113</v>
      </c>
      <c r="C246">
        <v>2018</v>
      </c>
      <c r="D246">
        <v>9</v>
      </c>
      <c r="E246" t="s">
        <v>415</v>
      </c>
      <c r="F246" t="s">
        <v>416</v>
      </c>
      <c r="G246" t="s">
        <v>84</v>
      </c>
      <c r="H246" t="s">
        <v>426</v>
      </c>
      <c r="I246" t="s">
        <v>455</v>
      </c>
      <c r="J246" s="62">
        <v>1899.9524769</v>
      </c>
      <c r="K246">
        <v>42.900588630000001</v>
      </c>
      <c r="L246">
        <v>-78303.427704600006</v>
      </c>
      <c r="M246" t="s">
        <v>454</v>
      </c>
      <c r="N246">
        <v>40.402541720000002</v>
      </c>
      <c r="O246">
        <v>-1937.9358223199999</v>
      </c>
    </row>
    <row r="247" spans="1:15" x14ac:dyDescent="0.25">
      <c r="A247" t="s">
        <v>452</v>
      </c>
      <c r="B247" t="s">
        <v>113</v>
      </c>
      <c r="C247">
        <v>2018</v>
      </c>
      <c r="D247">
        <v>9</v>
      </c>
      <c r="E247" t="s">
        <v>415</v>
      </c>
      <c r="F247" t="s">
        <v>416</v>
      </c>
      <c r="G247" t="s">
        <v>84</v>
      </c>
      <c r="H247" t="s">
        <v>428</v>
      </c>
      <c r="I247" t="s">
        <v>456</v>
      </c>
      <c r="J247" s="62">
        <v>5058.3354983199997</v>
      </c>
      <c r="K247">
        <v>42.349316260000002</v>
      </c>
      <c r="L247">
        <v>-203573.71336892</v>
      </c>
      <c r="M247" t="s">
        <v>454</v>
      </c>
      <c r="N247">
        <v>40.402541720000002</v>
      </c>
      <c r="O247">
        <v>-5033.4369808000001</v>
      </c>
    </row>
    <row r="248" spans="1:15" x14ac:dyDescent="0.25">
      <c r="A248" t="s">
        <v>452</v>
      </c>
      <c r="B248" t="s">
        <v>113</v>
      </c>
      <c r="C248">
        <v>2018</v>
      </c>
      <c r="D248">
        <v>9</v>
      </c>
      <c r="E248" t="s">
        <v>415</v>
      </c>
      <c r="F248" t="s">
        <v>429</v>
      </c>
      <c r="G248" t="s">
        <v>84</v>
      </c>
      <c r="H248" t="s">
        <v>431</v>
      </c>
      <c r="I248" t="s">
        <v>453</v>
      </c>
      <c r="J248" s="62">
        <v>12805.81449923</v>
      </c>
      <c r="K248">
        <v>42.482064299999998</v>
      </c>
      <c r="L248">
        <v>-572403.21964012005</v>
      </c>
      <c r="M248" t="s">
        <v>454</v>
      </c>
      <c r="N248">
        <v>40.402541720000002</v>
      </c>
      <c r="O248">
        <v>-13733.170595559999</v>
      </c>
    </row>
    <row r="249" spans="1:15" x14ac:dyDescent="0.25">
      <c r="A249" t="s">
        <v>452</v>
      </c>
      <c r="B249" t="s">
        <v>113</v>
      </c>
      <c r="C249">
        <v>2018</v>
      </c>
      <c r="D249">
        <v>9</v>
      </c>
      <c r="E249" t="s">
        <v>415</v>
      </c>
      <c r="F249" t="s">
        <v>429</v>
      </c>
      <c r="G249" t="s">
        <v>84</v>
      </c>
      <c r="H249" t="s">
        <v>432</v>
      </c>
      <c r="I249" t="s">
        <v>455</v>
      </c>
      <c r="J249" s="62">
        <v>2555.56513017</v>
      </c>
      <c r="K249">
        <v>42.900588630000001</v>
      </c>
      <c r="L249">
        <v>-112661.76595818999</v>
      </c>
      <c r="M249" t="s">
        <v>454</v>
      </c>
      <c r="N249">
        <v>40.402541720000002</v>
      </c>
      <c r="O249">
        <v>-2712.9657329299998</v>
      </c>
    </row>
    <row r="250" spans="1:15" x14ac:dyDescent="0.25">
      <c r="A250" t="s">
        <v>452</v>
      </c>
      <c r="B250" t="s">
        <v>113</v>
      </c>
      <c r="C250">
        <v>2018</v>
      </c>
      <c r="D250">
        <v>9</v>
      </c>
      <c r="E250" t="s">
        <v>415</v>
      </c>
      <c r="F250" t="s">
        <v>429</v>
      </c>
      <c r="G250" t="s">
        <v>84</v>
      </c>
      <c r="H250" t="s">
        <v>433</v>
      </c>
      <c r="I250" t="s">
        <v>456</v>
      </c>
      <c r="J250" s="62">
        <v>6038.7160952000004</v>
      </c>
      <c r="K250">
        <v>42.349316260000002</v>
      </c>
      <c r="L250">
        <v>-267444.42111245001</v>
      </c>
      <c r="M250" t="s">
        <v>454</v>
      </c>
      <c r="N250">
        <v>40.402541720000002</v>
      </c>
      <c r="O250">
        <v>-6422.9234857399997</v>
      </c>
    </row>
    <row r="251" spans="1:15" x14ac:dyDescent="0.25">
      <c r="A251" t="s">
        <v>452</v>
      </c>
      <c r="B251" t="s">
        <v>113</v>
      </c>
      <c r="C251">
        <v>2018</v>
      </c>
      <c r="D251">
        <v>9</v>
      </c>
      <c r="E251" t="s">
        <v>415</v>
      </c>
      <c r="F251" t="s">
        <v>434</v>
      </c>
      <c r="G251" t="s">
        <v>84</v>
      </c>
      <c r="H251" t="s">
        <v>436</v>
      </c>
      <c r="I251" t="s">
        <v>453</v>
      </c>
      <c r="J251" s="62">
        <v>5781.1999023500002</v>
      </c>
      <c r="K251">
        <v>42.482064299999998</v>
      </c>
      <c r="L251">
        <v>-251424.37638249999</v>
      </c>
      <c r="M251" t="s">
        <v>454</v>
      </c>
      <c r="N251">
        <v>40.402541720000002</v>
      </c>
      <c r="O251">
        <v>-5873.3418815900004</v>
      </c>
    </row>
    <row r="252" spans="1:15" x14ac:dyDescent="0.25">
      <c r="A252" t="s">
        <v>452</v>
      </c>
      <c r="B252" t="s">
        <v>113</v>
      </c>
      <c r="C252">
        <v>2018</v>
      </c>
      <c r="D252">
        <v>9</v>
      </c>
      <c r="E252" t="s">
        <v>415</v>
      </c>
      <c r="F252" t="s">
        <v>434</v>
      </c>
      <c r="G252" t="s">
        <v>84</v>
      </c>
      <c r="H252" t="s">
        <v>437</v>
      </c>
      <c r="I252" t="s">
        <v>455</v>
      </c>
      <c r="J252" s="62">
        <v>1158.0490421899999</v>
      </c>
      <c r="K252">
        <v>42.900588630000001</v>
      </c>
      <c r="L252">
        <v>-52874.558493960001</v>
      </c>
      <c r="M252" t="s">
        <v>454</v>
      </c>
      <c r="N252">
        <v>40.402541720000002</v>
      </c>
      <c r="O252">
        <v>-1233.90585577</v>
      </c>
    </row>
    <row r="253" spans="1:15" x14ac:dyDescent="0.25">
      <c r="A253" t="s">
        <v>452</v>
      </c>
      <c r="B253" t="s">
        <v>113</v>
      </c>
      <c r="C253">
        <v>2018</v>
      </c>
      <c r="D253">
        <v>9</v>
      </c>
      <c r="E253" t="s">
        <v>415</v>
      </c>
      <c r="F253" t="s">
        <v>434</v>
      </c>
      <c r="G253" t="s">
        <v>84</v>
      </c>
      <c r="H253" t="s">
        <v>438</v>
      </c>
      <c r="I253" t="s">
        <v>456</v>
      </c>
      <c r="J253" s="62">
        <v>3367.96846435</v>
      </c>
      <c r="K253">
        <v>42.349316260000002</v>
      </c>
      <c r="L253">
        <v>-146043.65330393001</v>
      </c>
      <c r="M253" t="s">
        <v>454</v>
      </c>
      <c r="N253">
        <v>40.402541720000002</v>
      </c>
      <c r="O253">
        <v>-3409.1791031799999</v>
      </c>
    </row>
    <row r="254" spans="1:15" x14ac:dyDescent="0.25">
      <c r="A254" t="s">
        <v>452</v>
      </c>
      <c r="B254" t="s">
        <v>154</v>
      </c>
      <c r="C254">
        <v>2019</v>
      </c>
      <c r="D254">
        <v>9</v>
      </c>
      <c r="E254" t="s">
        <v>415</v>
      </c>
      <c r="F254" t="s">
        <v>416</v>
      </c>
      <c r="G254" t="s">
        <v>84</v>
      </c>
      <c r="H254" t="s">
        <v>418</v>
      </c>
      <c r="I254" t="s">
        <v>453</v>
      </c>
      <c r="J254" s="62">
        <v>17468.87467963</v>
      </c>
      <c r="K254">
        <v>30.483705520000001</v>
      </c>
      <c r="L254">
        <v>-538965.60757599003</v>
      </c>
      <c r="M254" t="s">
        <v>454</v>
      </c>
      <c r="N254">
        <v>30.684261039999999</v>
      </c>
      <c r="O254">
        <v>-17045.614542740001</v>
      </c>
    </row>
    <row r="255" spans="1:15" x14ac:dyDescent="0.25">
      <c r="A255" t="s">
        <v>452</v>
      </c>
      <c r="B255" t="s">
        <v>154</v>
      </c>
      <c r="C255">
        <v>2019</v>
      </c>
      <c r="D255">
        <v>9</v>
      </c>
      <c r="E255" t="s">
        <v>415</v>
      </c>
      <c r="F255" t="s">
        <v>416</v>
      </c>
      <c r="G255" t="s">
        <v>84</v>
      </c>
      <c r="H255" t="s">
        <v>426</v>
      </c>
      <c r="I255" t="s">
        <v>455</v>
      </c>
      <c r="J255" s="62">
        <v>3804.5175444900001</v>
      </c>
      <c r="K255">
        <v>31.93151941</v>
      </c>
      <c r="L255">
        <v>-124383.04598934999</v>
      </c>
      <c r="M255" t="s">
        <v>454</v>
      </c>
      <c r="N255">
        <v>30.684261039999999</v>
      </c>
      <c r="O255">
        <v>-3935.3616527300001</v>
      </c>
    </row>
    <row r="256" spans="1:15" x14ac:dyDescent="0.25">
      <c r="A256" t="s">
        <v>452</v>
      </c>
      <c r="B256" t="s">
        <v>154</v>
      </c>
      <c r="C256">
        <v>2019</v>
      </c>
      <c r="D256">
        <v>9</v>
      </c>
      <c r="E256" t="s">
        <v>415</v>
      </c>
      <c r="F256" t="s">
        <v>416</v>
      </c>
      <c r="G256" t="s">
        <v>84</v>
      </c>
      <c r="H256" t="s">
        <v>428</v>
      </c>
      <c r="I256" t="s">
        <v>456</v>
      </c>
      <c r="J256" s="62">
        <v>7976.98419569</v>
      </c>
      <c r="K256">
        <v>31.042981579999999</v>
      </c>
      <c r="L256">
        <v>-254626.19601359</v>
      </c>
      <c r="M256" t="s">
        <v>454</v>
      </c>
      <c r="N256">
        <v>30.684261039999999</v>
      </c>
      <c r="O256">
        <v>-8016.4083261599999</v>
      </c>
    </row>
    <row r="257" spans="1:15" x14ac:dyDescent="0.25">
      <c r="A257" t="s">
        <v>452</v>
      </c>
      <c r="B257" t="s">
        <v>154</v>
      </c>
      <c r="C257">
        <v>2019</v>
      </c>
      <c r="D257">
        <v>9</v>
      </c>
      <c r="E257" t="s">
        <v>415</v>
      </c>
      <c r="F257" t="s">
        <v>429</v>
      </c>
      <c r="G257" t="s">
        <v>84</v>
      </c>
      <c r="H257" t="s">
        <v>431</v>
      </c>
      <c r="I257" t="s">
        <v>453</v>
      </c>
      <c r="J257" s="62">
        <v>26924.946475289998</v>
      </c>
      <c r="K257">
        <v>30.483705520000001</v>
      </c>
      <c r="L257">
        <v>-799250.77631761006</v>
      </c>
      <c r="M257" t="s">
        <v>454</v>
      </c>
      <c r="N257">
        <v>30.684261039999999</v>
      </c>
      <c r="O257">
        <v>-27523.804468310002</v>
      </c>
    </row>
    <row r="258" spans="1:15" x14ac:dyDescent="0.25">
      <c r="A258" t="s">
        <v>452</v>
      </c>
      <c r="B258" t="s">
        <v>154</v>
      </c>
      <c r="C258">
        <v>2019</v>
      </c>
      <c r="D258">
        <v>9</v>
      </c>
      <c r="E258" t="s">
        <v>415</v>
      </c>
      <c r="F258" t="s">
        <v>429</v>
      </c>
      <c r="G258" t="s">
        <v>84</v>
      </c>
      <c r="H258" t="s">
        <v>432</v>
      </c>
      <c r="I258" t="s">
        <v>455</v>
      </c>
      <c r="J258" s="62">
        <v>6493.0406436200001</v>
      </c>
      <c r="K258">
        <v>31.93151941</v>
      </c>
      <c r="L258">
        <v>-199294.99443965999</v>
      </c>
      <c r="M258" t="s">
        <v>454</v>
      </c>
      <c r="N258">
        <v>30.684261039999999</v>
      </c>
      <c r="O258">
        <v>-6817.6096613600002</v>
      </c>
    </row>
    <row r="259" spans="1:15" x14ac:dyDescent="0.25">
      <c r="A259" t="s">
        <v>452</v>
      </c>
      <c r="B259" t="s">
        <v>154</v>
      </c>
      <c r="C259">
        <v>2019</v>
      </c>
      <c r="D259">
        <v>9</v>
      </c>
      <c r="E259" t="s">
        <v>415</v>
      </c>
      <c r="F259" t="s">
        <v>429</v>
      </c>
      <c r="G259" t="s">
        <v>84</v>
      </c>
      <c r="H259" t="s">
        <v>433</v>
      </c>
      <c r="I259" t="s">
        <v>456</v>
      </c>
      <c r="J259" s="62">
        <v>10744.242769099999</v>
      </c>
      <c r="K259">
        <v>31.042981579999999</v>
      </c>
      <c r="L259">
        <v>-321458.87368418003</v>
      </c>
      <c r="M259" t="s">
        <v>454</v>
      </c>
      <c r="N259">
        <v>30.684261039999999</v>
      </c>
      <c r="O259">
        <v>-11006.73317917</v>
      </c>
    </row>
    <row r="260" spans="1:15" x14ac:dyDescent="0.25">
      <c r="A260" t="s">
        <v>452</v>
      </c>
      <c r="B260" t="s">
        <v>154</v>
      </c>
      <c r="C260">
        <v>2019</v>
      </c>
      <c r="D260">
        <v>9</v>
      </c>
      <c r="E260" t="s">
        <v>415</v>
      </c>
      <c r="F260" t="s">
        <v>434</v>
      </c>
      <c r="G260" t="s">
        <v>84</v>
      </c>
      <c r="H260" t="s">
        <v>436</v>
      </c>
      <c r="I260" t="s">
        <v>453</v>
      </c>
      <c r="J260" s="62">
        <v>11523.3116083</v>
      </c>
      <c r="K260">
        <v>30.483705520000001</v>
      </c>
      <c r="L260">
        <v>-375185.02522516</v>
      </c>
      <c r="M260" t="s">
        <v>454</v>
      </c>
      <c r="N260">
        <v>30.684261039999999</v>
      </c>
      <c r="O260">
        <v>-11230.3526888</v>
      </c>
    </row>
    <row r="261" spans="1:15" x14ac:dyDescent="0.25">
      <c r="A261" t="s">
        <v>452</v>
      </c>
      <c r="B261" t="s">
        <v>154</v>
      </c>
      <c r="C261">
        <v>2019</v>
      </c>
      <c r="D261">
        <v>9</v>
      </c>
      <c r="E261" t="s">
        <v>415</v>
      </c>
      <c r="F261" t="s">
        <v>434</v>
      </c>
      <c r="G261" t="s">
        <v>84</v>
      </c>
      <c r="H261" t="s">
        <v>437</v>
      </c>
      <c r="I261" t="s">
        <v>455</v>
      </c>
      <c r="J261" s="62">
        <v>2284.1016139600001</v>
      </c>
      <c r="K261">
        <v>31.93151941</v>
      </c>
      <c r="L261">
        <v>-79095.278838309998</v>
      </c>
      <c r="M261" t="s">
        <v>454</v>
      </c>
      <c r="N261">
        <v>30.684261039999999</v>
      </c>
      <c r="O261">
        <v>-2364.1881831699998</v>
      </c>
    </row>
    <row r="262" spans="1:15" x14ac:dyDescent="0.25">
      <c r="A262" t="s">
        <v>452</v>
      </c>
      <c r="B262" t="s">
        <v>154</v>
      </c>
      <c r="C262">
        <v>2019</v>
      </c>
      <c r="D262">
        <v>9</v>
      </c>
      <c r="E262" t="s">
        <v>415</v>
      </c>
      <c r="F262" t="s">
        <v>434</v>
      </c>
      <c r="G262" t="s">
        <v>84</v>
      </c>
      <c r="H262" t="s">
        <v>438</v>
      </c>
      <c r="I262" t="s">
        <v>456</v>
      </c>
      <c r="J262" s="62">
        <v>5664.5181365099997</v>
      </c>
      <c r="K262">
        <v>31.042981579999999</v>
      </c>
      <c r="L262">
        <v>-189987.58282442999</v>
      </c>
      <c r="M262" t="s">
        <v>454</v>
      </c>
      <c r="N262">
        <v>30.684261039999999</v>
      </c>
      <c r="O262">
        <v>-5678.0471126399998</v>
      </c>
    </row>
    <row r="263" spans="1:15" x14ac:dyDescent="0.25">
      <c r="A263" t="s">
        <v>452</v>
      </c>
      <c r="B263" t="s">
        <v>244</v>
      </c>
      <c r="C263">
        <v>2020</v>
      </c>
      <c r="D263">
        <v>9</v>
      </c>
      <c r="E263" t="s">
        <v>415</v>
      </c>
      <c r="F263" t="s">
        <v>416</v>
      </c>
      <c r="G263" t="s">
        <v>84</v>
      </c>
      <c r="H263" t="s">
        <v>418</v>
      </c>
      <c r="I263" t="s">
        <v>453</v>
      </c>
      <c r="J263" s="62">
        <v>37935.344916479997</v>
      </c>
      <c r="K263">
        <v>22.43779791</v>
      </c>
      <c r="L263">
        <v>-894134.85316407005</v>
      </c>
      <c r="M263" t="s">
        <v>454</v>
      </c>
      <c r="N263">
        <v>22.508159370000001</v>
      </c>
      <c r="O263">
        <v>-37337.55458063</v>
      </c>
    </row>
    <row r="264" spans="1:15" x14ac:dyDescent="0.25">
      <c r="A264" t="s">
        <v>452</v>
      </c>
      <c r="B264" t="s">
        <v>244</v>
      </c>
      <c r="C264">
        <v>2020</v>
      </c>
      <c r="D264">
        <v>9</v>
      </c>
      <c r="E264" t="s">
        <v>415</v>
      </c>
      <c r="F264" t="s">
        <v>416</v>
      </c>
      <c r="G264" t="s">
        <v>84</v>
      </c>
      <c r="H264" t="s">
        <v>426</v>
      </c>
      <c r="I264" t="s">
        <v>455</v>
      </c>
      <c r="J264" s="62">
        <v>7809.6408401999997</v>
      </c>
      <c r="K264">
        <v>23.877700969999999</v>
      </c>
      <c r="L264">
        <v>-194355.05795876001</v>
      </c>
      <c r="M264" t="s">
        <v>454</v>
      </c>
      <c r="N264">
        <v>22.508159370000001</v>
      </c>
      <c r="O264">
        <v>-8133.2946363999999</v>
      </c>
    </row>
    <row r="265" spans="1:15" x14ac:dyDescent="0.25">
      <c r="A265" t="s">
        <v>452</v>
      </c>
      <c r="B265" t="s">
        <v>244</v>
      </c>
      <c r="C265">
        <v>2020</v>
      </c>
      <c r="D265">
        <v>9</v>
      </c>
      <c r="E265" t="s">
        <v>415</v>
      </c>
      <c r="F265" t="s">
        <v>416</v>
      </c>
      <c r="G265" t="s">
        <v>84</v>
      </c>
      <c r="H265" t="s">
        <v>428</v>
      </c>
      <c r="I265" t="s">
        <v>456</v>
      </c>
      <c r="J265" s="62">
        <v>19998.993255450001</v>
      </c>
      <c r="K265">
        <v>23.22850025</v>
      </c>
      <c r="L265">
        <v>-484171.61033916002</v>
      </c>
      <c r="M265" t="s">
        <v>454</v>
      </c>
      <c r="N265">
        <v>22.508159370000001</v>
      </c>
      <c r="O265">
        <v>-20290.161443069999</v>
      </c>
    </row>
    <row r="266" spans="1:15" x14ac:dyDescent="0.25">
      <c r="A266" t="s">
        <v>452</v>
      </c>
      <c r="B266" t="s">
        <v>244</v>
      </c>
      <c r="C266">
        <v>2020</v>
      </c>
      <c r="D266">
        <v>9</v>
      </c>
      <c r="E266" t="s">
        <v>415</v>
      </c>
      <c r="F266" t="s">
        <v>429</v>
      </c>
      <c r="G266" t="s">
        <v>84</v>
      </c>
      <c r="H266" t="s">
        <v>431</v>
      </c>
      <c r="I266" t="s">
        <v>453</v>
      </c>
      <c r="J266" s="62">
        <v>53878.760730419999</v>
      </c>
      <c r="K266">
        <v>22.43779791</v>
      </c>
      <c r="L266">
        <v>-1072125.24585928</v>
      </c>
      <c r="M266" t="s">
        <v>454</v>
      </c>
      <c r="N266">
        <v>22.508159370000001</v>
      </c>
      <c r="O266">
        <v>-49336.2030829</v>
      </c>
    </row>
    <row r="267" spans="1:15" x14ac:dyDescent="0.25">
      <c r="A267" t="s">
        <v>452</v>
      </c>
      <c r="B267" t="s">
        <v>244</v>
      </c>
      <c r="C267">
        <v>2020</v>
      </c>
      <c r="D267">
        <v>9</v>
      </c>
      <c r="E267" t="s">
        <v>415</v>
      </c>
      <c r="F267" t="s">
        <v>429</v>
      </c>
      <c r="G267" t="s">
        <v>84</v>
      </c>
      <c r="H267" t="s">
        <v>432</v>
      </c>
      <c r="I267" t="s">
        <v>455</v>
      </c>
      <c r="J267" s="62">
        <v>10863.032183470001</v>
      </c>
      <c r="K267">
        <v>23.877700969999999</v>
      </c>
      <c r="L267">
        <v>-234069.06103031</v>
      </c>
      <c r="M267" t="s">
        <v>454</v>
      </c>
      <c r="N267">
        <v>22.508159370000001</v>
      </c>
      <c r="O267">
        <v>-17052.493153759999</v>
      </c>
    </row>
    <row r="268" spans="1:15" x14ac:dyDescent="0.25">
      <c r="A268" t="s">
        <v>452</v>
      </c>
      <c r="B268" t="s">
        <v>244</v>
      </c>
      <c r="C268">
        <v>2020</v>
      </c>
      <c r="D268">
        <v>9</v>
      </c>
      <c r="E268" t="s">
        <v>415</v>
      </c>
      <c r="F268" t="s">
        <v>429</v>
      </c>
      <c r="G268" t="s">
        <v>84</v>
      </c>
      <c r="H268" t="s">
        <v>433</v>
      </c>
      <c r="I268" t="s">
        <v>456</v>
      </c>
      <c r="J268" s="62">
        <v>26723.381619899999</v>
      </c>
      <c r="K268">
        <v>23.22850025</v>
      </c>
      <c r="L268">
        <v>-545081.83469845005</v>
      </c>
      <c r="M268" t="s">
        <v>454</v>
      </c>
      <c r="N268">
        <v>22.508159370000001</v>
      </c>
      <c r="O268">
        <v>-45725.660259730001</v>
      </c>
    </row>
    <row r="269" spans="1:15" x14ac:dyDescent="0.25">
      <c r="A269" t="s">
        <v>452</v>
      </c>
      <c r="B269" t="s">
        <v>244</v>
      </c>
      <c r="C269">
        <v>2020</v>
      </c>
      <c r="D269">
        <v>9</v>
      </c>
      <c r="E269" t="s">
        <v>415</v>
      </c>
      <c r="F269" t="s">
        <v>434</v>
      </c>
      <c r="G269" t="s">
        <v>84</v>
      </c>
      <c r="H269" t="s">
        <v>436</v>
      </c>
      <c r="I269" t="s">
        <v>453</v>
      </c>
      <c r="J269" s="62">
        <v>28504.763543149998</v>
      </c>
      <c r="K269">
        <v>22.43779791</v>
      </c>
      <c r="L269">
        <v>-794523.64603388996</v>
      </c>
      <c r="M269" t="s">
        <v>454</v>
      </c>
      <c r="N269">
        <v>22.508159370000001</v>
      </c>
      <c r="O269">
        <v>-28338.98912857</v>
      </c>
    </row>
    <row r="270" spans="1:15" x14ac:dyDescent="0.25">
      <c r="A270" t="s">
        <v>452</v>
      </c>
      <c r="B270" t="s">
        <v>244</v>
      </c>
      <c r="C270">
        <v>2020</v>
      </c>
      <c r="D270">
        <v>9</v>
      </c>
      <c r="E270" t="s">
        <v>415</v>
      </c>
      <c r="F270" t="s">
        <v>434</v>
      </c>
      <c r="G270" t="s">
        <v>84</v>
      </c>
      <c r="H270" t="s">
        <v>437</v>
      </c>
      <c r="I270" t="s">
        <v>455</v>
      </c>
      <c r="J270" s="62">
        <v>5360.2018055899998</v>
      </c>
      <c r="K270">
        <v>23.877700969999999</v>
      </c>
      <c r="L270">
        <v>-156120.45337673</v>
      </c>
      <c r="M270" t="s">
        <v>454</v>
      </c>
      <c r="N270">
        <v>22.508159370000001</v>
      </c>
      <c r="O270">
        <v>-5562.9608292299999</v>
      </c>
    </row>
    <row r="271" spans="1:15" x14ac:dyDescent="0.25">
      <c r="A271" t="s">
        <v>452</v>
      </c>
      <c r="B271" t="s">
        <v>244</v>
      </c>
      <c r="C271">
        <v>2020</v>
      </c>
      <c r="D271">
        <v>9</v>
      </c>
      <c r="E271" t="s">
        <v>415</v>
      </c>
      <c r="F271" t="s">
        <v>434</v>
      </c>
      <c r="G271" t="s">
        <v>84</v>
      </c>
      <c r="H271" t="s">
        <v>438</v>
      </c>
      <c r="I271" t="s">
        <v>456</v>
      </c>
      <c r="J271" s="62">
        <v>14326.757922889999</v>
      </c>
      <c r="K271">
        <v>23.22850025</v>
      </c>
      <c r="L271">
        <v>-401865.67097784998</v>
      </c>
      <c r="M271" t="s">
        <v>454</v>
      </c>
      <c r="N271">
        <v>22.508159370000001</v>
      </c>
      <c r="O271">
        <v>-14400.52130617</v>
      </c>
    </row>
    <row r="272" spans="1:15" x14ac:dyDescent="0.25">
      <c r="A272" t="s">
        <v>452</v>
      </c>
      <c r="B272" t="s">
        <v>114</v>
      </c>
      <c r="C272">
        <v>2018</v>
      </c>
      <c r="D272">
        <v>10</v>
      </c>
      <c r="E272" t="s">
        <v>415</v>
      </c>
      <c r="F272" t="s">
        <v>416</v>
      </c>
      <c r="G272" t="s">
        <v>84</v>
      </c>
      <c r="H272" t="s">
        <v>418</v>
      </c>
      <c r="I272" t="s">
        <v>453</v>
      </c>
      <c r="J272" s="62">
        <v>8573.1690858999991</v>
      </c>
      <c r="K272">
        <v>35.740292910000001</v>
      </c>
      <c r="L272">
        <v>-270979.47219106997</v>
      </c>
      <c r="M272" t="s">
        <v>454</v>
      </c>
      <c r="N272">
        <v>38.19182481</v>
      </c>
      <c r="O272">
        <v>-7620.8190142499998</v>
      </c>
    </row>
    <row r="273" spans="1:15" x14ac:dyDescent="0.25">
      <c r="A273" t="s">
        <v>452</v>
      </c>
      <c r="B273" t="s">
        <v>114</v>
      </c>
      <c r="C273">
        <v>2018</v>
      </c>
      <c r="D273">
        <v>10</v>
      </c>
      <c r="E273" t="s">
        <v>415</v>
      </c>
      <c r="F273" t="s">
        <v>416</v>
      </c>
      <c r="G273" t="s">
        <v>84</v>
      </c>
      <c r="H273" t="s">
        <v>426</v>
      </c>
      <c r="I273" t="s">
        <v>455</v>
      </c>
      <c r="J273" s="62">
        <v>2000.4146134099999</v>
      </c>
      <c r="K273">
        <v>39.368685139999997</v>
      </c>
      <c r="L273">
        <v>-70048.798483620005</v>
      </c>
      <c r="M273" t="s">
        <v>454</v>
      </c>
      <c r="N273">
        <v>38.19182481</v>
      </c>
      <c r="O273">
        <v>-1970.99822139</v>
      </c>
    </row>
    <row r="274" spans="1:15" x14ac:dyDescent="0.25">
      <c r="A274" t="s">
        <v>452</v>
      </c>
      <c r="B274" t="s">
        <v>114</v>
      </c>
      <c r="C274">
        <v>2018</v>
      </c>
      <c r="D274">
        <v>10</v>
      </c>
      <c r="E274" t="s">
        <v>415</v>
      </c>
      <c r="F274" t="s">
        <v>416</v>
      </c>
      <c r="G274" t="s">
        <v>84</v>
      </c>
      <c r="H274" t="s">
        <v>428</v>
      </c>
      <c r="I274" t="s">
        <v>456</v>
      </c>
      <c r="J274" s="62">
        <v>5276.5924770299998</v>
      </c>
      <c r="K274">
        <v>37.418738410000003</v>
      </c>
      <c r="L274">
        <v>-174995.1444353</v>
      </c>
      <c r="M274" t="s">
        <v>454</v>
      </c>
      <c r="N274">
        <v>38.19182481</v>
      </c>
      <c r="O274">
        <v>-4939.0589050299996</v>
      </c>
    </row>
    <row r="275" spans="1:15" x14ac:dyDescent="0.25">
      <c r="A275" t="s">
        <v>452</v>
      </c>
      <c r="B275" t="s">
        <v>114</v>
      </c>
      <c r="C275">
        <v>2018</v>
      </c>
      <c r="D275">
        <v>10</v>
      </c>
      <c r="E275" t="s">
        <v>415</v>
      </c>
      <c r="F275" t="s">
        <v>429</v>
      </c>
      <c r="G275" t="s">
        <v>84</v>
      </c>
      <c r="H275" t="s">
        <v>431</v>
      </c>
      <c r="I275" t="s">
        <v>453</v>
      </c>
      <c r="J275" s="62">
        <v>14619.26968748</v>
      </c>
      <c r="K275">
        <v>35.740292910000001</v>
      </c>
      <c r="L275">
        <v>-554149.12485967996</v>
      </c>
      <c r="M275" t="s">
        <v>454</v>
      </c>
      <c r="N275">
        <v>38.19182481</v>
      </c>
      <c r="O275">
        <v>-13787.150773040001</v>
      </c>
    </row>
    <row r="276" spans="1:15" x14ac:dyDescent="0.25">
      <c r="A276" t="s">
        <v>452</v>
      </c>
      <c r="B276" t="s">
        <v>114</v>
      </c>
      <c r="C276">
        <v>2018</v>
      </c>
      <c r="D276">
        <v>10</v>
      </c>
      <c r="E276" t="s">
        <v>415</v>
      </c>
      <c r="F276" t="s">
        <v>429</v>
      </c>
      <c r="G276" t="s">
        <v>84</v>
      </c>
      <c r="H276" t="s">
        <v>432</v>
      </c>
      <c r="I276" t="s">
        <v>455</v>
      </c>
      <c r="J276" s="62">
        <v>3475.4606518599999</v>
      </c>
      <c r="K276">
        <v>39.368685139999997</v>
      </c>
      <c r="L276">
        <v>-145793.95750918001</v>
      </c>
      <c r="M276" t="s">
        <v>454</v>
      </c>
      <c r="N276">
        <v>38.19182481</v>
      </c>
      <c r="O276">
        <v>-3598.8889301300001</v>
      </c>
    </row>
    <row r="277" spans="1:15" x14ac:dyDescent="0.25">
      <c r="A277" t="s">
        <v>452</v>
      </c>
      <c r="B277" t="s">
        <v>114</v>
      </c>
      <c r="C277">
        <v>2018</v>
      </c>
      <c r="D277">
        <v>10</v>
      </c>
      <c r="E277" t="s">
        <v>415</v>
      </c>
      <c r="F277" t="s">
        <v>429</v>
      </c>
      <c r="G277" t="s">
        <v>84</v>
      </c>
      <c r="H277" t="s">
        <v>433</v>
      </c>
      <c r="I277" t="s">
        <v>456</v>
      </c>
      <c r="J277" s="62">
        <v>6762.7765666699997</v>
      </c>
      <c r="K277">
        <v>37.418738410000003</v>
      </c>
      <c r="L277">
        <v>-266592.25843024999</v>
      </c>
      <c r="M277" t="s">
        <v>454</v>
      </c>
      <c r="N277">
        <v>38.19182481</v>
      </c>
      <c r="O277">
        <v>-6652.04363552</v>
      </c>
    </row>
    <row r="278" spans="1:15" x14ac:dyDescent="0.25">
      <c r="A278" t="s">
        <v>452</v>
      </c>
      <c r="B278" t="s">
        <v>114</v>
      </c>
      <c r="C278">
        <v>2018</v>
      </c>
      <c r="D278">
        <v>10</v>
      </c>
      <c r="E278" t="s">
        <v>415</v>
      </c>
      <c r="F278" t="s">
        <v>434</v>
      </c>
      <c r="G278" t="s">
        <v>84</v>
      </c>
      <c r="H278" t="s">
        <v>436</v>
      </c>
      <c r="I278" t="s">
        <v>453</v>
      </c>
      <c r="J278" s="62">
        <v>6434.1278425399996</v>
      </c>
      <c r="K278">
        <v>35.740292910000001</v>
      </c>
      <c r="L278">
        <v>-257267.87545349999</v>
      </c>
      <c r="M278" t="s">
        <v>454</v>
      </c>
      <c r="N278">
        <v>38.19182481</v>
      </c>
      <c r="O278">
        <v>-5995.5579138499997</v>
      </c>
    </row>
    <row r="279" spans="1:15" x14ac:dyDescent="0.25">
      <c r="A279" t="s">
        <v>452</v>
      </c>
      <c r="B279" t="s">
        <v>114</v>
      </c>
      <c r="C279">
        <v>2018</v>
      </c>
      <c r="D279">
        <v>10</v>
      </c>
      <c r="E279" t="s">
        <v>415</v>
      </c>
      <c r="F279" t="s">
        <v>434</v>
      </c>
      <c r="G279" t="s">
        <v>84</v>
      </c>
      <c r="H279" t="s">
        <v>437</v>
      </c>
      <c r="I279" t="s">
        <v>455</v>
      </c>
      <c r="J279" s="62">
        <v>1522.60281697</v>
      </c>
      <c r="K279">
        <v>39.368685139999997</v>
      </c>
      <c r="L279">
        <v>-67932.982596000002</v>
      </c>
      <c r="M279" t="s">
        <v>454</v>
      </c>
      <c r="N279">
        <v>38.19182481</v>
      </c>
      <c r="O279">
        <v>-1575.0710692600001</v>
      </c>
    </row>
    <row r="280" spans="1:15" x14ac:dyDescent="0.25">
      <c r="A280" t="s">
        <v>452</v>
      </c>
      <c r="B280" t="s">
        <v>114</v>
      </c>
      <c r="C280">
        <v>2018</v>
      </c>
      <c r="D280">
        <v>10</v>
      </c>
      <c r="E280" t="s">
        <v>415</v>
      </c>
      <c r="F280" t="s">
        <v>434</v>
      </c>
      <c r="G280" t="s">
        <v>84</v>
      </c>
      <c r="H280" t="s">
        <v>438</v>
      </c>
      <c r="I280" t="s">
        <v>456</v>
      </c>
      <c r="J280" s="62">
        <v>3728.4225010999999</v>
      </c>
      <c r="K280">
        <v>37.418738410000003</v>
      </c>
      <c r="L280">
        <v>-155160.07473242999</v>
      </c>
      <c r="M280" t="s">
        <v>454</v>
      </c>
      <c r="N280">
        <v>38.19182481</v>
      </c>
      <c r="O280">
        <v>-3637.1744012300001</v>
      </c>
    </row>
    <row r="281" spans="1:15" x14ac:dyDescent="0.25">
      <c r="A281" t="s">
        <v>452</v>
      </c>
      <c r="B281" t="s">
        <v>156</v>
      </c>
      <c r="C281">
        <v>2019</v>
      </c>
      <c r="D281">
        <v>10</v>
      </c>
      <c r="E281" t="s">
        <v>415</v>
      </c>
      <c r="F281" t="s">
        <v>416</v>
      </c>
      <c r="G281" t="s">
        <v>84</v>
      </c>
      <c r="H281" t="s">
        <v>418</v>
      </c>
      <c r="I281" t="s">
        <v>453</v>
      </c>
      <c r="J281" s="62">
        <v>21967.492632910002</v>
      </c>
      <c r="K281">
        <v>27.140196119999999</v>
      </c>
      <c r="L281">
        <v>-578502.03334522003</v>
      </c>
      <c r="M281" t="s">
        <v>454</v>
      </c>
      <c r="N281">
        <v>27.21392419</v>
      </c>
      <c r="O281">
        <v>-21483.917975730001</v>
      </c>
    </row>
    <row r="282" spans="1:15" x14ac:dyDescent="0.25">
      <c r="A282" t="s">
        <v>452</v>
      </c>
      <c r="B282" t="s">
        <v>156</v>
      </c>
      <c r="C282">
        <v>2019</v>
      </c>
      <c r="D282">
        <v>10</v>
      </c>
      <c r="E282" t="s">
        <v>415</v>
      </c>
      <c r="F282" t="s">
        <v>416</v>
      </c>
      <c r="G282" t="s">
        <v>84</v>
      </c>
      <c r="H282" t="s">
        <v>426</v>
      </c>
      <c r="I282" t="s">
        <v>455</v>
      </c>
      <c r="J282" s="62">
        <v>4347.4310306199995</v>
      </c>
      <c r="K282">
        <v>28.42162635</v>
      </c>
      <c r="L282">
        <v>-119312.59505078</v>
      </c>
      <c r="M282" t="s">
        <v>454</v>
      </c>
      <c r="N282">
        <v>27.21392419</v>
      </c>
      <c r="O282">
        <v>-4494.0683952299996</v>
      </c>
    </row>
    <row r="283" spans="1:15" x14ac:dyDescent="0.25">
      <c r="A283" t="s">
        <v>452</v>
      </c>
      <c r="B283" t="s">
        <v>156</v>
      </c>
      <c r="C283">
        <v>2019</v>
      </c>
      <c r="D283">
        <v>10</v>
      </c>
      <c r="E283" t="s">
        <v>415</v>
      </c>
      <c r="F283" t="s">
        <v>416</v>
      </c>
      <c r="G283" t="s">
        <v>84</v>
      </c>
      <c r="H283" t="s">
        <v>428</v>
      </c>
      <c r="I283" t="s">
        <v>456</v>
      </c>
      <c r="J283" s="62">
        <v>8617.1568762799998</v>
      </c>
      <c r="K283">
        <v>27.506306080000002</v>
      </c>
      <c r="L283">
        <v>-234086.37299912001</v>
      </c>
      <c r="M283" t="s">
        <v>454</v>
      </c>
      <c r="N283">
        <v>27.21392419</v>
      </c>
      <c r="O283">
        <v>-8641.5912600899992</v>
      </c>
    </row>
    <row r="284" spans="1:15" x14ac:dyDescent="0.25">
      <c r="A284" t="s">
        <v>452</v>
      </c>
      <c r="B284" t="s">
        <v>156</v>
      </c>
      <c r="C284">
        <v>2019</v>
      </c>
      <c r="D284">
        <v>10</v>
      </c>
      <c r="E284" t="s">
        <v>415</v>
      </c>
      <c r="F284" t="s">
        <v>429</v>
      </c>
      <c r="G284" t="s">
        <v>84</v>
      </c>
      <c r="H284" t="s">
        <v>431</v>
      </c>
      <c r="I284" t="s">
        <v>453</v>
      </c>
      <c r="J284" s="62">
        <v>36562.455434889998</v>
      </c>
      <c r="K284">
        <v>27.140196119999999</v>
      </c>
      <c r="L284">
        <v>-953134.37560510996</v>
      </c>
      <c r="M284" t="s">
        <v>454</v>
      </c>
      <c r="N284">
        <v>27.21392419</v>
      </c>
      <c r="O284">
        <v>-37457.703248990001</v>
      </c>
    </row>
    <row r="285" spans="1:15" x14ac:dyDescent="0.25">
      <c r="A285" t="s">
        <v>452</v>
      </c>
      <c r="B285" t="s">
        <v>156</v>
      </c>
      <c r="C285">
        <v>2019</v>
      </c>
      <c r="D285">
        <v>10</v>
      </c>
      <c r="E285" t="s">
        <v>415</v>
      </c>
      <c r="F285" t="s">
        <v>429</v>
      </c>
      <c r="G285" t="s">
        <v>84</v>
      </c>
      <c r="H285" t="s">
        <v>432</v>
      </c>
      <c r="I285" t="s">
        <v>455</v>
      </c>
      <c r="J285" s="62">
        <v>9141.9624499599995</v>
      </c>
      <c r="K285">
        <v>28.42162635</v>
      </c>
      <c r="L285">
        <v>-243706.1108048</v>
      </c>
      <c r="M285" t="s">
        <v>454</v>
      </c>
      <c r="N285">
        <v>27.21392419</v>
      </c>
      <c r="O285">
        <v>-9640.0394765100009</v>
      </c>
    </row>
    <row r="286" spans="1:15" x14ac:dyDescent="0.25">
      <c r="A286" t="s">
        <v>452</v>
      </c>
      <c r="B286" t="s">
        <v>156</v>
      </c>
      <c r="C286">
        <v>2019</v>
      </c>
      <c r="D286">
        <v>10</v>
      </c>
      <c r="E286" t="s">
        <v>415</v>
      </c>
      <c r="F286" t="s">
        <v>429</v>
      </c>
      <c r="G286" t="s">
        <v>84</v>
      </c>
      <c r="H286" t="s">
        <v>433</v>
      </c>
      <c r="I286" t="s">
        <v>456</v>
      </c>
      <c r="J286" s="62">
        <v>12993.658552110001</v>
      </c>
      <c r="K286">
        <v>27.506306080000002</v>
      </c>
      <c r="L286">
        <v>-339017.17267742002</v>
      </c>
      <c r="M286" t="s">
        <v>454</v>
      </c>
      <c r="N286">
        <v>27.21392419</v>
      </c>
      <c r="O286">
        <v>-13314.76539266</v>
      </c>
    </row>
    <row r="287" spans="1:15" x14ac:dyDescent="0.25">
      <c r="A287" t="s">
        <v>452</v>
      </c>
      <c r="B287" t="s">
        <v>156</v>
      </c>
      <c r="C287">
        <v>2019</v>
      </c>
      <c r="D287">
        <v>10</v>
      </c>
      <c r="E287" t="s">
        <v>415</v>
      </c>
      <c r="F287" t="s">
        <v>434</v>
      </c>
      <c r="G287" t="s">
        <v>84</v>
      </c>
      <c r="H287" t="s">
        <v>436</v>
      </c>
      <c r="I287" t="s">
        <v>453</v>
      </c>
      <c r="J287" s="62">
        <v>16034.02679007</v>
      </c>
      <c r="K287">
        <v>27.140196119999999</v>
      </c>
      <c r="L287">
        <v>-496471.31987249001</v>
      </c>
      <c r="M287" t="s">
        <v>454</v>
      </c>
      <c r="N287">
        <v>27.21392419</v>
      </c>
      <c r="O287">
        <v>-15778.92771659</v>
      </c>
    </row>
    <row r="288" spans="1:15" x14ac:dyDescent="0.25">
      <c r="A288" t="s">
        <v>452</v>
      </c>
      <c r="B288" t="s">
        <v>156</v>
      </c>
      <c r="C288">
        <v>2019</v>
      </c>
      <c r="D288">
        <v>10</v>
      </c>
      <c r="E288" t="s">
        <v>415</v>
      </c>
      <c r="F288" t="s">
        <v>434</v>
      </c>
      <c r="G288" t="s">
        <v>84</v>
      </c>
      <c r="H288" t="s">
        <v>437</v>
      </c>
      <c r="I288" t="s">
        <v>455</v>
      </c>
      <c r="J288" s="62">
        <v>3345.9307153899999</v>
      </c>
      <c r="K288">
        <v>28.42162635</v>
      </c>
      <c r="L288">
        <v>-108182.05829659</v>
      </c>
      <c r="M288" t="s">
        <v>454</v>
      </c>
      <c r="N288">
        <v>27.21392419</v>
      </c>
      <c r="O288">
        <v>-3484.3715824599999</v>
      </c>
    </row>
    <row r="289" spans="1:15" x14ac:dyDescent="0.25">
      <c r="A289" t="s">
        <v>452</v>
      </c>
      <c r="B289" t="s">
        <v>156</v>
      </c>
      <c r="C289">
        <v>2019</v>
      </c>
      <c r="D289">
        <v>10</v>
      </c>
      <c r="E289" t="s">
        <v>415</v>
      </c>
      <c r="F289" t="s">
        <v>434</v>
      </c>
      <c r="G289" t="s">
        <v>84</v>
      </c>
      <c r="H289" t="s">
        <v>438</v>
      </c>
      <c r="I289" t="s">
        <v>456</v>
      </c>
      <c r="J289" s="62">
        <v>6270.7591874500004</v>
      </c>
      <c r="K289">
        <v>27.506306080000002</v>
      </c>
      <c r="L289">
        <v>-200456.61851808999</v>
      </c>
      <c r="M289" t="s">
        <v>454</v>
      </c>
      <c r="N289">
        <v>27.21392419</v>
      </c>
      <c r="O289">
        <v>-6278.1238632900004</v>
      </c>
    </row>
    <row r="290" spans="1:15" x14ac:dyDescent="0.25">
      <c r="A290" t="s">
        <v>452</v>
      </c>
      <c r="B290" t="s">
        <v>442</v>
      </c>
      <c r="C290">
        <v>2020</v>
      </c>
      <c r="D290">
        <v>10</v>
      </c>
      <c r="E290" t="s">
        <v>415</v>
      </c>
      <c r="F290" t="s">
        <v>416</v>
      </c>
      <c r="G290" t="s">
        <v>84</v>
      </c>
      <c r="H290" t="s">
        <v>418</v>
      </c>
      <c r="I290" t="s">
        <v>453</v>
      </c>
      <c r="J290" s="62">
        <v>47128.691450810002</v>
      </c>
      <c r="K290">
        <v>22.80550809</v>
      </c>
      <c r="L290">
        <v>-1089623.4740413199</v>
      </c>
      <c r="M290" t="s">
        <v>454</v>
      </c>
      <c r="N290">
        <v>24.425321960000002</v>
      </c>
      <c r="O290">
        <v>-43238.187517819999</v>
      </c>
    </row>
    <row r="291" spans="1:15" x14ac:dyDescent="0.25">
      <c r="A291" t="s">
        <v>452</v>
      </c>
      <c r="B291" t="s">
        <v>442</v>
      </c>
      <c r="C291">
        <v>2020</v>
      </c>
      <c r="D291">
        <v>10</v>
      </c>
      <c r="E291" t="s">
        <v>415</v>
      </c>
      <c r="F291" t="s">
        <v>416</v>
      </c>
      <c r="G291" t="s">
        <v>84</v>
      </c>
      <c r="H291" t="s">
        <v>426</v>
      </c>
      <c r="I291" t="s">
        <v>455</v>
      </c>
      <c r="J291" s="62">
        <v>10679.17851591</v>
      </c>
      <c r="K291">
        <v>24.71824969</v>
      </c>
      <c r="L291">
        <v>-267744.21299591003</v>
      </c>
      <c r="M291" t="s">
        <v>454</v>
      </c>
      <c r="N291">
        <v>24.425321960000002</v>
      </c>
      <c r="O291">
        <v>-10713.150044419999</v>
      </c>
    </row>
    <row r="292" spans="1:15" x14ac:dyDescent="0.25">
      <c r="A292" t="s">
        <v>452</v>
      </c>
      <c r="B292" t="s">
        <v>442</v>
      </c>
      <c r="C292">
        <v>2020</v>
      </c>
      <c r="D292">
        <v>10</v>
      </c>
      <c r="E292" t="s">
        <v>415</v>
      </c>
      <c r="F292" t="s">
        <v>416</v>
      </c>
      <c r="G292" t="s">
        <v>84</v>
      </c>
      <c r="H292" t="s">
        <v>428</v>
      </c>
      <c r="I292" t="s">
        <v>456</v>
      </c>
      <c r="J292" s="62">
        <v>24376.453206499998</v>
      </c>
      <c r="K292">
        <v>23.92799509</v>
      </c>
      <c r="L292">
        <v>-594766.55671969999</v>
      </c>
      <c r="M292" t="s">
        <v>454</v>
      </c>
      <c r="N292">
        <v>24.425321960000002</v>
      </c>
      <c r="O292">
        <v>-23617.825871770001</v>
      </c>
    </row>
    <row r="293" spans="1:15" x14ac:dyDescent="0.25">
      <c r="A293" t="s">
        <v>452</v>
      </c>
      <c r="B293" t="s">
        <v>442</v>
      </c>
      <c r="C293">
        <v>2020</v>
      </c>
      <c r="D293">
        <v>10</v>
      </c>
      <c r="E293" t="s">
        <v>415</v>
      </c>
      <c r="F293" t="s">
        <v>429</v>
      </c>
      <c r="G293" t="s">
        <v>84</v>
      </c>
      <c r="H293" t="s">
        <v>431</v>
      </c>
      <c r="I293" t="s">
        <v>453</v>
      </c>
      <c r="J293" s="62">
        <v>75861.375507720004</v>
      </c>
      <c r="K293">
        <v>22.80550809</v>
      </c>
      <c r="L293">
        <v>-1518626.3241500701</v>
      </c>
      <c r="M293" t="s">
        <v>454</v>
      </c>
      <c r="N293">
        <v>24.425321960000002</v>
      </c>
      <c r="O293">
        <v>-68244.993962359993</v>
      </c>
    </row>
    <row r="294" spans="1:15" x14ac:dyDescent="0.25">
      <c r="A294" t="s">
        <v>452</v>
      </c>
      <c r="B294" t="s">
        <v>442</v>
      </c>
      <c r="C294">
        <v>2020</v>
      </c>
      <c r="D294">
        <v>10</v>
      </c>
      <c r="E294" t="s">
        <v>415</v>
      </c>
      <c r="F294" t="s">
        <v>429</v>
      </c>
      <c r="G294" t="s">
        <v>84</v>
      </c>
      <c r="H294" t="s">
        <v>432</v>
      </c>
      <c r="I294" t="s">
        <v>455</v>
      </c>
      <c r="J294" s="62">
        <v>18584.78024063</v>
      </c>
      <c r="K294">
        <v>24.71824969</v>
      </c>
      <c r="L294">
        <v>-404476.45340002998</v>
      </c>
      <c r="M294" t="s">
        <v>454</v>
      </c>
      <c r="N294">
        <v>24.425321960000002</v>
      </c>
      <c r="O294">
        <v>-17963.867134060001</v>
      </c>
    </row>
    <row r="295" spans="1:15" x14ac:dyDescent="0.25">
      <c r="A295" t="s">
        <v>452</v>
      </c>
      <c r="B295" t="s">
        <v>442</v>
      </c>
      <c r="C295">
        <v>2020</v>
      </c>
      <c r="D295">
        <v>10</v>
      </c>
      <c r="E295" t="s">
        <v>415</v>
      </c>
      <c r="F295" t="s">
        <v>429</v>
      </c>
      <c r="G295" t="s">
        <v>84</v>
      </c>
      <c r="H295" t="s">
        <v>433</v>
      </c>
      <c r="I295" t="s">
        <v>456</v>
      </c>
      <c r="J295" s="62">
        <v>36675.714164520003</v>
      </c>
      <c r="K295">
        <v>23.92799509</v>
      </c>
      <c r="L295">
        <v>-753503.88019026001</v>
      </c>
      <c r="M295" t="s">
        <v>454</v>
      </c>
      <c r="N295">
        <v>24.425321960000002</v>
      </c>
      <c r="O295">
        <v>-34220.129610119999</v>
      </c>
    </row>
    <row r="296" spans="1:15" x14ac:dyDescent="0.25">
      <c r="A296" t="s">
        <v>452</v>
      </c>
      <c r="B296" t="s">
        <v>442</v>
      </c>
      <c r="C296">
        <v>2020</v>
      </c>
      <c r="D296">
        <v>10</v>
      </c>
      <c r="E296" t="s">
        <v>415</v>
      </c>
      <c r="F296" t="s">
        <v>434</v>
      </c>
      <c r="G296" t="s">
        <v>84</v>
      </c>
      <c r="H296" t="s">
        <v>436</v>
      </c>
      <c r="I296" t="s">
        <v>453</v>
      </c>
      <c r="J296" s="62">
        <v>38198.915173200003</v>
      </c>
      <c r="K296">
        <v>22.80550809</v>
      </c>
      <c r="L296">
        <v>-1137361.1406759301</v>
      </c>
      <c r="M296" t="s">
        <v>454</v>
      </c>
      <c r="N296">
        <v>24.425321960000002</v>
      </c>
      <c r="O296">
        <v>-35737.051297240003</v>
      </c>
    </row>
    <row r="297" spans="1:15" x14ac:dyDescent="0.25">
      <c r="A297" t="s">
        <v>452</v>
      </c>
      <c r="B297" t="s">
        <v>442</v>
      </c>
      <c r="C297">
        <v>2020</v>
      </c>
      <c r="D297">
        <v>10</v>
      </c>
      <c r="E297" t="s">
        <v>415</v>
      </c>
      <c r="F297" t="s">
        <v>434</v>
      </c>
      <c r="G297" t="s">
        <v>84</v>
      </c>
      <c r="H297" t="s">
        <v>437</v>
      </c>
      <c r="I297" t="s">
        <v>455</v>
      </c>
      <c r="J297" s="62">
        <v>8049.3500110000004</v>
      </c>
      <c r="K297">
        <v>24.71824969</v>
      </c>
      <c r="L297">
        <v>-260980.33537923</v>
      </c>
      <c r="M297" t="s">
        <v>454</v>
      </c>
      <c r="N297">
        <v>24.425321960000002</v>
      </c>
      <c r="O297">
        <v>-8194.1265325999993</v>
      </c>
    </row>
    <row r="298" spans="1:15" x14ac:dyDescent="0.25">
      <c r="A298" t="s">
        <v>452</v>
      </c>
      <c r="B298" t="s">
        <v>442</v>
      </c>
      <c r="C298">
        <v>2020</v>
      </c>
      <c r="D298">
        <v>10</v>
      </c>
      <c r="E298" t="s">
        <v>415</v>
      </c>
      <c r="F298" t="s">
        <v>434</v>
      </c>
      <c r="G298" t="s">
        <v>84</v>
      </c>
      <c r="H298" t="s">
        <v>438</v>
      </c>
      <c r="I298" t="s">
        <v>456</v>
      </c>
      <c r="J298" s="62">
        <v>17445.192413950001</v>
      </c>
      <c r="K298">
        <v>23.92799509</v>
      </c>
      <c r="L298">
        <v>-541804.15673180996</v>
      </c>
      <c r="M298" t="s">
        <v>454</v>
      </c>
      <c r="N298">
        <v>24.425321960000002</v>
      </c>
      <c r="O298">
        <v>-17095.90543712</v>
      </c>
    </row>
    <row r="299" spans="1:15" x14ac:dyDescent="0.25">
      <c r="A299" t="s">
        <v>452</v>
      </c>
      <c r="B299" t="s">
        <v>115</v>
      </c>
      <c r="C299">
        <v>2018</v>
      </c>
      <c r="D299">
        <v>11</v>
      </c>
      <c r="E299" t="s">
        <v>415</v>
      </c>
      <c r="F299" t="s">
        <v>416</v>
      </c>
      <c r="G299" t="s">
        <v>84</v>
      </c>
      <c r="H299" t="s">
        <v>418</v>
      </c>
      <c r="I299" t="s">
        <v>453</v>
      </c>
      <c r="J299" s="62">
        <v>11637.124661420001</v>
      </c>
      <c r="K299">
        <v>31.811946330000001</v>
      </c>
      <c r="L299">
        <v>-263441.56127936998</v>
      </c>
      <c r="M299" t="s">
        <v>454</v>
      </c>
      <c r="N299">
        <v>33.09431962</v>
      </c>
      <c r="O299">
        <v>-9311.1512756200009</v>
      </c>
    </row>
    <row r="300" spans="1:15" x14ac:dyDescent="0.25">
      <c r="A300" t="s">
        <v>452</v>
      </c>
      <c r="B300" t="s">
        <v>115</v>
      </c>
      <c r="C300">
        <v>2018</v>
      </c>
      <c r="D300">
        <v>11</v>
      </c>
      <c r="E300" t="s">
        <v>415</v>
      </c>
      <c r="F300" t="s">
        <v>416</v>
      </c>
      <c r="G300" t="s">
        <v>84</v>
      </c>
      <c r="H300" t="s">
        <v>426</v>
      </c>
      <c r="I300" t="s">
        <v>455</v>
      </c>
      <c r="J300" s="62">
        <v>3164.6267514699998</v>
      </c>
      <c r="K300">
        <v>34.796784119999998</v>
      </c>
      <c r="L300">
        <v>-77536.510129319999</v>
      </c>
      <c r="M300" t="s">
        <v>454</v>
      </c>
      <c r="N300">
        <v>33.09431962</v>
      </c>
      <c r="O300">
        <v>-2755.3684749700001</v>
      </c>
    </row>
    <row r="301" spans="1:15" x14ac:dyDescent="0.25">
      <c r="A301" t="s">
        <v>452</v>
      </c>
      <c r="B301" t="s">
        <v>115</v>
      </c>
      <c r="C301">
        <v>2018</v>
      </c>
      <c r="D301">
        <v>11</v>
      </c>
      <c r="E301" t="s">
        <v>415</v>
      </c>
      <c r="F301" t="s">
        <v>416</v>
      </c>
      <c r="G301" t="s">
        <v>84</v>
      </c>
      <c r="H301" t="s">
        <v>428</v>
      </c>
      <c r="I301" t="s">
        <v>456</v>
      </c>
      <c r="J301" s="62">
        <v>6218.3325989100003</v>
      </c>
      <c r="K301">
        <v>33.193983899999999</v>
      </c>
      <c r="L301">
        <v>-147736.89268357001</v>
      </c>
      <c r="M301" t="s">
        <v>454</v>
      </c>
      <c r="N301">
        <v>33.09431962</v>
      </c>
      <c r="O301">
        <v>-5202.0971944499997</v>
      </c>
    </row>
    <row r="302" spans="1:15" x14ac:dyDescent="0.25">
      <c r="A302" t="s">
        <v>452</v>
      </c>
      <c r="B302" t="s">
        <v>115</v>
      </c>
      <c r="C302">
        <v>2018</v>
      </c>
      <c r="D302">
        <v>11</v>
      </c>
      <c r="E302" t="s">
        <v>415</v>
      </c>
      <c r="F302" t="s">
        <v>429</v>
      </c>
      <c r="G302" t="s">
        <v>84</v>
      </c>
      <c r="H302" t="s">
        <v>431</v>
      </c>
      <c r="I302" t="s">
        <v>453</v>
      </c>
      <c r="J302" s="62">
        <v>18957.329895250001</v>
      </c>
      <c r="K302">
        <v>31.811946330000001</v>
      </c>
      <c r="L302">
        <v>-720374.71621335996</v>
      </c>
      <c r="M302" t="s">
        <v>454</v>
      </c>
      <c r="N302">
        <v>33.09431962</v>
      </c>
      <c r="O302">
        <v>-32537.387534149999</v>
      </c>
    </row>
    <row r="303" spans="1:15" x14ac:dyDescent="0.25">
      <c r="A303" t="s">
        <v>452</v>
      </c>
      <c r="B303" t="s">
        <v>115</v>
      </c>
      <c r="C303">
        <v>2018</v>
      </c>
      <c r="D303">
        <v>11</v>
      </c>
      <c r="E303" t="s">
        <v>415</v>
      </c>
      <c r="F303" t="s">
        <v>429</v>
      </c>
      <c r="G303" t="s">
        <v>84</v>
      </c>
      <c r="H303" t="s">
        <v>432</v>
      </c>
      <c r="I303" t="s">
        <v>455</v>
      </c>
      <c r="J303" s="62">
        <v>5005.8597161199996</v>
      </c>
      <c r="K303">
        <v>34.796784119999998</v>
      </c>
      <c r="L303">
        <v>-211736.08546669001</v>
      </c>
      <c r="M303" t="s">
        <v>454</v>
      </c>
      <c r="N303">
        <v>33.09431962</v>
      </c>
      <c r="O303">
        <v>-10088.73709663</v>
      </c>
    </row>
    <row r="304" spans="1:15" x14ac:dyDescent="0.25">
      <c r="A304" t="s">
        <v>452</v>
      </c>
      <c r="B304" t="s">
        <v>115</v>
      </c>
      <c r="C304">
        <v>2018</v>
      </c>
      <c r="D304">
        <v>11</v>
      </c>
      <c r="E304" t="s">
        <v>415</v>
      </c>
      <c r="F304" t="s">
        <v>429</v>
      </c>
      <c r="G304" t="s">
        <v>84</v>
      </c>
      <c r="H304" t="s">
        <v>433</v>
      </c>
      <c r="I304" t="s">
        <v>456</v>
      </c>
      <c r="J304" s="62">
        <v>8665.6061146800002</v>
      </c>
      <c r="K304">
        <v>33.193983899999999</v>
      </c>
      <c r="L304">
        <v>-335751.19998048001</v>
      </c>
      <c r="M304" t="s">
        <v>454</v>
      </c>
      <c r="N304">
        <v>33.09431962</v>
      </c>
      <c r="O304">
        <v>-15707.45509849</v>
      </c>
    </row>
    <row r="305" spans="1:15" x14ac:dyDescent="0.25">
      <c r="A305" t="s">
        <v>452</v>
      </c>
      <c r="B305" t="s">
        <v>115</v>
      </c>
      <c r="C305">
        <v>2018</v>
      </c>
      <c r="D305">
        <v>11</v>
      </c>
      <c r="E305" t="s">
        <v>415</v>
      </c>
      <c r="F305" t="s">
        <v>434</v>
      </c>
      <c r="G305" t="s">
        <v>84</v>
      </c>
      <c r="H305" t="s">
        <v>436</v>
      </c>
      <c r="I305" t="s">
        <v>453</v>
      </c>
      <c r="J305" s="62">
        <v>9021.5310490499996</v>
      </c>
      <c r="K305">
        <v>31.811946330000001</v>
      </c>
      <c r="L305">
        <v>-363130.2802332</v>
      </c>
      <c r="M305" t="s">
        <v>454</v>
      </c>
      <c r="N305">
        <v>33.09431962</v>
      </c>
      <c r="O305">
        <v>-8319.8738870899997</v>
      </c>
    </row>
    <row r="306" spans="1:15" x14ac:dyDescent="0.25">
      <c r="A306" t="s">
        <v>452</v>
      </c>
      <c r="B306" t="s">
        <v>115</v>
      </c>
      <c r="C306">
        <v>2018</v>
      </c>
      <c r="D306">
        <v>11</v>
      </c>
      <c r="E306" t="s">
        <v>415</v>
      </c>
      <c r="F306" t="s">
        <v>434</v>
      </c>
      <c r="G306" t="s">
        <v>84</v>
      </c>
      <c r="H306" t="s">
        <v>437</v>
      </c>
      <c r="I306" t="s">
        <v>455</v>
      </c>
      <c r="J306" s="62">
        <v>2357.4364068099999</v>
      </c>
      <c r="K306">
        <v>34.796784119999998</v>
      </c>
      <c r="L306">
        <v>-104615.66927391</v>
      </c>
      <c r="M306" t="s">
        <v>454</v>
      </c>
      <c r="N306">
        <v>33.09431962</v>
      </c>
      <c r="O306">
        <v>-2382.6799493899998</v>
      </c>
    </row>
    <row r="307" spans="1:15" x14ac:dyDescent="0.25">
      <c r="A307" t="s">
        <v>452</v>
      </c>
      <c r="B307" t="s">
        <v>115</v>
      </c>
      <c r="C307">
        <v>2018</v>
      </c>
      <c r="D307">
        <v>11</v>
      </c>
      <c r="E307" t="s">
        <v>415</v>
      </c>
      <c r="F307" t="s">
        <v>434</v>
      </c>
      <c r="G307" t="s">
        <v>84</v>
      </c>
      <c r="H307" t="s">
        <v>438</v>
      </c>
      <c r="I307" t="s">
        <v>456</v>
      </c>
      <c r="J307" s="62">
        <v>4295.5714264099997</v>
      </c>
      <c r="K307">
        <v>33.193983899999999</v>
      </c>
      <c r="L307">
        <v>-178220.74388692999</v>
      </c>
      <c r="M307" t="s">
        <v>454</v>
      </c>
      <c r="N307">
        <v>33.09431962</v>
      </c>
      <c r="O307">
        <v>-4112.5355904899998</v>
      </c>
    </row>
    <row r="308" spans="1:15" x14ac:dyDescent="0.25">
      <c r="A308" t="s">
        <v>452</v>
      </c>
      <c r="B308" t="s">
        <v>155</v>
      </c>
      <c r="C308">
        <v>2019</v>
      </c>
      <c r="D308">
        <v>11</v>
      </c>
      <c r="E308" t="s">
        <v>415</v>
      </c>
      <c r="F308" t="s">
        <v>416</v>
      </c>
      <c r="G308" t="s">
        <v>84</v>
      </c>
      <c r="H308" t="s">
        <v>418</v>
      </c>
      <c r="I308" t="s">
        <v>453</v>
      </c>
      <c r="J308" s="62">
        <v>26580.1995054</v>
      </c>
      <c r="K308">
        <v>26.418202900000001</v>
      </c>
      <c r="L308">
        <v>-707028.44104547997</v>
      </c>
      <c r="M308" t="s">
        <v>454</v>
      </c>
      <c r="N308">
        <v>27.048990549999999</v>
      </c>
      <c r="O308">
        <v>-25639.423288030001</v>
      </c>
    </row>
    <row r="309" spans="1:15" x14ac:dyDescent="0.25">
      <c r="A309" t="s">
        <v>452</v>
      </c>
      <c r="B309" t="s">
        <v>155</v>
      </c>
      <c r="C309">
        <v>2019</v>
      </c>
      <c r="D309">
        <v>11</v>
      </c>
      <c r="E309" t="s">
        <v>415</v>
      </c>
      <c r="F309" t="s">
        <v>416</v>
      </c>
      <c r="G309" t="s">
        <v>84</v>
      </c>
      <c r="H309" t="s">
        <v>426</v>
      </c>
      <c r="I309" t="s">
        <v>455</v>
      </c>
      <c r="J309" s="62">
        <v>9467.6326296000007</v>
      </c>
      <c r="K309">
        <v>28.11463109</v>
      </c>
      <c r="L309">
        <v>-274041.58908522001</v>
      </c>
      <c r="M309" t="s">
        <v>454</v>
      </c>
      <c r="N309">
        <v>27.048990549999999</v>
      </c>
      <c r="O309">
        <v>-9739.1685952600001</v>
      </c>
    </row>
    <row r="310" spans="1:15" x14ac:dyDescent="0.25">
      <c r="A310" t="s">
        <v>452</v>
      </c>
      <c r="B310" t="s">
        <v>155</v>
      </c>
      <c r="C310">
        <v>2019</v>
      </c>
      <c r="D310">
        <v>11</v>
      </c>
      <c r="E310" t="s">
        <v>415</v>
      </c>
      <c r="F310" t="s">
        <v>416</v>
      </c>
      <c r="G310" t="s">
        <v>84</v>
      </c>
      <c r="H310" t="s">
        <v>428</v>
      </c>
      <c r="I310" t="s">
        <v>456</v>
      </c>
      <c r="J310" s="62">
        <v>8302.1161137500003</v>
      </c>
      <c r="K310">
        <v>27.074689830000001</v>
      </c>
      <c r="L310">
        <v>-224363.17789357001</v>
      </c>
      <c r="M310" t="s">
        <v>454</v>
      </c>
      <c r="N310">
        <v>27.048990549999999</v>
      </c>
      <c r="O310">
        <v>-8250.8864214999994</v>
      </c>
    </row>
    <row r="311" spans="1:15" x14ac:dyDescent="0.25">
      <c r="A311" t="s">
        <v>452</v>
      </c>
      <c r="B311" t="s">
        <v>155</v>
      </c>
      <c r="C311">
        <v>2019</v>
      </c>
      <c r="D311">
        <v>11</v>
      </c>
      <c r="E311" t="s">
        <v>415</v>
      </c>
      <c r="F311" t="s">
        <v>429</v>
      </c>
      <c r="G311" t="s">
        <v>84</v>
      </c>
      <c r="H311" t="s">
        <v>431</v>
      </c>
      <c r="I311" t="s">
        <v>453</v>
      </c>
      <c r="J311" s="62">
        <v>41698.937198450003</v>
      </c>
      <c r="K311">
        <v>26.418202900000001</v>
      </c>
      <c r="L311">
        <v>-1097221.2110138801</v>
      </c>
      <c r="M311" t="s">
        <v>454</v>
      </c>
      <c r="N311">
        <v>27.048990549999999</v>
      </c>
      <c r="O311">
        <v>-41607.086897319998</v>
      </c>
    </row>
    <row r="312" spans="1:15" x14ac:dyDescent="0.25">
      <c r="A312" t="s">
        <v>452</v>
      </c>
      <c r="B312" t="s">
        <v>155</v>
      </c>
      <c r="C312">
        <v>2019</v>
      </c>
      <c r="D312">
        <v>11</v>
      </c>
      <c r="E312" t="s">
        <v>415</v>
      </c>
      <c r="F312" t="s">
        <v>429</v>
      </c>
      <c r="G312" t="s">
        <v>84</v>
      </c>
      <c r="H312" t="s">
        <v>432</v>
      </c>
      <c r="I312" t="s">
        <v>455</v>
      </c>
      <c r="J312" s="62">
        <v>17281.930431789999</v>
      </c>
      <c r="K312">
        <v>28.11463109</v>
      </c>
      <c r="L312">
        <v>-487295.77733468002</v>
      </c>
      <c r="M312" t="s">
        <v>454</v>
      </c>
      <c r="N312">
        <v>27.048990549999999</v>
      </c>
      <c r="O312">
        <v>-18156.973377909999</v>
      </c>
    </row>
    <row r="313" spans="1:15" x14ac:dyDescent="0.25">
      <c r="A313" t="s">
        <v>452</v>
      </c>
      <c r="B313" t="s">
        <v>155</v>
      </c>
      <c r="C313">
        <v>2019</v>
      </c>
      <c r="D313">
        <v>11</v>
      </c>
      <c r="E313" t="s">
        <v>415</v>
      </c>
      <c r="F313" t="s">
        <v>429</v>
      </c>
      <c r="G313" t="s">
        <v>84</v>
      </c>
      <c r="H313" t="s">
        <v>433</v>
      </c>
      <c r="I313" t="s">
        <v>456</v>
      </c>
      <c r="J313" s="62">
        <v>11037.865301919999</v>
      </c>
      <c r="K313">
        <v>27.074689830000001</v>
      </c>
      <c r="L313">
        <v>-291013.78787086997</v>
      </c>
      <c r="M313" t="s">
        <v>454</v>
      </c>
      <c r="N313">
        <v>27.048990549999999</v>
      </c>
      <c r="O313">
        <v>-11188.85487793</v>
      </c>
    </row>
    <row r="314" spans="1:15" x14ac:dyDescent="0.25">
      <c r="A314" t="s">
        <v>452</v>
      </c>
      <c r="B314" t="s">
        <v>155</v>
      </c>
      <c r="C314">
        <v>2019</v>
      </c>
      <c r="D314">
        <v>11</v>
      </c>
      <c r="E314" t="s">
        <v>415</v>
      </c>
      <c r="F314" t="s">
        <v>434</v>
      </c>
      <c r="G314" t="s">
        <v>84</v>
      </c>
      <c r="H314" t="s">
        <v>436</v>
      </c>
      <c r="I314" t="s">
        <v>453</v>
      </c>
      <c r="J314" s="62">
        <v>20172.307563679999</v>
      </c>
      <c r="K314">
        <v>26.418202900000001</v>
      </c>
      <c r="L314">
        <v>-575823.69526513002</v>
      </c>
      <c r="M314" t="s">
        <v>454</v>
      </c>
      <c r="N314">
        <v>27.048990549999999</v>
      </c>
      <c r="O314">
        <v>-19347.152484710001</v>
      </c>
    </row>
    <row r="315" spans="1:15" x14ac:dyDescent="0.25">
      <c r="A315" t="s">
        <v>452</v>
      </c>
      <c r="B315" t="s">
        <v>155</v>
      </c>
      <c r="C315">
        <v>2019</v>
      </c>
      <c r="D315">
        <v>11</v>
      </c>
      <c r="E315" t="s">
        <v>415</v>
      </c>
      <c r="F315" t="s">
        <v>434</v>
      </c>
      <c r="G315" t="s">
        <v>84</v>
      </c>
      <c r="H315" t="s">
        <v>437</v>
      </c>
      <c r="I315" t="s">
        <v>455</v>
      </c>
      <c r="J315" s="62">
        <v>7240.7283690300001</v>
      </c>
      <c r="K315">
        <v>28.11463109</v>
      </c>
      <c r="L315">
        <v>-226493.16667949999</v>
      </c>
      <c r="M315" t="s">
        <v>454</v>
      </c>
      <c r="N315">
        <v>27.048990549999999</v>
      </c>
      <c r="O315">
        <v>-7507.7109321799999</v>
      </c>
    </row>
    <row r="316" spans="1:15" x14ac:dyDescent="0.25">
      <c r="A316" t="s">
        <v>452</v>
      </c>
      <c r="B316" t="s">
        <v>155</v>
      </c>
      <c r="C316">
        <v>2019</v>
      </c>
      <c r="D316">
        <v>11</v>
      </c>
      <c r="E316" t="s">
        <v>415</v>
      </c>
      <c r="F316" t="s">
        <v>434</v>
      </c>
      <c r="G316" t="s">
        <v>84</v>
      </c>
      <c r="H316" t="s">
        <v>438</v>
      </c>
      <c r="I316" t="s">
        <v>456</v>
      </c>
      <c r="J316" s="62">
        <v>5767.1840532099995</v>
      </c>
      <c r="K316">
        <v>27.074689830000001</v>
      </c>
      <c r="L316">
        <v>-167889.35738172001</v>
      </c>
      <c r="M316" t="s">
        <v>454</v>
      </c>
      <c r="N316">
        <v>27.048990549999999</v>
      </c>
      <c r="O316">
        <v>-5718.4270059099999</v>
      </c>
    </row>
    <row r="317" spans="1:15" x14ac:dyDescent="0.25">
      <c r="A317" t="s">
        <v>452</v>
      </c>
      <c r="B317" t="s">
        <v>443</v>
      </c>
      <c r="C317">
        <v>2020</v>
      </c>
      <c r="D317">
        <v>11</v>
      </c>
      <c r="E317" t="s">
        <v>415</v>
      </c>
      <c r="F317" t="s">
        <v>416</v>
      </c>
      <c r="G317" t="s">
        <v>84</v>
      </c>
      <c r="H317" t="s">
        <v>418</v>
      </c>
      <c r="I317" t="s">
        <v>453</v>
      </c>
      <c r="J317" s="62">
        <v>57153.081573240001</v>
      </c>
      <c r="K317">
        <v>22.803918159999998</v>
      </c>
      <c r="L317">
        <v>-1312808.37528278</v>
      </c>
      <c r="M317" t="s">
        <v>454</v>
      </c>
      <c r="N317">
        <v>25.17355976</v>
      </c>
      <c r="O317">
        <v>-50642.808639850002</v>
      </c>
    </row>
    <row r="318" spans="1:15" x14ac:dyDescent="0.25">
      <c r="A318" t="s">
        <v>452</v>
      </c>
      <c r="B318" t="s">
        <v>443</v>
      </c>
      <c r="C318">
        <v>2020</v>
      </c>
      <c r="D318">
        <v>11</v>
      </c>
      <c r="E318" t="s">
        <v>415</v>
      </c>
      <c r="F318" t="s">
        <v>416</v>
      </c>
      <c r="G318" t="s">
        <v>84</v>
      </c>
      <c r="H318" t="s">
        <v>426</v>
      </c>
      <c r="I318" t="s">
        <v>455</v>
      </c>
      <c r="J318" s="62">
        <v>14346.22498585</v>
      </c>
      <c r="K318">
        <v>24.7165195</v>
      </c>
      <c r="L318">
        <v>-362510.20759221999</v>
      </c>
      <c r="M318" t="s">
        <v>454</v>
      </c>
      <c r="N318">
        <v>25.17355976</v>
      </c>
      <c r="O318">
        <v>-13974.31870149</v>
      </c>
    </row>
    <row r="319" spans="1:15" x14ac:dyDescent="0.25">
      <c r="A319" t="s">
        <v>452</v>
      </c>
      <c r="B319" t="s">
        <v>443</v>
      </c>
      <c r="C319">
        <v>2020</v>
      </c>
      <c r="D319">
        <v>11</v>
      </c>
      <c r="E319" t="s">
        <v>415</v>
      </c>
      <c r="F319" t="s">
        <v>416</v>
      </c>
      <c r="G319" t="s">
        <v>84</v>
      </c>
      <c r="H319" t="s">
        <v>428</v>
      </c>
      <c r="I319" t="s">
        <v>456</v>
      </c>
      <c r="J319" s="62">
        <v>24249.51255498</v>
      </c>
      <c r="K319">
        <v>23.928377260000001</v>
      </c>
      <c r="L319">
        <v>-579216.53679362999</v>
      </c>
      <c r="M319" t="s">
        <v>454</v>
      </c>
      <c r="N319">
        <v>25.17355976</v>
      </c>
      <c r="O319">
        <v>-22798.8979741</v>
      </c>
    </row>
    <row r="320" spans="1:15" x14ac:dyDescent="0.25">
      <c r="A320" t="s">
        <v>452</v>
      </c>
      <c r="B320" t="s">
        <v>443</v>
      </c>
      <c r="C320">
        <v>2020</v>
      </c>
      <c r="D320">
        <v>11</v>
      </c>
      <c r="E320" t="s">
        <v>415</v>
      </c>
      <c r="F320" t="s">
        <v>429</v>
      </c>
      <c r="G320" t="s">
        <v>84</v>
      </c>
      <c r="H320" t="s">
        <v>431</v>
      </c>
      <c r="I320" t="s">
        <v>453</v>
      </c>
      <c r="J320" s="62">
        <v>88663.858673399998</v>
      </c>
      <c r="K320">
        <v>22.803918159999998</v>
      </c>
      <c r="L320">
        <v>-1735135.1989704</v>
      </c>
      <c r="M320" t="s">
        <v>454</v>
      </c>
      <c r="N320">
        <v>25.17355976</v>
      </c>
      <c r="O320">
        <v>-74968.458118480004</v>
      </c>
    </row>
    <row r="321" spans="1:15" x14ac:dyDescent="0.25">
      <c r="A321" t="s">
        <v>452</v>
      </c>
      <c r="B321" t="s">
        <v>443</v>
      </c>
      <c r="C321">
        <v>2020</v>
      </c>
      <c r="D321">
        <v>11</v>
      </c>
      <c r="E321" t="s">
        <v>415</v>
      </c>
      <c r="F321" t="s">
        <v>429</v>
      </c>
      <c r="G321" t="s">
        <v>84</v>
      </c>
      <c r="H321" t="s">
        <v>432</v>
      </c>
      <c r="I321" t="s">
        <v>455</v>
      </c>
      <c r="J321" s="62">
        <v>22703.95560945</v>
      </c>
      <c r="K321">
        <v>24.7165195</v>
      </c>
      <c r="L321">
        <v>-489487.90194312</v>
      </c>
      <c r="M321" t="s">
        <v>454</v>
      </c>
      <c r="N321">
        <v>25.17355976</v>
      </c>
      <c r="O321">
        <v>-20772.007390459999</v>
      </c>
    </row>
    <row r="322" spans="1:15" x14ac:dyDescent="0.25">
      <c r="A322" t="s">
        <v>452</v>
      </c>
      <c r="B322" t="s">
        <v>443</v>
      </c>
      <c r="C322">
        <v>2020</v>
      </c>
      <c r="D322">
        <v>11</v>
      </c>
      <c r="E322" t="s">
        <v>415</v>
      </c>
      <c r="F322" t="s">
        <v>429</v>
      </c>
      <c r="G322" t="s">
        <v>84</v>
      </c>
      <c r="H322" t="s">
        <v>433</v>
      </c>
      <c r="I322" t="s">
        <v>456</v>
      </c>
      <c r="J322" s="62">
        <v>35967.027368579998</v>
      </c>
      <c r="K322">
        <v>23.928377260000001</v>
      </c>
      <c r="L322">
        <v>-716884.10554368002</v>
      </c>
      <c r="M322" t="s">
        <v>454</v>
      </c>
      <c r="N322">
        <v>25.17355976</v>
      </c>
      <c r="O322">
        <v>-31417.41531194</v>
      </c>
    </row>
    <row r="323" spans="1:15" x14ac:dyDescent="0.25">
      <c r="A323" t="s">
        <v>452</v>
      </c>
      <c r="B323" t="s">
        <v>443</v>
      </c>
      <c r="C323">
        <v>2020</v>
      </c>
      <c r="D323">
        <v>11</v>
      </c>
      <c r="E323" t="s">
        <v>415</v>
      </c>
      <c r="F323" t="s">
        <v>434</v>
      </c>
      <c r="G323" t="s">
        <v>84</v>
      </c>
      <c r="H323" t="s">
        <v>436</v>
      </c>
      <c r="I323" t="s">
        <v>453</v>
      </c>
      <c r="J323" s="62">
        <v>46059.705815319998</v>
      </c>
      <c r="K323">
        <v>22.803918159999998</v>
      </c>
      <c r="L323">
        <v>-1458522.1193406701</v>
      </c>
      <c r="M323" t="s">
        <v>454</v>
      </c>
      <c r="N323">
        <v>25.17355976</v>
      </c>
      <c r="O323">
        <v>-42390.35352171</v>
      </c>
    </row>
    <row r="324" spans="1:15" x14ac:dyDescent="0.25">
      <c r="A324" t="s">
        <v>452</v>
      </c>
      <c r="B324" t="s">
        <v>443</v>
      </c>
      <c r="C324">
        <v>2020</v>
      </c>
      <c r="D324">
        <v>11</v>
      </c>
      <c r="E324" t="s">
        <v>415</v>
      </c>
      <c r="F324" t="s">
        <v>434</v>
      </c>
      <c r="G324" t="s">
        <v>84</v>
      </c>
      <c r="H324" t="s">
        <v>437</v>
      </c>
      <c r="I324" t="s">
        <v>455</v>
      </c>
      <c r="J324" s="62">
        <v>10968.073763079999</v>
      </c>
      <c r="K324">
        <v>24.7165195</v>
      </c>
      <c r="L324">
        <v>-378546.23191385</v>
      </c>
      <c r="M324" t="s">
        <v>454</v>
      </c>
      <c r="N324">
        <v>25.17355976</v>
      </c>
      <c r="O324">
        <v>-10934.745360610001</v>
      </c>
    </row>
    <row r="325" spans="1:15" x14ac:dyDescent="0.25">
      <c r="A325" t="s">
        <v>452</v>
      </c>
      <c r="B325" t="s">
        <v>443</v>
      </c>
      <c r="C325">
        <v>2020</v>
      </c>
      <c r="D325">
        <v>11</v>
      </c>
      <c r="E325" t="s">
        <v>415</v>
      </c>
      <c r="F325" t="s">
        <v>434</v>
      </c>
      <c r="G325" t="s">
        <v>84</v>
      </c>
      <c r="H325" t="s">
        <v>438</v>
      </c>
      <c r="I325" t="s">
        <v>456</v>
      </c>
      <c r="J325" s="62">
        <v>16682.601017789999</v>
      </c>
      <c r="K325">
        <v>23.928377260000001</v>
      </c>
      <c r="L325">
        <v>-542390.15905434999</v>
      </c>
      <c r="M325" t="s">
        <v>454</v>
      </c>
      <c r="N325">
        <v>25.17355976</v>
      </c>
      <c r="O325">
        <v>-16009.38057872</v>
      </c>
    </row>
    <row r="326" spans="1:15" x14ac:dyDescent="0.25">
      <c r="A326" t="s">
        <v>452</v>
      </c>
      <c r="B326" t="s">
        <v>116</v>
      </c>
      <c r="C326">
        <v>2018</v>
      </c>
      <c r="D326">
        <v>12</v>
      </c>
      <c r="E326" t="s">
        <v>415</v>
      </c>
      <c r="F326" t="s">
        <v>416</v>
      </c>
      <c r="G326" t="s">
        <v>84</v>
      </c>
      <c r="H326" t="s">
        <v>418</v>
      </c>
      <c r="I326" t="s">
        <v>453</v>
      </c>
      <c r="J326" s="62">
        <v>18247.85089134</v>
      </c>
      <c r="K326">
        <v>34.731528730000001</v>
      </c>
      <c r="L326">
        <v>-621059.91243350995</v>
      </c>
      <c r="M326" t="s">
        <v>454</v>
      </c>
      <c r="N326">
        <v>36.660754709999999</v>
      </c>
      <c r="O326">
        <v>-17135.626973710001</v>
      </c>
    </row>
    <row r="327" spans="1:15" x14ac:dyDescent="0.25">
      <c r="A327" t="s">
        <v>452</v>
      </c>
      <c r="B327" t="s">
        <v>116</v>
      </c>
      <c r="C327">
        <v>2018</v>
      </c>
      <c r="D327">
        <v>12</v>
      </c>
      <c r="E327" t="s">
        <v>415</v>
      </c>
      <c r="F327" t="s">
        <v>416</v>
      </c>
      <c r="G327" t="s">
        <v>84</v>
      </c>
      <c r="H327" t="s">
        <v>426</v>
      </c>
      <c r="I327" t="s">
        <v>455</v>
      </c>
      <c r="J327" s="62">
        <v>4949.6956029399998</v>
      </c>
      <c r="K327">
        <v>36.873090609999998</v>
      </c>
      <c r="L327">
        <v>-178725.67091402999</v>
      </c>
      <c r="M327" t="s">
        <v>454</v>
      </c>
      <c r="N327">
        <v>36.660754709999999</v>
      </c>
      <c r="O327">
        <v>-4936.1507657399998</v>
      </c>
    </row>
    <row r="328" spans="1:15" x14ac:dyDescent="0.25">
      <c r="A328" t="s">
        <v>452</v>
      </c>
      <c r="B328" t="s">
        <v>116</v>
      </c>
      <c r="C328">
        <v>2018</v>
      </c>
      <c r="D328">
        <v>12</v>
      </c>
      <c r="E328" t="s">
        <v>415</v>
      </c>
      <c r="F328" t="s">
        <v>416</v>
      </c>
      <c r="G328" t="s">
        <v>84</v>
      </c>
      <c r="H328" t="s">
        <v>428</v>
      </c>
      <c r="I328" t="s">
        <v>456</v>
      </c>
      <c r="J328" s="62">
        <v>6920.8794868599998</v>
      </c>
      <c r="K328">
        <v>35.464826469999998</v>
      </c>
      <c r="L328">
        <v>-242722.59670415</v>
      </c>
      <c r="M328" t="s">
        <v>454</v>
      </c>
      <c r="N328">
        <v>36.660754709999999</v>
      </c>
      <c r="O328">
        <v>-6689.7547266700003</v>
      </c>
    </row>
    <row r="329" spans="1:15" x14ac:dyDescent="0.25">
      <c r="A329" t="s">
        <v>452</v>
      </c>
      <c r="B329" t="s">
        <v>116</v>
      </c>
      <c r="C329">
        <v>2018</v>
      </c>
      <c r="D329">
        <v>12</v>
      </c>
      <c r="E329" t="s">
        <v>415</v>
      </c>
      <c r="F329" t="s">
        <v>429</v>
      </c>
      <c r="G329" t="s">
        <v>84</v>
      </c>
      <c r="H329" t="s">
        <v>431</v>
      </c>
      <c r="I329" t="s">
        <v>453</v>
      </c>
      <c r="J329" s="62">
        <v>26207.069045939999</v>
      </c>
      <c r="K329">
        <v>34.731528730000001</v>
      </c>
      <c r="L329">
        <v>-923633.60047768999</v>
      </c>
      <c r="M329" t="s">
        <v>454</v>
      </c>
      <c r="N329">
        <v>36.660754709999999</v>
      </c>
      <c r="O329">
        <v>-25084.966756680002</v>
      </c>
    </row>
    <row r="330" spans="1:15" x14ac:dyDescent="0.25">
      <c r="A330" t="s">
        <v>452</v>
      </c>
      <c r="B330" t="s">
        <v>116</v>
      </c>
      <c r="C330">
        <v>2018</v>
      </c>
      <c r="D330">
        <v>12</v>
      </c>
      <c r="E330" t="s">
        <v>415</v>
      </c>
      <c r="F330" t="s">
        <v>429</v>
      </c>
      <c r="G330" t="s">
        <v>84</v>
      </c>
      <c r="H330" t="s">
        <v>432</v>
      </c>
      <c r="I330" t="s">
        <v>455</v>
      </c>
      <c r="J330" s="62">
        <v>7096.3808950299999</v>
      </c>
      <c r="K330">
        <v>36.873090609999998</v>
      </c>
      <c r="L330">
        <v>-264796.81437379</v>
      </c>
      <c r="M330" t="s">
        <v>454</v>
      </c>
      <c r="N330">
        <v>36.660754709999999</v>
      </c>
      <c r="O330">
        <v>-7181.2370496599997</v>
      </c>
    </row>
    <row r="331" spans="1:15" x14ac:dyDescent="0.25">
      <c r="A331" t="s">
        <v>452</v>
      </c>
      <c r="B331" t="s">
        <v>116</v>
      </c>
      <c r="C331">
        <v>2018</v>
      </c>
      <c r="D331">
        <v>12</v>
      </c>
      <c r="E331" t="s">
        <v>415</v>
      </c>
      <c r="F331" t="s">
        <v>429</v>
      </c>
      <c r="G331" t="s">
        <v>84</v>
      </c>
      <c r="H331" t="s">
        <v>433</v>
      </c>
      <c r="I331" t="s">
        <v>456</v>
      </c>
      <c r="J331" s="62">
        <v>9564.8664028799994</v>
      </c>
      <c r="K331">
        <v>35.464826469999998</v>
      </c>
      <c r="L331">
        <v>-341522.52435649</v>
      </c>
      <c r="M331" t="s">
        <v>454</v>
      </c>
      <c r="N331">
        <v>36.660754709999999</v>
      </c>
      <c r="O331">
        <v>-9291.3624557999992</v>
      </c>
    </row>
    <row r="332" spans="1:15" x14ac:dyDescent="0.25">
      <c r="A332" t="s">
        <v>452</v>
      </c>
      <c r="B332" t="s">
        <v>116</v>
      </c>
      <c r="C332">
        <v>2018</v>
      </c>
      <c r="D332">
        <v>12</v>
      </c>
      <c r="E332" t="s">
        <v>415</v>
      </c>
      <c r="F332" t="s">
        <v>434</v>
      </c>
      <c r="G332" t="s">
        <v>84</v>
      </c>
      <c r="H332" t="s">
        <v>436</v>
      </c>
      <c r="I332" t="s">
        <v>453</v>
      </c>
      <c r="J332" s="62">
        <v>13211.495401210001</v>
      </c>
      <c r="K332">
        <v>34.731528730000001</v>
      </c>
      <c r="L332">
        <v>-467624.16527078999</v>
      </c>
      <c r="M332" t="s">
        <v>454</v>
      </c>
      <c r="N332">
        <v>36.660754709999999</v>
      </c>
      <c r="O332">
        <v>-12452.19340781</v>
      </c>
    </row>
    <row r="333" spans="1:15" x14ac:dyDescent="0.25">
      <c r="A333" t="s">
        <v>452</v>
      </c>
      <c r="B333" t="s">
        <v>116</v>
      </c>
      <c r="C333">
        <v>2018</v>
      </c>
      <c r="D333">
        <v>12</v>
      </c>
      <c r="E333" t="s">
        <v>415</v>
      </c>
      <c r="F333" t="s">
        <v>434</v>
      </c>
      <c r="G333" t="s">
        <v>84</v>
      </c>
      <c r="H333" t="s">
        <v>437</v>
      </c>
      <c r="I333" t="s">
        <v>455</v>
      </c>
      <c r="J333" s="62">
        <v>3367.0517400499998</v>
      </c>
      <c r="K333">
        <v>36.873090609999998</v>
      </c>
      <c r="L333">
        <v>-127550.85561357001</v>
      </c>
      <c r="M333" t="s">
        <v>454</v>
      </c>
      <c r="N333">
        <v>36.660754709999999</v>
      </c>
      <c r="O333">
        <v>-3396.5866894699998</v>
      </c>
    </row>
    <row r="334" spans="1:15" x14ac:dyDescent="0.25">
      <c r="A334" t="s">
        <v>452</v>
      </c>
      <c r="B334" t="s">
        <v>116</v>
      </c>
      <c r="C334">
        <v>2018</v>
      </c>
      <c r="D334">
        <v>12</v>
      </c>
      <c r="E334" t="s">
        <v>415</v>
      </c>
      <c r="F334" t="s">
        <v>434</v>
      </c>
      <c r="G334" t="s">
        <v>84</v>
      </c>
      <c r="H334" t="s">
        <v>438</v>
      </c>
      <c r="I334" t="s">
        <v>456</v>
      </c>
      <c r="J334" s="62">
        <v>4925.8733204500004</v>
      </c>
      <c r="K334">
        <v>35.464826469999998</v>
      </c>
      <c r="L334">
        <v>-177785.46512320999</v>
      </c>
      <c r="M334" t="s">
        <v>454</v>
      </c>
      <c r="N334">
        <v>36.660754709999999</v>
      </c>
      <c r="O334">
        <v>-4738.2405055299996</v>
      </c>
    </row>
    <row r="335" spans="1:15" x14ac:dyDescent="0.25">
      <c r="A335" t="s">
        <v>452</v>
      </c>
      <c r="B335" t="s">
        <v>148</v>
      </c>
      <c r="C335">
        <v>2019</v>
      </c>
      <c r="D335">
        <v>12</v>
      </c>
      <c r="E335" t="s">
        <v>415</v>
      </c>
      <c r="F335" t="s">
        <v>416</v>
      </c>
      <c r="G335" t="s">
        <v>84</v>
      </c>
      <c r="H335" t="s">
        <v>418</v>
      </c>
      <c r="I335" t="s">
        <v>453</v>
      </c>
      <c r="J335" s="62">
        <v>32226.799867779999</v>
      </c>
      <c r="K335">
        <v>26.633169710000001</v>
      </c>
      <c r="L335">
        <v>-856567.46520831005</v>
      </c>
      <c r="M335" t="s">
        <v>454</v>
      </c>
      <c r="N335">
        <v>26.87487951</v>
      </c>
      <c r="O335">
        <v>-31430.439454769999</v>
      </c>
    </row>
    <row r="336" spans="1:15" x14ac:dyDescent="0.25">
      <c r="A336" t="s">
        <v>452</v>
      </c>
      <c r="B336" t="s">
        <v>148</v>
      </c>
      <c r="C336">
        <v>2019</v>
      </c>
      <c r="D336">
        <v>12</v>
      </c>
      <c r="E336" t="s">
        <v>415</v>
      </c>
      <c r="F336" t="s">
        <v>416</v>
      </c>
      <c r="G336" t="s">
        <v>84</v>
      </c>
      <c r="H336" t="s">
        <v>426</v>
      </c>
      <c r="I336" t="s">
        <v>455</v>
      </c>
      <c r="J336" s="62">
        <v>17469.784780459999</v>
      </c>
      <c r="K336">
        <v>28.374761979999999</v>
      </c>
      <c r="L336">
        <v>-497483.30831761</v>
      </c>
      <c r="M336" t="s">
        <v>454</v>
      </c>
      <c r="N336">
        <v>26.87487951</v>
      </c>
      <c r="O336">
        <v>-18293.531616240001</v>
      </c>
    </row>
    <row r="337" spans="1:15" x14ac:dyDescent="0.25">
      <c r="A337" t="s">
        <v>452</v>
      </c>
      <c r="B337" t="s">
        <v>148</v>
      </c>
      <c r="C337">
        <v>2019</v>
      </c>
      <c r="D337">
        <v>12</v>
      </c>
      <c r="E337" t="s">
        <v>415</v>
      </c>
      <c r="F337" t="s">
        <v>416</v>
      </c>
      <c r="G337" t="s">
        <v>84</v>
      </c>
      <c r="H337" t="s">
        <v>428</v>
      </c>
      <c r="I337" t="s">
        <v>456</v>
      </c>
      <c r="J337" s="62">
        <v>7343.8590494700002</v>
      </c>
      <c r="K337">
        <v>26.822999129999999</v>
      </c>
      <c r="L337">
        <v>-198493.10456956</v>
      </c>
      <c r="M337" t="s">
        <v>454</v>
      </c>
      <c r="N337">
        <v>26.87487951</v>
      </c>
      <c r="O337">
        <v>-7283.0288552700003</v>
      </c>
    </row>
    <row r="338" spans="1:15" x14ac:dyDescent="0.25">
      <c r="A338" t="s">
        <v>452</v>
      </c>
      <c r="B338" t="s">
        <v>148</v>
      </c>
      <c r="C338">
        <v>2019</v>
      </c>
      <c r="D338">
        <v>12</v>
      </c>
      <c r="E338" t="s">
        <v>415</v>
      </c>
      <c r="F338" t="s">
        <v>429</v>
      </c>
      <c r="G338" t="s">
        <v>84</v>
      </c>
      <c r="H338" t="s">
        <v>431</v>
      </c>
      <c r="I338" t="s">
        <v>453</v>
      </c>
      <c r="J338" s="62">
        <v>47760.758183029997</v>
      </c>
      <c r="K338">
        <v>26.633169710000001</v>
      </c>
      <c r="L338">
        <v>-1281789.8799026799</v>
      </c>
      <c r="M338" t="s">
        <v>454</v>
      </c>
      <c r="N338">
        <v>26.87487951</v>
      </c>
      <c r="O338">
        <v>-48447.552227380002</v>
      </c>
    </row>
    <row r="339" spans="1:15" x14ac:dyDescent="0.25">
      <c r="A339" t="s">
        <v>452</v>
      </c>
      <c r="B339" t="s">
        <v>148</v>
      </c>
      <c r="C339">
        <v>2019</v>
      </c>
      <c r="D339">
        <v>12</v>
      </c>
      <c r="E339" t="s">
        <v>415</v>
      </c>
      <c r="F339" t="s">
        <v>429</v>
      </c>
      <c r="G339" t="s">
        <v>84</v>
      </c>
      <c r="H339" t="s">
        <v>432</v>
      </c>
      <c r="I339" t="s">
        <v>455</v>
      </c>
      <c r="J339" s="62">
        <v>26982.195142410001</v>
      </c>
      <c r="K339">
        <v>28.374761979999999</v>
      </c>
      <c r="L339">
        <v>-759043.37316354003</v>
      </c>
      <c r="M339" t="s">
        <v>454</v>
      </c>
      <c r="N339">
        <v>26.87487951</v>
      </c>
      <c r="O339">
        <v>-28626.229855879999</v>
      </c>
    </row>
    <row r="340" spans="1:15" x14ac:dyDescent="0.25">
      <c r="A340" t="s">
        <v>452</v>
      </c>
      <c r="B340" t="s">
        <v>148</v>
      </c>
      <c r="C340">
        <v>2019</v>
      </c>
      <c r="D340">
        <v>12</v>
      </c>
      <c r="E340" t="s">
        <v>415</v>
      </c>
      <c r="F340" t="s">
        <v>429</v>
      </c>
      <c r="G340" t="s">
        <v>84</v>
      </c>
      <c r="H340" t="s">
        <v>433</v>
      </c>
      <c r="I340" t="s">
        <v>456</v>
      </c>
      <c r="J340" s="62">
        <v>9615.6522006100004</v>
      </c>
      <c r="K340">
        <v>26.822999129999999</v>
      </c>
      <c r="L340">
        <v>-255605.66733612999</v>
      </c>
      <c r="M340" t="s">
        <v>454</v>
      </c>
      <c r="N340">
        <v>26.87487951</v>
      </c>
      <c r="O340">
        <v>-9702.3686734099992</v>
      </c>
    </row>
    <row r="341" spans="1:15" x14ac:dyDescent="0.25">
      <c r="A341" t="s">
        <v>452</v>
      </c>
      <c r="B341" t="s">
        <v>148</v>
      </c>
      <c r="C341">
        <v>2019</v>
      </c>
      <c r="D341">
        <v>12</v>
      </c>
      <c r="E341" t="s">
        <v>415</v>
      </c>
      <c r="F341" t="s">
        <v>434</v>
      </c>
      <c r="G341" t="s">
        <v>84</v>
      </c>
      <c r="H341" t="s">
        <v>436</v>
      </c>
      <c r="I341" t="s">
        <v>453</v>
      </c>
      <c r="J341" s="62">
        <v>23698.678732969998</v>
      </c>
      <c r="K341">
        <v>26.633169710000001</v>
      </c>
      <c r="L341">
        <v>-640446.85374018003</v>
      </c>
      <c r="M341" t="s">
        <v>454</v>
      </c>
      <c r="N341">
        <v>26.87487951</v>
      </c>
      <c r="O341">
        <v>-23102.238359980001</v>
      </c>
    </row>
    <row r="342" spans="1:15" x14ac:dyDescent="0.25">
      <c r="A342" t="s">
        <v>452</v>
      </c>
      <c r="B342" t="s">
        <v>148</v>
      </c>
      <c r="C342">
        <v>2019</v>
      </c>
      <c r="D342">
        <v>12</v>
      </c>
      <c r="E342" t="s">
        <v>415</v>
      </c>
      <c r="F342" t="s">
        <v>434</v>
      </c>
      <c r="G342" t="s">
        <v>84</v>
      </c>
      <c r="H342" t="s">
        <v>437</v>
      </c>
      <c r="I342" t="s">
        <v>455</v>
      </c>
      <c r="J342" s="62">
        <v>12253.416046230001</v>
      </c>
      <c r="K342">
        <v>28.374761979999999</v>
      </c>
      <c r="L342">
        <v>-361075.03714422998</v>
      </c>
      <c r="M342" t="s">
        <v>454</v>
      </c>
      <c r="N342">
        <v>26.87487951</v>
      </c>
      <c r="O342">
        <v>-13030.605397089999</v>
      </c>
    </row>
    <row r="343" spans="1:15" x14ac:dyDescent="0.25">
      <c r="A343" t="s">
        <v>452</v>
      </c>
      <c r="B343" t="s">
        <v>148</v>
      </c>
      <c r="C343">
        <v>2019</v>
      </c>
      <c r="D343">
        <v>12</v>
      </c>
      <c r="E343" t="s">
        <v>415</v>
      </c>
      <c r="F343" t="s">
        <v>434</v>
      </c>
      <c r="G343" t="s">
        <v>84</v>
      </c>
      <c r="H343" t="s">
        <v>438</v>
      </c>
      <c r="I343" t="s">
        <v>456</v>
      </c>
      <c r="J343" s="62">
        <v>4802.28889927</v>
      </c>
      <c r="K343">
        <v>26.822999129999999</v>
      </c>
      <c r="L343">
        <v>-131173.64353311001</v>
      </c>
      <c r="M343" t="s">
        <v>454</v>
      </c>
      <c r="N343">
        <v>26.87487951</v>
      </c>
      <c r="O343">
        <v>-4748.3267665000003</v>
      </c>
    </row>
    <row r="344" spans="1:15" x14ac:dyDescent="0.25">
      <c r="A344" t="s">
        <v>452</v>
      </c>
      <c r="B344" t="s">
        <v>444</v>
      </c>
      <c r="C344">
        <v>2020</v>
      </c>
      <c r="D344">
        <v>12</v>
      </c>
      <c r="E344" t="s">
        <v>415</v>
      </c>
      <c r="F344" t="s">
        <v>416</v>
      </c>
      <c r="G344" t="s">
        <v>84</v>
      </c>
      <c r="H344" t="s">
        <v>418</v>
      </c>
      <c r="I344" t="s">
        <v>453</v>
      </c>
      <c r="J344" s="62">
        <v>74602.206594520001</v>
      </c>
      <c r="K344">
        <v>29.370561940000002</v>
      </c>
      <c r="L344">
        <v>-2404264.40344874</v>
      </c>
      <c r="M344" t="s">
        <v>454</v>
      </c>
      <c r="N344">
        <v>31.076605489999999</v>
      </c>
      <c r="O344">
        <v>-69289.14120066</v>
      </c>
    </row>
    <row r="345" spans="1:15" x14ac:dyDescent="0.25">
      <c r="A345" t="s">
        <v>452</v>
      </c>
      <c r="B345" t="s">
        <v>444</v>
      </c>
      <c r="C345">
        <v>2020</v>
      </c>
      <c r="D345">
        <v>12</v>
      </c>
      <c r="E345" t="s">
        <v>415</v>
      </c>
      <c r="F345" t="s">
        <v>416</v>
      </c>
      <c r="G345" t="s">
        <v>84</v>
      </c>
      <c r="H345" t="s">
        <v>426</v>
      </c>
      <c r="I345" t="s">
        <v>455</v>
      </c>
      <c r="J345" s="62">
        <v>21043.80846539</v>
      </c>
      <c r="K345">
        <v>31.57497274</v>
      </c>
      <c r="L345">
        <v>-736721.12499040004</v>
      </c>
      <c r="M345" t="s">
        <v>454</v>
      </c>
      <c r="N345">
        <v>31.076605489999999</v>
      </c>
      <c r="O345">
        <v>-21278.64656977</v>
      </c>
    </row>
    <row r="346" spans="1:15" x14ac:dyDescent="0.25">
      <c r="A346" t="s">
        <v>452</v>
      </c>
      <c r="B346" t="s">
        <v>444</v>
      </c>
      <c r="C346">
        <v>2020</v>
      </c>
      <c r="D346">
        <v>12</v>
      </c>
      <c r="E346" t="s">
        <v>415</v>
      </c>
      <c r="F346" t="s">
        <v>416</v>
      </c>
      <c r="G346" t="s">
        <v>84</v>
      </c>
      <c r="H346" t="s">
        <v>428</v>
      </c>
      <c r="I346" t="s">
        <v>456</v>
      </c>
      <c r="J346" s="62">
        <v>22217.032709970001</v>
      </c>
      <c r="K346">
        <v>30.047932280000001</v>
      </c>
      <c r="L346">
        <v>-737903.98788452998</v>
      </c>
      <c r="M346" t="s">
        <v>454</v>
      </c>
      <c r="N346">
        <v>31.076605489999999</v>
      </c>
      <c r="O346">
        <v>-21260.87586195</v>
      </c>
    </row>
    <row r="347" spans="1:15" x14ac:dyDescent="0.25">
      <c r="A347" t="s">
        <v>452</v>
      </c>
      <c r="B347" t="s">
        <v>444</v>
      </c>
      <c r="C347">
        <v>2020</v>
      </c>
      <c r="D347">
        <v>12</v>
      </c>
      <c r="E347" t="s">
        <v>415</v>
      </c>
      <c r="F347" t="s">
        <v>429</v>
      </c>
      <c r="G347" t="s">
        <v>84</v>
      </c>
      <c r="H347" t="s">
        <v>431</v>
      </c>
      <c r="I347" t="s">
        <v>453</v>
      </c>
      <c r="J347" s="62">
        <v>108419.17111539</v>
      </c>
      <c r="K347">
        <v>29.370561940000002</v>
      </c>
      <c r="L347">
        <v>-2582882.57037374</v>
      </c>
      <c r="M347" t="s">
        <v>454</v>
      </c>
      <c r="N347">
        <v>31.076605489999999</v>
      </c>
      <c r="O347">
        <v>-100388.45763903001</v>
      </c>
    </row>
    <row r="348" spans="1:15" x14ac:dyDescent="0.25">
      <c r="A348" t="s">
        <v>452</v>
      </c>
      <c r="B348" t="s">
        <v>444</v>
      </c>
      <c r="C348">
        <v>2020</v>
      </c>
      <c r="D348">
        <v>12</v>
      </c>
      <c r="E348" t="s">
        <v>415</v>
      </c>
      <c r="F348" t="s">
        <v>429</v>
      </c>
      <c r="G348" t="s">
        <v>84</v>
      </c>
      <c r="H348" t="s">
        <v>432</v>
      </c>
      <c r="I348" t="s">
        <v>455</v>
      </c>
      <c r="J348" s="62">
        <v>31744.13544654</v>
      </c>
      <c r="K348">
        <v>31.57497274</v>
      </c>
      <c r="L348">
        <v>-805416.93808861997</v>
      </c>
      <c r="M348" t="s">
        <v>454</v>
      </c>
      <c r="N348">
        <v>31.076605489999999</v>
      </c>
      <c r="O348">
        <v>-31257.011124069999</v>
      </c>
    </row>
    <row r="349" spans="1:15" x14ac:dyDescent="0.25">
      <c r="A349" t="s">
        <v>452</v>
      </c>
      <c r="B349" t="s">
        <v>444</v>
      </c>
      <c r="C349">
        <v>2020</v>
      </c>
      <c r="D349">
        <v>12</v>
      </c>
      <c r="E349" t="s">
        <v>415</v>
      </c>
      <c r="F349" t="s">
        <v>429</v>
      </c>
      <c r="G349" t="s">
        <v>84</v>
      </c>
      <c r="H349" t="s">
        <v>433</v>
      </c>
      <c r="I349" t="s">
        <v>456</v>
      </c>
      <c r="J349" s="62">
        <v>33239.039782319996</v>
      </c>
      <c r="K349">
        <v>30.047932280000001</v>
      </c>
      <c r="L349">
        <v>-806056.90102515998</v>
      </c>
      <c r="M349" t="s">
        <v>454</v>
      </c>
      <c r="N349">
        <v>31.076605489999999</v>
      </c>
      <c r="O349">
        <v>-31399.2352297</v>
      </c>
    </row>
    <row r="350" spans="1:15" x14ac:dyDescent="0.25">
      <c r="A350" t="s">
        <v>452</v>
      </c>
      <c r="B350" t="s">
        <v>444</v>
      </c>
      <c r="C350">
        <v>2020</v>
      </c>
      <c r="D350">
        <v>12</v>
      </c>
      <c r="E350" t="s">
        <v>415</v>
      </c>
      <c r="F350" t="s">
        <v>434</v>
      </c>
      <c r="G350" t="s">
        <v>84</v>
      </c>
      <c r="H350" t="s">
        <v>436</v>
      </c>
      <c r="I350" t="s">
        <v>453</v>
      </c>
      <c r="J350" s="62">
        <v>57617.471697480003</v>
      </c>
      <c r="K350">
        <v>29.370561940000002</v>
      </c>
      <c r="L350">
        <v>-2159459.1764256698</v>
      </c>
      <c r="M350" t="s">
        <v>454</v>
      </c>
      <c r="N350">
        <v>31.076605489999999</v>
      </c>
      <c r="O350">
        <v>-55204.452766460003</v>
      </c>
    </row>
    <row r="351" spans="1:15" x14ac:dyDescent="0.25">
      <c r="A351" t="s">
        <v>452</v>
      </c>
      <c r="B351" t="s">
        <v>444</v>
      </c>
      <c r="C351">
        <v>2020</v>
      </c>
      <c r="D351">
        <v>12</v>
      </c>
      <c r="E351" t="s">
        <v>415</v>
      </c>
      <c r="F351" t="s">
        <v>434</v>
      </c>
      <c r="G351" t="s">
        <v>84</v>
      </c>
      <c r="H351" t="s">
        <v>437</v>
      </c>
      <c r="I351" t="s">
        <v>455</v>
      </c>
      <c r="J351" s="62">
        <v>15478.96291199</v>
      </c>
      <c r="K351">
        <v>31.57497274</v>
      </c>
      <c r="L351">
        <v>-615026.98287750001</v>
      </c>
      <c r="M351" t="s">
        <v>454</v>
      </c>
      <c r="N351">
        <v>31.076605489999999</v>
      </c>
      <c r="O351">
        <v>-15862.77453628</v>
      </c>
    </row>
    <row r="352" spans="1:15" x14ac:dyDescent="0.25">
      <c r="A352" t="s">
        <v>452</v>
      </c>
      <c r="B352" t="s">
        <v>444</v>
      </c>
      <c r="C352">
        <v>2020</v>
      </c>
      <c r="D352">
        <v>12</v>
      </c>
      <c r="E352" t="s">
        <v>415</v>
      </c>
      <c r="F352" t="s">
        <v>434</v>
      </c>
      <c r="G352" t="s">
        <v>84</v>
      </c>
      <c r="H352" t="s">
        <v>438</v>
      </c>
      <c r="I352" t="s">
        <v>456</v>
      </c>
      <c r="J352" s="62">
        <v>16511.70689397</v>
      </c>
      <c r="K352">
        <v>30.047932280000001</v>
      </c>
      <c r="L352">
        <v>-621609.08675967006</v>
      </c>
      <c r="M352" t="s">
        <v>454</v>
      </c>
      <c r="N352">
        <v>31.076605489999999</v>
      </c>
      <c r="O352">
        <v>-15976.43598522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81B5-1B13-447D-817B-918D2379C0A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75</v>
      </c>
      <c r="V1" s="34" t="s">
        <v>20</v>
      </c>
      <c r="W1" s="34" t="s">
        <v>76</v>
      </c>
      <c r="X1" s="34" t="s">
        <v>21</v>
      </c>
      <c r="Y1" s="34" t="s">
        <v>22</v>
      </c>
      <c r="Z1" s="34" t="s">
        <v>77</v>
      </c>
      <c r="AA1" s="34" t="s">
        <v>23</v>
      </c>
      <c r="AB1" s="34" t="s">
        <v>78</v>
      </c>
      <c r="AC1" s="34" t="s">
        <v>24</v>
      </c>
      <c r="AD1" s="34" t="s">
        <v>71</v>
      </c>
    </row>
    <row r="2" spans="1:30" x14ac:dyDescent="0.25">
      <c r="B2" s="40">
        <v>42370</v>
      </c>
      <c r="P2" s="35"/>
      <c r="AD2" s="35"/>
    </row>
    <row r="3" spans="1:30" x14ac:dyDescent="0.25">
      <c r="B3" s="40">
        <v>42401</v>
      </c>
      <c r="P3" s="35"/>
      <c r="AD3" s="35"/>
    </row>
    <row r="4" spans="1:30" x14ac:dyDescent="0.25">
      <c r="B4" s="40">
        <v>42430</v>
      </c>
      <c r="P4" s="35"/>
      <c r="AD4" s="35"/>
    </row>
    <row r="5" spans="1:30" x14ac:dyDescent="0.25">
      <c r="B5" s="40">
        <v>42461</v>
      </c>
      <c r="P5" s="35"/>
      <c r="AD5" s="35"/>
    </row>
    <row r="6" spans="1:30" x14ac:dyDescent="0.25">
      <c r="B6" s="40">
        <v>42491</v>
      </c>
      <c r="P6" s="35"/>
      <c r="AD6" s="35"/>
    </row>
    <row r="7" spans="1:30" x14ac:dyDescent="0.25">
      <c r="B7" s="40">
        <v>42522</v>
      </c>
      <c r="P7" s="35"/>
      <c r="AD7" s="35"/>
    </row>
    <row r="8" spans="1:30" x14ac:dyDescent="0.25">
      <c r="B8" s="40">
        <v>42552</v>
      </c>
      <c r="P8" s="35"/>
      <c r="AD8" s="35"/>
    </row>
    <row r="9" spans="1:30" x14ac:dyDescent="0.25">
      <c r="B9" s="40">
        <v>42583</v>
      </c>
      <c r="P9" s="35"/>
      <c r="AD9" s="35"/>
    </row>
    <row r="10" spans="1:30" x14ac:dyDescent="0.25">
      <c r="B10" s="40">
        <v>42614</v>
      </c>
      <c r="P10" s="35"/>
      <c r="AD10" s="35"/>
    </row>
    <row r="11" spans="1:30" x14ac:dyDescent="0.25">
      <c r="B11" s="40">
        <v>42644</v>
      </c>
      <c r="P11" s="35"/>
      <c r="AD11" s="35"/>
    </row>
    <row r="12" spans="1:30" x14ac:dyDescent="0.25">
      <c r="B12" s="40">
        <v>42675</v>
      </c>
      <c r="P12" s="35"/>
      <c r="AD12" s="35"/>
    </row>
    <row r="13" spans="1:30" x14ac:dyDescent="0.25">
      <c r="B13" s="40">
        <v>42705</v>
      </c>
      <c r="P13" s="35"/>
      <c r="AD13" s="35"/>
    </row>
    <row r="14" spans="1:30" x14ac:dyDescent="0.25">
      <c r="B14" s="40">
        <v>42736</v>
      </c>
      <c r="P14" s="35"/>
      <c r="AD14" s="35"/>
    </row>
    <row r="15" spans="1:30" x14ac:dyDescent="0.25">
      <c r="B15" s="40">
        <v>42767</v>
      </c>
      <c r="P15" s="35"/>
      <c r="AD15" s="35"/>
    </row>
    <row r="16" spans="1:30" x14ac:dyDescent="0.25">
      <c r="B16" s="40">
        <v>42795</v>
      </c>
      <c r="P16" s="35"/>
      <c r="AD16" s="35"/>
    </row>
    <row r="17" spans="2:30" x14ac:dyDescent="0.25">
      <c r="B17" s="40">
        <v>42826</v>
      </c>
      <c r="P17" s="35"/>
      <c r="AD17" s="35"/>
    </row>
    <row r="18" spans="2:30" x14ac:dyDescent="0.25">
      <c r="B18" s="40">
        <v>42856</v>
      </c>
      <c r="P18" s="35"/>
      <c r="AD18" s="35"/>
    </row>
    <row r="19" spans="2:30" x14ac:dyDescent="0.25">
      <c r="B19" s="40">
        <v>42887</v>
      </c>
      <c r="P19" s="35"/>
      <c r="AD19" s="35"/>
    </row>
    <row r="20" spans="2:30" x14ac:dyDescent="0.25">
      <c r="B20" s="40">
        <v>42917</v>
      </c>
      <c r="P20" s="35"/>
      <c r="AD20" s="35"/>
    </row>
    <row r="21" spans="2:30" x14ac:dyDescent="0.25">
      <c r="B21" s="40">
        <v>42948</v>
      </c>
      <c r="P21" s="35"/>
      <c r="AD21" s="35"/>
    </row>
    <row r="22" spans="2:30" x14ac:dyDescent="0.25">
      <c r="B22" s="40">
        <v>42979</v>
      </c>
      <c r="P22" s="35"/>
      <c r="AD22" s="35"/>
    </row>
    <row r="23" spans="2:30" x14ac:dyDescent="0.25">
      <c r="B23" s="40">
        <v>43009</v>
      </c>
      <c r="P23" s="35"/>
      <c r="AD23" s="35"/>
    </row>
    <row r="24" spans="2:30" x14ac:dyDescent="0.25">
      <c r="B24" s="40">
        <v>43040</v>
      </c>
      <c r="P24" s="35"/>
      <c r="AD24" s="35"/>
    </row>
    <row r="25" spans="2:30" x14ac:dyDescent="0.25">
      <c r="B25" s="40">
        <v>43070</v>
      </c>
      <c r="P25" s="35"/>
      <c r="AD25" s="35"/>
    </row>
    <row r="26" spans="2:30" x14ac:dyDescent="0.25">
      <c r="B26" s="40">
        <v>43101</v>
      </c>
      <c r="P26" s="35"/>
      <c r="AD26" s="35"/>
    </row>
    <row r="27" spans="2:30" x14ac:dyDescent="0.25">
      <c r="B27" s="40">
        <v>43132</v>
      </c>
      <c r="P27" s="35"/>
      <c r="AD27" s="35"/>
    </row>
    <row r="28" spans="2:30" x14ac:dyDescent="0.25">
      <c r="B28" s="40">
        <v>43160</v>
      </c>
      <c r="P28" s="35"/>
      <c r="AD28" s="35"/>
    </row>
    <row r="29" spans="2:30" x14ac:dyDescent="0.25">
      <c r="B29" s="40">
        <v>43191</v>
      </c>
      <c r="P29" s="35"/>
      <c r="AD29" s="35"/>
    </row>
    <row r="30" spans="2:30" x14ac:dyDescent="0.25">
      <c r="B30" s="40">
        <v>43221</v>
      </c>
      <c r="P30" s="35"/>
      <c r="AD30" s="35"/>
    </row>
    <row r="31" spans="2:30" x14ac:dyDescent="0.25">
      <c r="B31" s="40">
        <v>43252</v>
      </c>
      <c r="P31" s="35"/>
      <c r="AD31" s="35"/>
    </row>
    <row r="32" spans="2:30" x14ac:dyDescent="0.25">
      <c r="B32" s="40">
        <v>43282</v>
      </c>
      <c r="P32" s="35"/>
      <c r="AD32" s="35"/>
    </row>
    <row r="33" spans="2:30" x14ac:dyDescent="0.25">
      <c r="B33" s="40">
        <v>43313</v>
      </c>
      <c r="P33" s="35"/>
      <c r="AD33" s="35"/>
    </row>
    <row r="34" spans="2:30" x14ac:dyDescent="0.25">
      <c r="B34" s="40">
        <v>43344</v>
      </c>
      <c r="P34" s="35"/>
      <c r="AD34" s="35"/>
    </row>
    <row r="35" spans="2:30" x14ac:dyDescent="0.25">
      <c r="B35" s="40">
        <v>43374</v>
      </c>
      <c r="P35" s="35"/>
      <c r="AD35" s="35"/>
    </row>
    <row r="36" spans="2:30" x14ac:dyDescent="0.25">
      <c r="B36" s="40">
        <v>43405</v>
      </c>
      <c r="P36" s="35"/>
      <c r="AD36" s="35"/>
    </row>
    <row r="37" spans="2:30" x14ac:dyDescent="0.25">
      <c r="B37" s="40">
        <v>43435</v>
      </c>
      <c r="P37" s="35"/>
      <c r="AD37" s="35"/>
    </row>
    <row r="38" spans="2:30" x14ac:dyDescent="0.25">
      <c r="B38" s="40">
        <v>43466</v>
      </c>
      <c r="P38" s="35"/>
      <c r="AD38" s="35"/>
    </row>
    <row r="39" spans="2:30" x14ac:dyDescent="0.25">
      <c r="B39" s="40">
        <v>43497</v>
      </c>
      <c r="P39" s="35"/>
      <c r="AD39" s="35"/>
    </row>
    <row r="40" spans="2:30" x14ac:dyDescent="0.25">
      <c r="B40" s="40">
        <v>43525</v>
      </c>
      <c r="P40" s="35"/>
      <c r="AD40" s="35"/>
    </row>
    <row r="41" spans="2:30" x14ac:dyDescent="0.25">
      <c r="B41" s="40">
        <v>43556</v>
      </c>
      <c r="P41" s="35"/>
      <c r="AD41" s="35"/>
    </row>
    <row r="42" spans="2:30" x14ac:dyDescent="0.25">
      <c r="B42" s="40">
        <v>43586</v>
      </c>
      <c r="P42" s="35"/>
      <c r="AD42" s="35"/>
    </row>
    <row r="43" spans="2:30" x14ac:dyDescent="0.25">
      <c r="B43" s="40">
        <v>43617</v>
      </c>
      <c r="P43" s="35"/>
      <c r="AD43" s="35"/>
    </row>
    <row r="44" spans="2:30" x14ac:dyDescent="0.25">
      <c r="B44" s="40">
        <v>43647</v>
      </c>
      <c r="P44" s="35"/>
      <c r="AD44" s="35"/>
    </row>
    <row r="45" spans="2:30" x14ac:dyDescent="0.25">
      <c r="B45" s="40">
        <v>43678</v>
      </c>
      <c r="P45" s="35"/>
      <c r="AD45" s="35"/>
    </row>
    <row r="46" spans="2:30" x14ac:dyDescent="0.25">
      <c r="B46" s="40">
        <v>43709</v>
      </c>
      <c r="P46" s="35"/>
      <c r="AD46" s="35"/>
    </row>
    <row r="47" spans="2:30" x14ac:dyDescent="0.25">
      <c r="B47" s="40">
        <v>43739</v>
      </c>
      <c r="P47" s="35"/>
      <c r="AD47" s="35"/>
    </row>
    <row r="48" spans="2:30" x14ac:dyDescent="0.25">
      <c r="B48" s="40">
        <v>43770</v>
      </c>
      <c r="P48" s="35"/>
      <c r="AD48" s="35"/>
    </row>
    <row r="49" spans="2:30" x14ac:dyDescent="0.25">
      <c r="B49" s="40">
        <v>43800</v>
      </c>
      <c r="P49" s="35"/>
      <c r="AD49" s="35"/>
    </row>
    <row r="50" spans="2:30" x14ac:dyDescent="0.25">
      <c r="B50" s="40">
        <v>43831</v>
      </c>
      <c r="P50" s="35"/>
      <c r="AD50" s="35"/>
    </row>
    <row r="51" spans="2:30" x14ac:dyDescent="0.25">
      <c r="B51" s="40">
        <v>43862</v>
      </c>
      <c r="P51" s="35"/>
      <c r="AD51" s="35"/>
    </row>
    <row r="52" spans="2:30" x14ac:dyDescent="0.25">
      <c r="B52" s="40">
        <v>43891</v>
      </c>
      <c r="P52" s="35"/>
      <c r="AD52" s="35"/>
    </row>
    <row r="53" spans="2:30" x14ac:dyDescent="0.25">
      <c r="B53" s="40">
        <v>43922</v>
      </c>
      <c r="P53" s="35"/>
      <c r="AD53" s="35"/>
    </row>
    <row r="54" spans="2:30" x14ac:dyDescent="0.25">
      <c r="B54" s="40">
        <v>43952</v>
      </c>
      <c r="P54" s="35"/>
      <c r="AD54" s="35"/>
    </row>
    <row r="55" spans="2:30" x14ac:dyDescent="0.25">
      <c r="B55" s="40">
        <v>43983</v>
      </c>
      <c r="P55" s="35"/>
      <c r="AD55" s="35"/>
    </row>
    <row r="56" spans="2:30" x14ac:dyDescent="0.25">
      <c r="B56" s="40">
        <v>44013</v>
      </c>
      <c r="P56" s="35"/>
      <c r="AD56" s="35"/>
    </row>
    <row r="57" spans="2:30" x14ac:dyDescent="0.25">
      <c r="B57" s="40">
        <v>44044</v>
      </c>
      <c r="P57" s="35"/>
      <c r="AD57" s="35"/>
    </row>
    <row r="58" spans="2:30" x14ac:dyDescent="0.25">
      <c r="B58" s="40">
        <v>44075</v>
      </c>
      <c r="P58" s="35"/>
      <c r="AD58" s="35"/>
    </row>
    <row r="59" spans="2:30" x14ac:dyDescent="0.25">
      <c r="B59" s="40">
        <v>44105</v>
      </c>
      <c r="P59" s="35"/>
      <c r="AD59" s="35"/>
    </row>
    <row r="60" spans="2:30" x14ac:dyDescent="0.25">
      <c r="B60" s="40">
        <v>44136</v>
      </c>
      <c r="P60" s="35"/>
      <c r="AD60" s="35"/>
    </row>
    <row r="61" spans="2:30" x14ac:dyDescent="0.25">
      <c r="B61" s="40">
        <v>44166</v>
      </c>
      <c r="P61" s="35"/>
      <c r="AD61" s="35"/>
    </row>
    <row r="62" spans="2:30" x14ac:dyDescent="0.25">
      <c r="B62" s="40">
        <v>44197</v>
      </c>
      <c r="P62" s="35"/>
      <c r="AD62" s="35"/>
    </row>
    <row r="63" spans="2:30" x14ac:dyDescent="0.25">
      <c r="B63" s="40">
        <v>44228</v>
      </c>
      <c r="P63" s="35"/>
      <c r="AD63" s="35"/>
    </row>
    <row r="64" spans="2:30" x14ac:dyDescent="0.25">
      <c r="B64" s="40">
        <v>44256</v>
      </c>
      <c r="P64" s="35"/>
      <c r="AD64" s="35"/>
    </row>
    <row r="65" spans="2:30" x14ac:dyDescent="0.25">
      <c r="B65" s="40">
        <v>44287</v>
      </c>
      <c r="P65" s="35"/>
      <c r="AD65" s="35"/>
    </row>
    <row r="66" spans="2:30" x14ac:dyDescent="0.25">
      <c r="B66" s="40">
        <v>44317</v>
      </c>
      <c r="P66" s="35"/>
      <c r="AD66" s="35"/>
    </row>
    <row r="67" spans="2:30" x14ac:dyDescent="0.25">
      <c r="B67" s="40">
        <v>44348</v>
      </c>
      <c r="P67" s="35"/>
      <c r="AD67" s="35"/>
    </row>
    <row r="68" spans="2:30" x14ac:dyDescent="0.25">
      <c r="B68" s="40">
        <v>44378</v>
      </c>
      <c r="P68" s="35"/>
      <c r="AD68" s="35"/>
    </row>
    <row r="69" spans="2:30" x14ac:dyDescent="0.25">
      <c r="B69" s="40">
        <v>44409</v>
      </c>
      <c r="P69" s="35"/>
      <c r="AD69" s="35"/>
    </row>
    <row r="70" spans="2:30" x14ac:dyDescent="0.25">
      <c r="B70" s="40">
        <v>44440</v>
      </c>
      <c r="P70" s="35"/>
      <c r="AD70" s="35"/>
    </row>
    <row r="71" spans="2:30" x14ac:dyDescent="0.25">
      <c r="B71" s="40">
        <v>44470</v>
      </c>
      <c r="P71" s="35"/>
      <c r="AD71" s="35"/>
    </row>
    <row r="72" spans="2:30" x14ac:dyDescent="0.25">
      <c r="B72" s="40">
        <v>44501</v>
      </c>
      <c r="P72" s="35"/>
      <c r="AD72" s="35"/>
    </row>
    <row r="73" spans="2:30" x14ac:dyDescent="0.25">
      <c r="B73" s="40">
        <v>44531</v>
      </c>
      <c r="P73" s="35"/>
      <c r="AD73" s="35"/>
    </row>
    <row r="74" spans="2:30" x14ac:dyDescent="0.25">
      <c r="B74" s="40">
        <v>44562</v>
      </c>
      <c r="P74" s="35"/>
      <c r="AD74" s="35"/>
    </row>
    <row r="75" spans="2:30" x14ac:dyDescent="0.25">
      <c r="B75" s="40">
        <v>44593</v>
      </c>
      <c r="P75" s="35"/>
      <c r="AD75" s="35"/>
    </row>
    <row r="76" spans="2:30" x14ac:dyDescent="0.25">
      <c r="B76" s="40">
        <v>44621</v>
      </c>
      <c r="P76" s="35"/>
      <c r="AD76" s="35"/>
    </row>
    <row r="77" spans="2:30" x14ac:dyDescent="0.25">
      <c r="B77" s="40">
        <v>44652</v>
      </c>
      <c r="P77" s="35"/>
      <c r="AD77" s="35"/>
    </row>
    <row r="78" spans="2:30" x14ac:dyDescent="0.25">
      <c r="B78" s="40">
        <v>44682</v>
      </c>
      <c r="P78" s="35"/>
      <c r="AD78" s="35"/>
    </row>
    <row r="79" spans="2:30" x14ac:dyDescent="0.25">
      <c r="B79" s="40">
        <v>44713</v>
      </c>
      <c r="P79" s="35"/>
      <c r="AD79" s="35"/>
    </row>
    <row r="80" spans="2:30" x14ac:dyDescent="0.25">
      <c r="B80" s="40">
        <v>44743</v>
      </c>
      <c r="P80" s="35"/>
      <c r="AD80" s="35"/>
    </row>
    <row r="81" spans="2:30" x14ac:dyDescent="0.25">
      <c r="B81" s="40">
        <v>44774</v>
      </c>
      <c r="P81" s="35"/>
      <c r="AD81" s="35"/>
    </row>
    <row r="82" spans="2:30" x14ac:dyDescent="0.25">
      <c r="B82" s="40">
        <v>44805</v>
      </c>
      <c r="P82" s="35"/>
      <c r="AD82" s="35"/>
    </row>
    <row r="83" spans="2:30" x14ac:dyDescent="0.25">
      <c r="B83" s="40">
        <v>44835</v>
      </c>
      <c r="P83" s="35"/>
      <c r="AD83" s="35"/>
    </row>
    <row r="84" spans="2:30" x14ac:dyDescent="0.25">
      <c r="B84" s="40">
        <v>44866</v>
      </c>
      <c r="P84" s="35"/>
      <c r="AD84" s="35"/>
    </row>
    <row r="85" spans="2:30" x14ac:dyDescent="0.25">
      <c r="B85" s="40">
        <v>44896</v>
      </c>
      <c r="P85" s="35"/>
      <c r="AD85" s="35"/>
    </row>
    <row r="86" spans="2:30" x14ac:dyDescent="0.25">
      <c r="B86" s="40">
        <v>44927</v>
      </c>
      <c r="P86" s="35"/>
      <c r="AD86" s="35"/>
    </row>
    <row r="87" spans="2:30" x14ac:dyDescent="0.25">
      <c r="B87" s="40">
        <v>44958</v>
      </c>
      <c r="P87" s="35"/>
      <c r="AD87" s="35"/>
    </row>
    <row r="88" spans="2:30" x14ac:dyDescent="0.25">
      <c r="B88" s="40">
        <v>44986</v>
      </c>
      <c r="P88" s="35"/>
      <c r="AD88" s="35"/>
    </row>
    <row r="89" spans="2:30" x14ac:dyDescent="0.25">
      <c r="B89" s="40">
        <v>45017</v>
      </c>
      <c r="P89" s="35"/>
      <c r="AD89" s="35"/>
    </row>
    <row r="90" spans="2:30" x14ac:dyDescent="0.25">
      <c r="B90" s="40">
        <v>45047</v>
      </c>
      <c r="P90" s="35"/>
      <c r="AD90" s="35"/>
    </row>
    <row r="91" spans="2:30" x14ac:dyDescent="0.25">
      <c r="B91" s="40">
        <v>45078</v>
      </c>
      <c r="P91" s="35"/>
      <c r="AD91" s="35"/>
    </row>
    <row r="92" spans="2:30" x14ac:dyDescent="0.25">
      <c r="B92" s="40">
        <v>45108</v>
      </c>
      <c r="P92" s="35"/>
      <c r="AD92" s="35"/>
    </row>
    <row r="93" spans="2:30" x14ac:dyDescent="0.25">
      <c r="B93" s="40">
        <v>45139</v>
      </c>
      <c r="P93" s="35"/>
      <c r="AD93" s="35"/>
    </row>
    <row r="94" spans="2:30" x14ac:dyDescent="0.25">
      <c r="B94" s="40">
        <v>45170</v>
      </c>
      <c r="P94" s="35"/>
      <c r="AD94" s="35"/>
    </row>
    <row r="95" spans="2:30" x14ac:dyDescent="0.25">
      <c r="B95" s="40">
        <v>45200</v>
      </c>
      <c r="P95" s="35"/>
      <c r="AD95" s="35"/>
    </row>
    <row r="96" spans="2:30" x14ac:dyDescent="0.25">
      <c r="B96" s="40">
        <v>45231</v>
      </c>
      <c r="P96" s="35"/>
      <c r="AD96" s="35"/>
    </row>
    <row r="97" spans="2:30" x14ac:dyDescent="0.25">
      <c r="B97" s="40">
        <v>45261</v>
      </c>
      <c r="P97" s="35"/>
      <c r="AD97" s="35"/>
    </row>
    <row r="98" spans="2:30" x14ac:dyDescent="0.25">
      <c r="B98" s="40">
        <v>45292</v>
      </c>
      <c r="P98" s="35"/>
      <c r="AD98" s="35"/>
    </row>
    <row r="99" spans="2:30" x14ac:dyDescent="0.25">
      <c r="B99" s="40">
        <v>45323</v>
      </c>
      <c r="P99" s="35"/>
      <c r="AD99" s="35"/>
    </row>
    <row r="100" spans="2:30" x14ac:dyDescent="0.25">
      <c r="B100" s="40">
        <v>45352</v>
      </c>
      <c r="P100" s="35"/>
      <c r="AD100" s="35"/>
    </row>
    <row r="101" spans="2:30" x14ac:dyDescent="0.25">
      <c r="B101" s="40">
        <v>45383</v>
      </c>
      <c r="P101" s="35"/>
      <c r="AD101" s="35"/>
    </row>
    <row r="102" spans="2:30" x14ac:dyDescent="0.25">
      <c r="B102" s="40">
        <v>45413</v>
      </c>
      <c r="P102" s="35"/>
      <c r="AD102" s="35"/>
    </row>
    <row r="103" spans="2:30" x14ac:dyDescent="0.25">
      <c r="B103" s="40">
        <v>45444</v>
      </c>
      <c r="P103" s="35"/>
      <c r="AD103" s="35"/>
    </row>
    <row r="104" spans="2:30" x14ac:dyDescent="0.25">
      <c r="B104" s="40">
        <v>45474</v>
      </c>
      <c r="P104" s="35"/>
      <c r="AD104" s="35"/>
    </row>
    <row r="105" spans="2:30" x14ac:dyDescent="0.25">
      <c r="B105" s="40">
        <v>45505</v>
      </c>
      <c r="P105" s="35"/>
      <c r="AD105" s="35"/>
    </row>
    <row r="106" spans="2:30" x14ac:dyDescent="0.25">
      <c r="B106" s="40">
        <v>45536</v>
      </c>
      <c r="P106" s="35"/>
      <c r="AD106" s="35"/>
    </row>
    <row r="107" spans="2:30" x14ac:dyDescent="0.25">
      <c r="B107" s="40">
        <v>45566</v>
      </c>
      <c r="P107" s="35"/>
      <c r="AD107" s="35"/>
    </row>
    <row r="108" spans="2:30" x14ac:dyDescent="0.25">
      <c r="B108" s="40">
        <v>45597</v>
      </c>
      <c r="P108" s="35"/>
      <c r="AD108" s="35"/>
    </row>
    <row r="109" spans="2:30" x14ac:dyDescent="0.25">
      <c r="B109" s="40">
        <v>45627</v>
      </c>
      <c r="P109" s="35"/>
      <c r="AD109" s="35"/>
    </row>
    <row r="110" spans="2:30" x14ac:dyDescent="0.25">
      <c r="B110" s="40">
        <v>45658</v>
      </c>
      <c r="P110" s="35"/>
      <c r="AD110" s="35"/>
    </row>
    <row r="111" spans="2:30" x14ac:dyDescent="0.25">
      <c r="B111" s="40">
        <v>45689</v>
      </c>
      <c r="P111" s="35"/>
      <c r="AD111" s="35"/>
    </row>
    <row r="112" spans="2:30" x14ac:dyDescent="0.25">
      <c r="B112" s="40">
        <v>45717</v>
      </c>
      <c r="P112" s="35"/>
      <c r="AD112" s="35"/>
    </row>
    <row r="113" spans="2:30" x14ac:dyDescent="0.25">
      <c r="B113" s="40">
        <v>45748</v>
      </c>
      <c r="P113" s="35"/>
      <c r="AD113" s="35"/>
    </row>
    <row r="114" spans="2:30" x14ac:dyDescent="0.25">
      <c r="B114" s="40">
        <v>45778</v>
      </c>
      <c r="P114" s="35"/>
      <c r="AD114" s="35"/>
    </row>
    <row r="115" spans="2:30" x14ac:dyDescent="0.25">
      <c r="B115" s="40">
        <v>45809</v>
      </c>
      <c r="P115" s="35"/>
      <c r="AD115" s="35"/>
    </row>
    <row r="116" spans="2:30" x14ac:dyDescent="0.25">
      <c r="B116" s="40">
        <v>45839</v>
      </c>
      <c r="P116" s="35"/>
      <c r="AD116" s="35"/>
    </row>
    <row r="117" spans="2:30" x14ac:dyDescent="0.25">
      <c r="B117" s="40">
        <v>45870</v>
      </c>
      <c r="P117" s="35"/>
      <c r="AD117" s="35"/>
    </row>
    <row r="118" spans="2:30" x14ac:dyDescent="0.25">
      <c r="B118" s="40">
        <v>45901</v>
      </c>
      <c r="P118" s="35"/>
      <c r="AD118" s="35"/>
    </row>
    <row r="119" spans="2:30" x14ac:dyDescent="0.25">
      <c r="B119" s="40">
        <v>45931</v>
      </c>
      <c r="P119" s="35"/>
      <c r="AD119" s="35"/>
    </row>
    <row r="120" spans="2:30" x14ac:dyDescent="0.25">
      <c r="B120" s="40">
        <v>45962</v>
      </c>
      <c r="P120" s="35"/>
      <c r="AD120" s="35"/>
    </row>
    <row r="121" spans="2:30" x14ac:dyDescent="0.25">
      <c r="B121" s="40">
        <v>45992</v>
      </c>
      <c r="P121" s="35"/>
      <c r="AD121" s="35"/>
    </row>
    <row r="122" spans="2:30" x14ac:dyDescent="0.25">
      <c r="B122" s="40">
        <v>46023</v>
      </c>
      <c r="P122" s="35"/>
      <c r="AD122" s="35"/>
    </row>
    <row r="123" spans="2:30" x14ac:dyDescent="0.25">
      <c r="B123" s="40">
        <v>46054</v>
      </c>
      <c r="P123" s="35"/>
      <c r="AD123" s="35"/>
    </row>
    <row r="124" spans="2:30" x14ac:dyDescent="0.25">
      <c r="B124" s="40">
        <v>46082</v>
      </c>
      <c r="P124" s="35"/>
      <c r="AD124" s="35"/>
    </row>
    <row r="125" spans="2:30" x14ac:dyDescent="0.25">
      <c r="B125" s="40">
        <v>46113</v>
      </c>
      <c r="P125" s="35"/>
      <c r="AD125" s="35"/>
    </row>
    <row r="126" spans="2:30" x14ac:dyDescent="0.25">
      <c r="B126" s="40">
        <v>46143</v>
      </c>
      <c r="P126" s="35"/>
      <c r="AD126" s="35"/>
    </row>
    <row r="127" spans="2:30" x14ac:dyDescent="0.25">
      <c r="B127" s="40">
        <v>46174</v>
      </c>
      <c r="P127" s="35"/>
      <c r="AD127" s="35"/>
    </row>
    <row r="128" spans="2:30" x14ac:dyDescent="0.25">
      <c r="B128" s="40">
        <v>46204</v>
      </c>
      <c r="P128" s="35"/>
      <c r="AD128" s="35"/>
    </row>
    <row r="129" spans="2:30" x14ac:dyDescent="0.25">
      <c r="B129" s="40">
        <v>46235</v>
      </c>
      <c r="P129" s="35"/>
      <c r="AD129" s="35"/>
    </row>
    <row r="130" spans="2:30" x14ac:dyDescent="0.25">
      <c r="B130" s="40">
        <v>46266</v>
      </c>
      <c r="P130" s="35"/>
      <c r="AD130" s="35"/>
    </row>
    <row r="131" spans="2:30" x14ac:dyDescent="0.25">
      <c r="B131" s="40">
        <v>46296</v>
      </c>
      <c r="P131" s="35"/>
      <c r="AD131" s="35"/>
    </row>
    <row r="132" spans="2:30" x14ac:dyDescent="0.25">
      <c r="B132" s="40">
        <v>46327</v>
      </c>
      <c r="P132" s="35"/>
      <c r="AD132" s="35"/>
    </row>
    <row r="133" spans="2:30" x14ac:dyDescent="0.25">
      <c r="B133" s="40">
        <v>46357</v>
      </c>
      <c r="P133" s="35"/>
      <c r="AD133" s="35"/>
    </row>
    <row r="134" spans="2:30" x14ac:dyDescent="0.25">
      <c r="B134" s="40">
        <v>46388</v>
      </c>
      <c r="P134" s="35"/>
      <c r="AD134" s="35"/>
    </row>
    <row r="135" spans="2:30" x14ac:dyDescent="0.25">
      <c r="B135" s="40">
        <v>46419</v>
      </c>
      <c r="P135" s="35"/>
      <c r="AD135" s="35"/>
    </row>
    <row r="136" spans="2:30" x14ac:dyDescent="0.25">
      <c r="B136" s="40">
        <v>46447</v>
      </c>
      <c r="P136" s="35"/>
      <c r="AD136" s="35"/>
    </row>
    <row r="137" spans="2:30" x14ac:dyDescent="0.25">
      <c r="B137" s="40">
        <v>46478</v>
      </c>
      <c r="P137" s="35"/>
      <c r="AD137" s="35"/>
    </row>
    <row r="138" spans="2:30" x14ac:dyDescent="0.25">
      <c r="B138" s="40">
        <v>46508</v>
      </c>
      <c r="P138" s="35"/>
      <c r="AD138" s="35"/>
    </row>
    <row r="139" spans="2:30" x14ac:dyDescent="0.25">
      <c r="B139" s="40">
        <v>46539</v>
      </c>
      <c r="P139" s="35"/>
      <c r="AD139" s="35"/>
    </row>
    <row r="140" spans="2:30" x14ac:dyDescent="0.25">
      <c r="B140" s="40">
        <v>46569</v>
      </c>
      <c r="P140" s="35"/>
      <c r="AD140" s="35"/>
    </row>
    <row r="141" spans="2:30" x14ac:dyDescent="0.25">
      <c r="B141" s="40">
        <v>46600</v>
      </c>
      <c r="P141" s="35"/>
      <c r="AD141" s="35"/>
    </row>
    <row r="142" spans="2:30" x14ac:dyDescent="0.25">
      <c r="B142" s="40">
        <v>46631</v>
      </c>
      <c r="P142" s="35"/>
      <c r="AD142" s="35"/>
    </row>
    <row r="143" spans="2:30" x14ac:dyDescent="0.25">
      <c r="B143" s="40">
        <v>46661</v>
      </c>
      <c r="P143" s="35"/>
      <c r="AD143" s="35"/>
    </row>
    <row r="144" spans="2:30" x14ac:dyDescent="0.25">
      <c r="B144" s="40">
        <v>46692</v>
      </c>
      <c r="P144" s="35"/>
      <c r="AD144" s="35"/>
    </row>
    <row r="145" spans="2:30" x14ac:dyDescent="0.25">
      <c r="B145" s="40">
        <v>46722</v>
      </c>
      <c r="P145" s="35"/>
      <c r="AD145" s="35"/>
    </row>
    <row r="146" spans="2:30" x14ac:dyDescent="0.25">
      <c r="B146" s="40">
        <v>46753</v>
      </c>
      <c r="P146" s="35"/>
      <c r="AD146" s="35"/>
    </row>
    <row r="147" spans="2:30" x14ac:dyDescent="0.25">
      <c r="B147" s="40">
        <v>46784</v>
      </c>
      <c r="P147" s="35"/>
      <c r="AD147" s="35"/>
    </row>
    <row r="148" spans="2:30" x14ac:dyDescent="0.25">
      <c r="B148" s="40">
        <v>46813</v>
      </c>
      <c r="P148" s="35"/>
      <c r="AD148" s="35"/>
    </row>
    <row r="149" spans="2:30" x14ac:dyDescent="0.25">
      <c r="B149" s="40">
        <v>46844</v>
      </c>
      <c r="P149" s="35"/>
      <c r="AD149" s="35"/>
    </row>
    <row r="150" spans="2:30" x14ac:dyDescent="0.25">
      <c r="B150" s="40">
        <v>46874</v>
      </c>
      <c r="P150" s="35"/>
      <c r="AD150" s="35"/>
    </row>
    <row r="151" spans="2:30" x14ac:dyDescent="0.25">
      <c r="B151" s="40">
        <v>46905</v>
      </c>
      <c r="P151" s="35"/>
      <c r="AD151" s="35"/>
    </row>
    <row r="152" spans="2:30" x14ac:dyDescent="0.25">
      <c r="B152" s="40">
        <v>46935</v>
      </c>
      <c r="P152" s="35"/>
      <c r="AD152" s="35"/>
    </row>
    <row r="153" spans="2:30" x14ac:dyDescent="0.25">
      <c r="B153" s="40">
        <v>46966</v>
      </c>
      <c r="P153" s="35"/>
      <c r="AD153" s="35"/>
    </row>
    <row r="154" spans="2:30" x14ac:dyDescent="0.25">
      <c r="B154" s="40">
        <v>46997</v>
      </c>
      <c r="P154" s="35"/>
      <c r="AD154" s="35"/>
    </row>
    <row r="155" spans="2:30" x14ac:dyDescent="0.25">
      <c r="B155" s="40">
        <v>47027</v>
      </c>
      <c r="P155" s="35"/>
      <c r="AD155" s="35"/>
    </row>
    <row r="156" spans="2:30" x14ac:dyDescent="0.25">
      <c r="B156" s="40">
        <v>47058</v>
      </c>
      <c r="P156" s="35"/>
      <c r="AD156" s="35"/>
    </row>
    <row r="157" spans="2:30" x14ac:dyDescent="0.25">
      <c r="B157" s="40">
        <v>47088</v>
      </c>
      <c r="P157" s="35"/>
      <c r="AD157" s="35"/>
    </row>
    <row r="158" spans="2:30" x14ac:dyDescent="0.25">
      <c r="B158" s="40">
        <v>47119</v>
      </c>
      <c r="P158" s="35"/>
      <c r="AD158" s="35"/>
    </row>
    <row r="159" spans="2:30" x14ac:dyDescent="0.25">
      <c r="B159" s="40">
        <v>47150</v>
      </c>
      <c r="P159" s="35"/>
      <c r="AD159" s="35"/>
    </row>
    <row r="160" spans="2:30" x14ac:dyDescent="0.25">
      <c r="B160" s="40">
        <v>47178</v>
      </c>
      <c r="P160" s="35"/>
      <c r="AD160" s="35"/>
    </row>
    <row r="161" spans="2:30" x14ac:dyDescent="0.25">
      <c r="B161" s="40">
        <v>47209</v>
      </c>
      <c r="P161" s="35"/>
      <c r="AD161" s="35"/>
    </row>
    <row r="162" spans="2:30" x14ac:dyDescent="0.25">
      <c r="B162" s="40">
        <v>47239</v>
      </c>
      <c r="P162" s="35"/>
      <c r="AD162" s="35"/>
    </row>
    <row r="163" spans="2:30" x14ac:dyDescent="0.25">
      <c r="B163" s="40">
        <v>47270</v>
      </c>
      <c r="P163" s="35"/>
      <c r="AD163" s="35"/>
    </row>
    <row r="164" spans="2:30" x14ac:dyDescent="0.25">
      <c r="B164" s="40">
        <v>47300</v>
      </c>
      <c r="P164" s="35"/>
      <c r="AD164" s="35"/>
    </row>
    <row r="165" spans="2:30" x14ac:dyDescent="0.25">
      <c r="B165" s="40">
        <v>47331</v>
      </c>
      <c r="P165" s="35"/>
      <c r="AD165" s="35"/>
    </row>
    <row r="166" spans="2:30" x14ac:dyDescent="0.25">
      <c r="B166" s="40">
        <v>47362</v>
      </c>
      <c r="P166" s="35"/>
      <c r="AD166" s="35"/>
    </row>
    <row r="167" spans="2:30" x14ac:dyDescent="0.25">
      <c r="B167" s="40">
        <v>47392</v>
      </c>
      <c r="P167" s="35"/>
      <c r="AD167" s="35"/>
    </row>
    <row r="168" spans="2:30" x14ac:dyDescent="0.25">
      <c r="B168" s="40">
        <v>47423</v>
      </c>
      <c r="P168" s="35"/>
      <c r="AD168" s="35"/>
    </row>
    <row r="169" spans="2:30" x14ac:dyDescent="0.25">
      <c r="B169" s="40">
        <v>47453</v>
      </c>
      <c r="P169" s="35"/>
      <c r="AD169" s="35"/>
    </row>
    <row r="170" spans="2:30" x14ac:dyDescent="0.25">
      <c r="B170" s="40">
        <v>47484</v>
      </c>
      <c r="P170" s="35"/>
      <c r="AD170" s="35"/>
    </row>
    <row r="171" spans="2:30" x14ac:dyDescent="0.25">
      <c r="B171" s="40">
        <v>47515</v>
      </c>
      <c r="P171" s="35"/>
      <c r="AD171" s="35"/>
    </row>
    <row r="172" spans="2:30" x14ac:dyDescent="0.25">
      <c r="B172" s="40">
        <v>47543</v>
      </c>
      <c r="P172" s="35"/>
      <c r="AD172" s="35"/>
    </row>
    <row r="173" spans="2:30" x14ac:dyDescent="0.25">
      <c r="B173" s="40">
        <v>47574</v>
      </c>
      <c r="P173" s="35"/>
      <c r="AD173" s="35"/>
    </row>
    <row r="174" spans="2:30" x14ac:dyDescent="0.25">
      <c r="B174" s="40">
        <v>47604</v>
      </c>
      <c r="P174" s="35"/>
      <c r="AD174" s="35"/>
    </row>
    <row r="175" spans="2:30" x14ac:dyDescent="0.25">
      <c r="B175" s="40">
        <v>47635</v>
      </c>
      <c r="P175" s="35"/>
      <c r="AD175" s="35"/>
    </row>
    <row r="176" spans="2:30" x14ac:dyDescent="0.25">
      <c r="B176" s="40">
        <v>47665</v>
      </c>
      <c r="P176" s="35"/>
      <c r="AD176" s="35"/>
    </row>
    <row r="177" spans="2:30" x14ac:dyDescent="0.25">
      <c r="B177" s="40">
        <v>47696</v>
      </c>
      <c r="P177" s="35"/>
      <c r="AD177" s="35"/>
    </row>
    <row r="178" spans="2:30" x14ac:dyDescent="0.25">
      <c r="B178" s="40">
        <v>47727</v>
      </c>
      <c r="P178" s="35"/>
      <c r="AD178" s="35"/>
    </row>
    <row r="179" spans="2:30" x14ac:dyDescent="0.25">
      <c r="B179" s="40">
        <v>47757</v>
      </c>
      <c r="P179" s="35"/>
      <c r="AD179" s="35"/>
    </row>
    <row r="180" spans="2:30" x14ac:dyDescent="0.25">
      <c r="B180" s="40">
        <v>47788</v>
      </c>
      <c r="P180" s="35"/>
      <c r="AD180" s="35"/>
    </row>
    <row r="181" spans="2:30" x14ac:dyDescent="0.25">
      <c r="B181" s="40">
        <v>47818</v>
      </c>
      <c r="P181" s="35"/>
      <c r="AD181" s="35"/>
    </row>
    <row r="182" spans="2:30" x14ac:dyDescent="0.25">
      <c r="B182" s="40">
        <v>47849</v>
      </c>
      <c r="P182" s="35"/>
      <c r="AD182" s="35"/>
    </row>
    <row r="183" spans="2:30" x14ac:dyDescent="0.25">
      <c r="B183" s="40">
        <v>47880</v>
      </c>
      <c r="P183" s="35"/>
      <c r="AD183" s="35"/>
    </row>
    <row r="184" spans="2:30" x14ac:dyDescent="0.25">
      <c r="B184" s="40">
        <v>47908</v>
      </c>
      <c r="P184" s="35"/>
      <c r="AD184" s="35"/>
    </row>
    <row r="185" spans="2:30" x14ac:dyDescent="0.25">
      <c r="B185" s="40">
        <v>47939</v>
      </c>
      <c r="P185" s="35"/>
      <c r="AD185" s="35"/>
    </row>
    <row r="186" spans="2:30" x14ac:dyDescent="0.25">
      <c r="B186" s="40">
        <v>47969</v>
      </c>
      <c r="P186" s="35"/>
      <c r="AD186" s="35"/>
    </row>
    <row r="187" spans="2:30" x14ac:dyDescent="0.25">
      <c r="B187" s="40">
        <v>48000</v>
      </c>
      <c r="P187" s="35"/>
      <c r="AD187" s="35"/>
    </row>
    <row r="188" spans="2:30" x14ac:dyDescent="0.25">
      <c r="B188" s="40">
        <v>48030</v>
      </c>
      <c r="P188" s="35"/>
      <c r="AD188" s="35"/>
    </row>
    <row r="189" spans="2:30" x14ac:dyDescent="0.25">
      <c r="B189" s="40">
        <v>48061</v>
      </c>
      <c r="P189" s="35"/>
      <c r="AD189" s="35"/>
    </row>
    <row r="190" spans="2:30" x14ac:dyDescent="0.25">
      <c r="B190" s="40">
        <v>48092</v>
      </c>
      <c r="P190" s="35"/>
      <c r="AD190" s="35"/>
    </row>
    <row r="191" spans="2:30" x14ac:dyDescent="0.25">
      <c r="B191" s="40">
        <v>48122</v>
      </c>
      <c r="P191" s="35"/>
      <c r="AD191" s="35"/>
    </row>
    <row r="192" spans="2:30" x14ac:dyDescent="0.25">
      <c r="B192" s="40">
        <v>48153</v>
      </c>
      <c r="P192" s="35"/>
      <c r="AD192" s="35"/>
    </row>
    <row r="193" spans="2:30" x14ac:dyDescent="0.25">
      <c r="B193" s="40">
        <v>48183</v>
      </c>
      <c r="P193" s="35"/>
      <c r="AD193" s="35"/>
    </row>
    <row r="194" spans="2:30" x14ac:dyDescent="0.25">
      <c r="B194" s="40">
        <v>48214</v>
      </c>
      <c r="P194" s="35"/>
      <c r="AD194" s="35"/>
    </row>
    <row r="195" spans="2:30" x14ac:dyDescent="0.25">
      <c r="B195" s="40">
        <v>48245</v>
      </c>
      <c r="P195" s="35"/>
      <c r="AD195" s="35"/>
    </row>
    <row r="196" spans="2:30" x14ac:dyDescent="0.25">
      <c r="B196" s="40">
        <v>48274</v>
      </c>
      <c r="P196" s="35"/>
      <c r="AD196" s="35"/>
    </row>
    <row r="197" spans="2:30" x14ac:dyDescent="0.25">
      <c r="B197" s="40">
        <v>48305</v>
      </c>
      <c r="P197" s="35"/>
      <c r="AD197" s="35"/>
    </row>
    <row r="198" spans="2:30" x14ac:dyDescent="0.25">
      <c r="B198" s="40">
        <v>48335</v>
      </c>
      <c r="P198" s="35"/>
      <c r="AD198" s="35"/>
    </row>
    <row r="199" spans="2:30" x14ac:dyDescent="0.25">
      <c r="B199" s="40">
        <v>48366</v>
      </c>
      <c r="P199" s="35"/>
      <c r="AD199" s="35"/>
    </row>
    <row r="200" spans="2:30" x14ac:dyDescent="0.25">
      <c r="B200" s="40">
        <v>48396</v>
      </c>
      <c r="P200" s="35"/>
      <c r="AD200" s="35"/>
    </row>
    <row r="201" spans="2:30" x14ac:dyDescent="0.25">
      <c r="B201" s="40">
        <v>48427</v>
      </c>
      <c r="P201" s="35"/>
      <c r="AD201" s="35"/>
    </row>
    <row r="202" spans="2:30" x14ac:dyDescent="0.25">
      <c r="B202" s="40">
        <v>48458</v>
      </c>
      <c r="P202" s="35"/>
      <c r="AD202" s="35"/>
    </row>
    <row r="203" spans="2:30" x14ac:dyDescent="0.25">
      <c r="B203" s="40">
        <v>48488</v>
      </c>
      <c r="P203" s="35"/>
      <c r="AD203" s="35"/>
    </row>
    <row r="204" spans="2:30" x14ac:dyDescent="0.25">
      <c r="B204" s="40">
        <v>48519</v>
      </c>
      <c r="P204" s="35"/>
      <c r="AD204" s="35"/>
    </row>
    <row r="205" spans="2:30" x14ac:dyDescent="0.25">
      <c r="B205" s="40">
        <v>48549</v>
      </c>
      <c r="P205" s="35"/>
      <c r="AD205" s="35"/>
    </row>
    <row r="206" spans="2:30" x14ac:dyDescent="0.25">
      <c r="B206" s="40">
        <v>48580</v>
      </c>
      <c r="P206" s="35"/>
      <c r="AD206" s="35"/>
    </row>
    <row r="207" spans="2:30" x14ac:dyDescent="0.25">
      <c r="B207" s="40">
        <v>48611</v>
      </c>
      <c r="P207" s="35"/>
      <c r="AD207" s="35"/>
    </row>
    <row r="208" spans="2:30" x14ac:dyDescent="0.25">
      <c r="B208" s="40">
        <v>48639</v>
      </c>
      <c r="P208" s="35"/>
      <c r="AD208" s="35"/>
    </row>
    <row r="209" spans="2:30" x14ac:dyDescent="0.25">
      <c r="B209" s="40">
        <v>48670</v>
      </c>
      <c r="P209" s="35"/>
      <c r="AD209" s="35"/>
    </row>
    <row r="210" spans="2:30" x14ac:dyDescent="0.25">
      <c r="B210" s="40">
        <v>48700</v>
      </c>
      <c r="P210" s="35"/>
      <c r="AD210" s="35"/>
    </row>
    <row r="211" spans="2:30" x14ac:dyDescent="0.25">
      <c r="B211" s="40">
        <v>48731</v>
      </c>
      <c r="P211" s="35"/>
      <c r="AD211" s="35"/>
    </row>
    <row r="212" spans="2:30" x14ac:dyDescent="0.25">
      <c r="B212" s="40">
        <v>48761</v>
      </c>
      <c r="P212" s="35"/>
      <c r="AD212" s="35"/>
    </row>
    <row r="213" spans="2:30" x14ac:dyDescent="0.25">
      <c r="B213" s="40">
        <v>48792</v>
      </c>
      <c r="P213" s="35"/>
      <c r="AD213" s="35"/>
    </row>
    <row r="214" spans="2:30" x14ac:dyDescent="0.25">
      <c r="B214" s="40">
        <v>48823</v>
      </c>
      <c r="P214" s="35"/>
      <c r="AD214" s="35"/>
    </row>
    <row r="215" spans="2:30" x14ac:dyDescent="0.25">
      <c r="B215" s="40">
        <v>48853</v>
      </c>
      <c r="P215" s="35"/>
      <c r="AD215" s="35"/>
    </row>
    <row r="216" spans="2:30" x14ac:dyDescent="0.25">
      <c r="B216" s="40">
        <v>48884</v>
      </c>
      <c r="P216" s="35"/>
      <c r="AD216" s="35"/>
    </row>
    <row r="217" spans="2:30" x14ac:dyDescent="0.25">
      <c r="B217" s="40">
        <v>48914</v>
      </c>
      <c r="P217" s="35"/>
      <c r="AD217" s="35"/>
    </row>
    <row r="218" spans="2:30" x14ac:dyDescent="0.25">
      <c r="B218" s="40">
        <v>48945</v>
      </c>
      <c r="P218" s="35"/>
      <c r="AD218" s="35"/>
    </row>
    <row r="219" spans="2:30" x14ac:dyDescent="0.25">
      <c r="B219" s="40">
        <v>48976</v>
      </c>
      <c r="P219" s="35"/>
      <c r="AD219" s="35"/>
    </row>
    <row r="220" spans="2:30" x14ac:dyDescent="0.25">
      <c r="B220" s="40">
        <v>49004</v>
      </c>
      <c r="P220" s="35"/>
      <c r="AD220" s="35"/>
    </row>
    <row r="221" spans="2:30" x14ac:dyDescent="0.25">
      <c r="B221" s="40">
        <v>49035</v>
      </c>
      <c r="P221" s="35"/>
      <c r="AD221" s="35"/>
    </row>
    <row r="222" spans="2:30" x14ac:dyDescent="0.25">
      <c r="B222" s="40">
        <v>49065</v>
      </c>
      <c r="P222" s="35"/>
      <c r="AD222" s="35"/>
    </row>
    <row r="223" spans="2:30" x14ac:dyDescent="0.25">
      <c r="B223" s="40">
        <v>49096</v>
      </c>
      <c r="P223" s="35"/>
      <c r="AD223" s="35"/>
    </row>
    <row r="224" spans="2:30" x14ac:dyDescent="0.25">
      <c r="B224" s="40">
        <v>49126</v>
      </c>
      <c r="P224" s="35"/>
      <c r="AD224" s="35"/>
    </row>
    <row r="225" spans="2:30" x14ac:dyDescent="0.25">
      <c r="B225" s="40">
        <v>49157</v>
      </c>
      <c r="P225" s="35"/>
      <c r="AD225" s="35"/>
    </row>
    <row r="226" spans="2:30" x14ac:dyDescent="0.25">
      <c r="B226" s="40">
        <v>49188</v>
      </c>
      <c r="P226" s="35"/>
      <c r="AD226" s="35"/>
    </row>
    <row r="227" spans="2:30" x14ac:dyDescent="0.25">
      <c r="B227" s="40">
        <v>49218</v>
      </c>
      <c r="P227" s="35"/>
      <c r="AD227" s="35"/>
    </row>
    <row r="228" spans="2:30" x14ac:dyDescent="0.25">
      <c r="B228" s="40">
        <v>49249</v>
      </c>
      <c r="P228" s="35"/>
      <c r="AD228" s="35"/>
    </row>
    <row r="229" spans="2:30" x14ac:dyDescent="0.25">
      <c r="B229" s="40">
        <v>49279</v>
      </c>
      <c r="P229" s="35"/>
      <c r="AD229" s="35"/>
    </row>
    <row r="230" spans="2:30" x14ac:dyDescent="0.25">
      <c r="B230" s="40">
        <v>49310</v>
      </c>
      <c r="P230" s="35"/>
      <c r="AD230" s="35"/>
    </row>
    <row r="231" spans="2:30" x14ac:dyDescent="0.25">
      <c r="B231" s="40">
        <v>49341</v>
      </c>
      <c r="P231" s="35"/>
      <c r="AD231" s="35"/>
    </row>
    <row r="232" spans="2:30" x14ac:dyDescent="0.25">
      <c r="B232" s="40">
        <v>49369</v>
      </c>
      <c r="P232" s="35"/>
      <c r="AD232" s="35"/>
    </row>
    <row r="233" spans="2:30" x14ac:dyDescent="0.25">
      <c r="B233" s="40">
        <v>49400</v>
      </c>
      <c r="P233" s="35"/>
      <c r="AD233" s="35"/>
    </row>
    <row r="234" spans="2:30" x14ac:dyDescent="0.25">
      <c r="B234" s="40">
        <v>49430</v>
      </c>
      <c r="P234" s="35"/>
      <c r="AD234" s="35"/>
    </row>
    <row r="235" spans="2:30" x14ac:dyDescent="0.25">
      <c r="B235" s="40">
        <v>49461</v>
      </c>
      <c r="P235" s="35"/>
      <c r="AD235" s="3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2"/>
  <sheetViews>
    <sheetView workbookViewId="0">
      <selection activeCell="B14" sqref="B14"/>
    </sheetView>
  </sheetViews>
  <sheetFormatPr baseColWidth="10" defaultColWidth="11.5703125" defaultRowHeight="11.45" customHeight="1" x14ac:dyDescent="0.2"/>
  <cols>
    <col min="1" max="1" width="17.28515625" style="41" customWidth="1"/>
    <col min="2" max="2" width="14.42578125" style="42" customWidth="1"/>
    <col min="3" max="3" width="22.28515625" style="42" customWidth="1"/>
    <col min="4" max="4" width="9.28515625" style="42" bestFit="1" customWidth="1"/>
    <col min="5" max="5" width="11.5703125" style="42" customWidth="1"/>
    <col min="6" max="6" width="9.7109375" style="42" bestFit="1" customWidth="1"/>
    <col min="7" max="7" width="63.7109375" style="41" bestFit="1" customWidth="1"/>
    <col min="8" max="16384" width="11.5703125" style="41"/>
  </cols>
  <sheetData>
    <row r="1" spans="1:7" ht="12" x14ac:dyDescent="0.2">
      <c r="A1" s="43" t="s">
        <v>302</v>
      </c>
      <c r="B1" s="44" t="s">
        <v>303</v>
      </c>
      <c r="C1" s="44" t="s">
        <v>304</v>
      </c>
      <c r="D1" s="44" t="s">
        <v>305</v>
      </c>
      <c r="E1" s="44" t="s">
        <v>306</v>
      </c>
      <c r="F1" s="44" t="s">
        <v>307</v>
      </c>
      <c r="G1" s="44" t="s">
        <v>308</v>
      </c>
    </row>
    <row r="2" spans="1:7" ht="12" x14ac:dyDescent="0.2">
      <c r="A2" s="41" t="s">
        <v>331</v>
      </c>
      <c r="B2" s="45">
        <v>42588</v>
      </c>
      <c r="C2" s="42" t="s">
        <v>332</v>
      </c>
      <c r="D2" s="45">
        <v>42566</v>
      </c>
      <c r="E2" s="45">
        <v>42594</v>
      </c>
      <c r="F2" s="47">
        <v>5.4600000000000003E-2</v>
      </c>
      <c r="G2" s="41" t="s">
        <v>333</v>
      </c>
    </row>
    <row r="3" spans="1:7" ht="12" x14ac:dyDescent="0.2">
      <c r="A3" s="41" t="s">
        <v>334</v>
      </c>
      <c r="B3" s="45">
        <v>42614</v>
      </c>
      <c r="C3" s="42" t="s">
        <v>335</v>
      </c>
      <c r="D3" s="45">
        <v>42595</v>
      </c>
      <c r="E3" s="45">
        <v>42627</v>
      </c>
      <c r="F3" s="47">
        <v>5.4199999999999998E-2</v>
      </c>
      <c r="G3" s="41" t="s">
        <v>336</v>
      </c>
    </row>
    <row r="4" spans="1:7" ht="12" x14ac:dyDescent="0.2">
      <c r="A4" s="41" t="s">
        <v>337</v>
      </c>
      <c r="B4" s="45">
        <v>43018</v>
      </c>
      <c r="C4" s="42" t="s">
        <v>338</v>
      </c>
      <c r="D4" s="45">
        <v>42993</v>
      </c>
      <c r="E4" s="45">
        <v>43021</v>
      </c>
      <c r="F4" s="47">
        <v>4.1599999999999998E-2</v>
      </c>
      <c r="G4" s="41" t="s">
        <v>339</v>
      </c>
    </row>
    <row r="5" spans="1:7" ht="12" x14ac:dyDescent="0.2">
      <c r="A5" s="41" t="s">
        <v>340</v>
      </c>
      <c r="B5" s="45">
        <v>43018</v>
      </c>
      <c r="C5" s="42" t="s">
        <v>338</v>
      </c>
      <c r="D5" s="45">
        <v>42993</v>
      </c>
      <c r="E5" s="45">
        <v>43021</v>
      </c>
      <c r="F5" s="47">
        <v>4.1599999999999998E-2</v>
      </c>
      <c r="G5" s="41" t="s">
        <v>339</v>
      </c>
    </row>
    <row r="6" spans="1:7" ht="12" x14ac:dyDescent="0.2">
      <c r="A6" s="41" t="s">
        <v>341</v>
      </c>
      <c r="B6" s="45">
        <v>43183</v>
      </c>
      <c r="C6" s="42" t="s">
        <v>342</v>
      </c>
      <c r="D6" s="45">
        <v>43174</v>
      </c>
      <c r="E6" s="45">
        <v>43203</v>
      </c>
      <c r="F6" s="47">
        <v>4.2000000000000003E-2</v>
      </c>
      <c r="G6" s="41" t="s">
        <v>343</v>
      </c>
    </row>
    <row r="7" spans="1:7" ht="12" x14ac:dyDescent="0.2">
      <c r="A7" s="41" t="s">
        <v>344</v>
      </c>
      <c r="B7" s="45">
        <v>43371</v>
      </c>
      <c r="C7" s="42" t="s">
        <v>309</v>
      </c>
      <c r="D7" s="45">
        <v>43358</v>
      </c>
      <c r="E7" s="45">
        <v>43385</v>
      </c>
      <c r="F7" s="46">
        <v>4.3799999999999999E-2</v>
      </c>
      <c r="G7" s="41" t="s">
        <v>310</v>
      </c>
    </row>
    <row r="8" spans="1:7" ht="12" x14ac:dyDescent="0.2">
      <c r="A8" s="41" t="s">
        <v>345</v>
      </c>
      <c r="B8" s="45">
        <v>43591</v>
      </c>
      <c r="C8" s="42" t="s">
        <v>311</v>
      </c>
      <c r="D8" s="45">
        <v>43570</v>
      </c>
      <c r="E8" s="45">
        <v>43599</v>
      </c>
      <c r="F8" s="46">
        <v>4.4600000000000001E-2</v>
      </c>
      <c r="G8" s="41" t="s">
        <v>312</v>
      </c>
    </row>
    <row r="9" spans="1:7" ht="12" x14ac:dyDescent="0.2">
      <c r="A9" s="41" t="s">
        <v>346</v>
      </c>
      <c r="B9" s="45">
        <v>44137</v>
      </c>
      <c r="C9" s="42" t="s">
        <v>313</v>
      </c>
      <c r="D9" s="45">
        <v>44119</v>
      </c>
      <c r="E9" s="45">
        <v>44148</v>
      </c>
      <c r="F9" s="47">
        <v>3.61E-2</v>
      </c>
      <c r="G9" s="41" t="s">
        <v>314</v>
      </c>
    </row>
    <row r="10" spans="1:7" ht="12" x14ac:dyDescent="0.2">
      <c r="A10" s="41" t="s">
        <v>347</v>
      </c>
      <c r="B10" s="45">
        <v>44275</v>
      </c>
      <c r="C10" s="42" t="s">
        <v>315</v>
      </c>
      <c r="D10" s="45">
        <v>44270</v>
      </c>
      <c r="E10" s="45">
        <v>44300</v>
      </c>
      <c r="F10" s="47">
        <v>3.9100000000000003E-2</v>
      </c>
      <c r="G10" s="41" t="s">
        <v>316</v>
      </c>
    </row>
    <row r="11" spans="1:7" ht="11.45" customHeight="1" x14ac:dyDescent="0.2">
      <c r="A11" s="41" t="s">
        <v>348</v>
      </c>
      <c r="B11" s="45">
        <v>44336</v>
      </c>
      <c r="C11" s="42" t="s">
        <v>317</v>
      </c>
      <c r="D11" s="45">
        <v>44330</v>
      </c>
      <c r="F11" s="47">
        <v>3.2800000000000003E-2</v>
      </c>
      <c r="G11" s="41" t="s">
        <v>318</v>
      </c>
    </row>
    <row r="13" spans="1:7" ht="11.45" customHeight="1" x14ac:dyDescent="0.2">
      <c r="A13" s="41" t="s">
        <v>300</v>
      </c>
    </row>
    <row r="14" spans="1:7" ht="12" x14ac:dyDescent="0.2">
      <c r="A14" s="41" t="s">
        <v>301</v>
      </c>
    </row>
    <row r="15" spans="1:7" ht="12" x14ac:dyDescent="0.2"/>
    <row r="16" spans="1:7" ht="12" x14ac:dyDescent="0.2"/>
    <row r="17" ht="12" x14ac:dyDescent="0.2"/>
    <row r="18" ht="12" x14ac:dyDescent="0.2"/>
    <row r="19" ht="12" x14ac:dyDescent="0.2"/>
    <row r="20" ht="12" x14ac:dyDescent="0.2"/>
    <row r="21" ht="12" x14ac:dyDescent="0.2"/>
    <row r="22" ht="12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README</vt:lpstr>
      <vt:lpstr>MAPA_DATA</vt:lpstr>
      <vt:lpstr>ReliquidacionEFACT</vt:lpstr>
      <vt:lpstr>ResumenRetiros</vt:lpstr>
      <vt:lpstr>FACT_EMITIDA</vt:lpstr>
      <vt:lpstr>SIGGE_E</vt:lpstr>
      <vt:lpstr>SIGGE_P</vt:lpstr>
      <vt:lpstr>EFACT_CNE</vt:lpstr>
      <vt:lpstr>EfactCNE_BT</vt:lpstr>
      <vt:lpstr>FACT_EST_EFACT</vt:lpstr>
      <vt:lpstr>CEN_Energia</vt:lpstr>
      <vt:lpstr>CEN_EnergiaBT</vt:lpstr>
      <vt:lpstr>CEN_Potencia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2021-09-23T08:32:18Z</dcterms:modified>
</cp:coreProperties>
</file>